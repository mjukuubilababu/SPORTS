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5a8ab7ffc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02138bdcbe452b"/>
    <x:sheet xmlns:r="http://schemas.openxmlformats.org/officeDocument/2006/relationships" name="Match_Data" sheetId="2" r:id="R3d8cc69d6a9648f5"/>
    <x:sheet xmlns:r="http://schemas.openxmlformats.org/officeDocument/2006/relationships" name="Features" sheetId="3" r:id="Ra2ae65d270dc4166"/>
    <x:sheet xmlns:r="http://schemas.openxmlformats.org/officeDocument/2006/relationships" name="Pattern_Log" sheetId="4" r:id="R0bf55bc164c24c99"/>
    <x:sheet xmlns:r="http://schemas.openxmlformats.org/officeDocument/2006/relationships" name="Paper_Bets" sheetId="5" r:id="Re73cb60a55e04d4a"/>
    <x:sheet xmlns:r="http://schemas.openxmlformats.org/officeDocument/2006/relationships" name="Dashboard" sheetId="6" r:id="R2dd0b829a5ad42a8"/>
    <x:sheet xmlns:r="http://schemas.openxmlformats.org/officeDocument/2006/relationships" name="Live_Snapshots" sheetId="7" r:id="Rb443176450ce48b7"/>
    <x:sheet xmlns:r="http://schemas.openxmlformats.org/officeDocument/2006/relationships" name="Pre_Bet_Gate" sheetId="8" r:id="R12b70314bf864821"/>
    <x:sheet xmlns:r="http://schemas.openxmlformats.org/officeDocument/2006/relationships" name="Price_Thresholds" sheetId="9" r:id="R55392f5e42d34b3b"/>
    <x:sheet xmlns:r="http://schemas.openxmlformats.org/officeDocument/2006/relationships" name="Model_v0.1.4" sheetId="10" r:id="R52af88d0acc14642"/>
    <x:sheet xmlns:r="http://schemas.openxmlformats.org/officeDocument/2006/relationships" name="Robustness_v0.1.5" sheetId="11" r:id="Rda598e560a3a4991"/>
    <x:sheet xmlns:r="http://schemas.openxmlformats.org/officeDocument/2006/relationships" name="Final_Gate_v0.1.6" sheetId="12" r:id="R414ee8435220446f"/>
    <x:sheet xmlns:r="http://schemas.openxmlformats.org/officeDocument/2006/relationships" name="Validation_v0.1.7" sheetId="13" r:id="Ra1c85b312b954c24"/>
    <x:sheet xmlns:r="http://schemas.openxmlformats.org/officeDocument/2006/relationships" name="Anti_Overfit_v0.1.8" sheetId="14" r:id="Rbe50a96d242944af"/>
    <x:sheet xmlns:r="http://schemas.openxmlformats.org/officeDocument/2006/relationships" name="Pattern_Freeze_v0.1.9" sheetId="15" r:id="R4c85de3202244a35"/>
    <x:sheet xmlns:r="http://schemas.openxmlformats.org/officeDocument/2006/relationships" name="Data_Integrity_v0.2.0" sheetId="16" r:id="R24649b1e766d41b7"/>
    <x:sheet xmlns:r="http://schemas.openxmlformats.org/officeDocument/2006/relationships" name="Normalized_History_v0.2.1" sheetId="17" r:id="R33d75684876c4632"/>
    <x:sheet xmlns:r="http://schemas.openxmlformats.org/officeDocument/2006/relationships" name="Live_Reference_v0.2.1" sheetId="18" r:id="R9ba22746657b43ec"/>
    <x:sheet xmlns:r="http://schemas.openxmlformats.org/officeDocument/2006/relationships" name="Feature_Backfill_v0.2.2" sheetId="19" r:id="R857db2c2179f411a"/>
    <x:sheet xmlns:r="http://schemas.openxmlformats.org/officeDocument/2006/relationships" name="Data_Sources_v0.3.0" sheetId="20" r:id="R70c25b5762f64324"/>
    <x:sheet xmlns:r="http://schemas.openxmlformats.org/officeDocument/2006/relationships" name="Feature_Store_v0.3.0" sheetId="21" r:id="R180bcd3e784e497e"/>
    <x:sheet xmlns:r="http://schemas.openxmlformats.org/officeDocument/2006/relationships" name="Model_Registry_v0.3.0" sheetId="22" r:id="R90f84a94f44c4378"/>
    <x:sheet xmlns:r="http://schemas.openxmlformats.org/officeDocument/2006/relationships" name="Calibration_Drift_v0.3.0" sheetId="23" r:id="Re43e9758844e42d9"/>
    <x:sheet xmlns:r="http://schemas.openxmlformats.org/officeDocument/2006/relationships" name="Decision_Engine_v0.3.0" sheetId="24" r:id="R8db4953934b242ac"/>
    <x:sheet xmlns:r="http://schemas.openxmlformats.org/officeDocument/2006/relationships" name="Snapshot_Pipeline_v0.3.1" sheetId="25" r:id="R04fe5b07a6a84a81"/>
    <x:sheet xmlns:r="http://schemas.openxmlformats.org/officeDocument/2006/relationships" name="Market_Surface_v0.3.1" sheetId="26" r:id="R0fb1d148b9964eef"/>
    <x:sheet xmlns:r="http://schemas.openxmlformats.org/officeDocument/2006/relationships" name="Training_Engine_v0.3.1" sheetId="27" r:id="R2d49795de2d2456f"/>
    <x:sheet xmlns:r="http://schemas.openxmlformats.org/officeDocument/2006/relationships" name="Decision_Engine_v0.3.1" sheetId="28" r:id="Rba959c2b008e461f"/>
    <x:sheet xmlns:r="http://schemas.openxmlformats.org/officeDocument/2006/relationships" name="Immutable_Lock_v0.3.2" sheetId="29" r:id="R0fcbcba8c8b94c77"/>
    <x:sheet xmlns:r="http://schemas.openxmlformats.org/officeDocument/2006/relationships" name="Live_State_Engine_v0.3.2" sheetId="30" r:id="R840269fc3d104a3c"/>
    <x:sheet xmlns:r="http://schemas.openxmlformats.org/officeDocument/2006/relationships" name="Confidence_Budget_v0.3.2" sheetId="31" r:id="R8b9c5d728d72423b"/>
    <x:sheet xmlns:r="http://schemas.openxmlformats.org/officeDocument/2006/relationships" name="Champion_Challenger_v0.3.2" sheetId="32" r:id="Re99379cd1b974097"/>
    <x:sheet xmlns:r="http://schemas.openxmlformats.org/officeDocument/2006/relationships" name="Post_Match_Learning_v0.3.2" sheetId="33" r:id="Rf9be6beebbf94278"/>
    <x:sheet xmlns:r="http://schemas.openxmlformats.org/officeDocument/2006/relationships" name="Source_Quorum_v0.3.3" sheetId="34" r:id="R5d6c6f675b8944ed"/>
    <x:sheet xmlns:r="http://schemas.openxmlformats.org/officeDocument/2006/relationships" name="Event_State_Intel_v0.3.3" sheetId="35" r:id="R4d2dbf722943433a"/>
    <x:sheet xmlns:r="http://schemas.openxmlformats.org/officeDocument/2006/relationships" name="Adaptive_Weights_v0.3.3" sheetId="36" r:id="R694bce3328824479"/>
    <x:sheet xmlns:r="http://schemas.openxmlformats.org/officeDocument/2006/relationships" name="Error_Taxonomy_v0.3.3" sheetId="37" r:id="R6d41e47278124798"/>
    <x:sheet xmlns:r="http://schemas.openxmlformats.org/officeDocument/2006/relationships" name="Probabilistic_Brain_v0.4.0" sheetId="38" r:id="R046ae1d09a69468b"/>
    <x:sheet xmlns:r="http://schemas.openxmlformats.org/officeDocument/2006/relationships" name="Distribution_Lab_v0.4.0" sheetId="39" r:id="Rb93d69d5f49940a9"/>
    <x:sheet xmlns:r="http://schemas.openxmlformats.org/officeDocument/2006/relationships" name="Disagreement_Matrix_v0.4.0" sheetId="40" r:id="Re62ee1e7a33c4d08"/>
    <x:sheet xmlns:r="http://schemas.openxmlformats.org/officeDocument/2006/relationships" name="Evidence_Graph_v0.4.0" sheetId="41" r:id="Rc8d05413bcdb4fd0"/>
    <x:sheet xmlns:r="http://schemas.openxmlformats.org/officeDocument/2006/relationships" name="Self_Evaluation_v0.4.0" sheetId="42" r:id="Ra9e94d2401c4417a"/>
    <x:sheet xmlns:r="http://schemas.openxmlformats.org/officeDocument/2006/relationships" name="Bayesian_Memory_v0.4.1" sheetId="43" r:id="R222b5e4cdc0a4ccc"/>
    <x:sheet xmlns:r="http://schemas.openxmlformats.org/officeDocument/2006/relationships" name="Dynamic_Strength_v0.4.1" sheetId="44" r:id="R8c19c5f99f574e66"/>
    <x:sheet xmlns:r="http://schemas.openxmlformats.org/officeDocument/2006/relationships" name="Prior_Sensitivity_v0.4.1" sheetId="45" r:id="R6606fdd704124f8d"/>
    <x:sheet xmlns:r="http://schemas.openxmlformats.org/officeDocument/2006/relationships" name="Memory_Governance_v0.4.1" sheetId="46" r:id="Ra88d7103fb94446d"/>
    <x:sheet xmlns:r="http://schemas.openxmlformats.org/officeDocument/2006/relationships" name="Walk_Forward_Bayes_v0.4.2" sheetId="47" r:id="R8e58dd1e1dbc4720"/>
    <x:sheet xmlns:r="http://schemas.openxmlformats.org/officeDocument/2006/relationships" name="WalkForward_Sensitivity_v0.4.2" sheetId="48" r:id="R8461d53b20cc4921"/>
    <x:sheet xmlns:r="http://schemas.openxmlformats.org/officeDocument/2006/relationships" name="Bayes_Governance_v0.4.2" sheetId="49" r:id="R1ad80895bb4041e8"/>
    <x:sheet xmlns:r="http://schemas.openxmlformats.org/officeDocument/2006/relationships" name="Team_Chronology_v0.4.3" sheetId="50" r:id="R8fd37c5da06e4406"/>
    <x:sheet xmlns:r="http://schemas.openxmlformats.org/officeDocument/2006/relationships" name="Decay_Memory_v0.4.3" sheetId="51" r:id="R411964c50bff40fc"/>
    <x:sheet xmlns:r="http://schemas.openxmlformats.org/officeDocument/2006/relationships" name="Change_Point_v0.4.3" sheetId="52" r:id="Rcda33631dab947da"/>
    <x:sheet xmlns:r="http://schemas.openxmlformats.org/officeDocument/2006/relationships" name="Live_Snapshot_v0.4.3" sheetId="53" r:id="Rddd1a978464843ef"/>
    <x:sheet xmlns:r="http://schemas.openxmlformats.org/officeDocument/2006/relationships" name="Recency_Governance_v0.4.3" sheetId="54" r:id="R706e7075cfd4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"/>
    <x:numFmt numFmtId="202" formatCode="0.0%"/>
    <x:numFmt numFmtId="203" formatCode="0.000"/>
    <x:numFmt numFmtId="204" formatCode="0%"/>
    <x:numFmt numFmtId="205" formatCode="0.0"/>
    <x:numFmt numFmtId="206" formatCode="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1"/>
      <x:color rgb="FF166534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</x:fonts>
  <x:fills count="18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312E81"/>
      </x:patternFill>
    </x:fill>
    <x:fill>
      <x:patternFill patternType="solid">
        <x:fgColor rgb="FF064E3B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  <x:fill>
      <x:patternFill patternType="solid">
        <x:fgColor rgb="FF7C2D12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374151"/>
      </x:patternFill>
    </x:fill>
    <x:fill>
      <x:patternFill patternType="solid">
        <x:fgColor rgb="FFF9FAFB"/>
      </x:patternFill>
    </x:fill>
    <x:fill>
      <x:patternFill patternType="solid">
        <x:fgColor rgb="FFFEE2E2"/>
      </x:patternFill>
    </x:fill>
    <x:fill>
      <x:patternFill patternType="solid">
        <x:fgColor rgb="FF7C2D12"/>
      </x:patternFill>
    </x:fill>
    <x:fill>
      <x:patternFill patternType="solid">
        <x:fgColor rgb="FF991B1B"/>
      </x:patternFill>
    </x:fill>
    <x:fill>
      <x:patternFill patternType="solid">
        <x:fgColor rgb="FFFFF7ED"/>
      </x:patternFill>
    </x:fill>
    <x:fill>
      <x:patternFill patternType="solid">
        <x:fgColor rgb="FFFEE2E2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3F4F6"/>
      </x:patternFill>
    </x:fill>
    <x:fill>
      <x:patternFill patternType="solid">
        <x:fgColor rgb="FF991B1B"/>
      </x:patternFill>
    </x:fill>
    <x:fill>
      <x:patternFill patternType="solid">
        <x:fgColor rgb="FFFFF7ED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92400E"/>
      </x:patternFill>
    </x:fill>
    <x:fill>
      <x:patternFill patternType="solid">
        <x:fgColor rgb="FFFFFB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374151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065F46"/>
      </x:patternFill>
    </x:fill>
    <x:fill>
      <x:patternFill patternType="solid">
        <x:fgColor rgb="FF312E81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12E81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F3F4F6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111827"/>
      </x:patternFill>
    </x:fill>
    <x:fill>
      <x:patternFill patternType="solid">
        <x:fgColor rgb="FF312E81"/>
      </x:patternFill>
    </x:fill>
    <x:fill>
      <x:patternFill patternType="solid">
        <x:fgColor rgb="FF1F2937"/>
      </x:patternFill>
    </x:fill>
    <x:fill>
      <x:patternFill patternType="solid">
        <x:fgColor rgb="FF065F46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12E81"/>
      </x:patternFill>
    </x:fill>
    <x:fill>
      <x:patternFill patternType="solid">
        <x:fgColor rgb="FF7C2D12"/>
      </x:patternFill>
    </x:fill>
    <x:fill>
      <x:patternFill patternType="solid">
        <x:fgColor rgb="FF065F46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7C2D12"/>
      </x:patternFill>
    </x:fill>
    <x:fill>
      <x:patternFill patternType="solid">
        <x:fgColor rgb="FF312E81"/>
      </x:patternFill>
    </x:fill>
    <x:fill>
      <x:patternFill patternType="solid">
        <x:fgColor rgb="FF065F46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12E81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312E81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7C2D12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  <x:fill>
      <x:patternFill patternType="solid">
        <x:fgColor rgb="FF312E81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312E81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7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203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3" fillId="19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horizontal="center" wrapText="1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horizontal="center"/>
    </x:xf>
    <x:xf numFmtId="0" fontId="1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/>
    </x:xf>
    <x:xf numFmtId="0" fontId="2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3" fillId="26" borderId="0" xfId="0" applyNumberFormat="1" applyFont="1" applyFill="1" applyBorder="1" applyAlignment="1">
      <x:alignment horizontal="center" wrapText="1"/>
    </x:xf>
    <x:xf numFmtId="0" fontId="2" fillId="2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horizont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center"/>
    </x:xf>
    <x:xf numFmtId="0" fontId="1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horizontal="center" wrapText="1"/>
    </x:xf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" fillId="28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3" fillId="34" borderId="0" xfId="0" applyNumberFormat="1" applyFont="1" applyFill="1" applyBorder="1" applyAlignment="1">
      <x:alignment horizontal="center" wrapText="1"/>
    </x:xf>
    <x:xf numFmtId="0" fontId="2" fillId="3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/>
    </x:xf>
    <x:xf numFmtId="0" fontId="1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horizontal="center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3" fillId="38" borderId="0" xfId="0" applyNumberFormat="1" applyFont="1" applyFill="1" applyBorder="1" applyAlignment="1">
      <x:alignment horizontal="center" wrapText="1"/>
    </x:xf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wrapText="1"/>
    </x:xf>
    <x:xf numFmtId="0" fontId="3" fillId="40" borderId="0" xfId="0" applyNumberFormat="1" applyFont="1" applyFill="1" applyBorder="1" applyAlignment="1">
      <x:alignment horizontal="center"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39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3" fillId="42" borderId="0" xfId="0" applyNumberFormat="1" applyFont="1" applyFill="1" applyBorder="1" applyAlignment="1">
      <x:alignment horizontal="center" wrapText="1"/>
    </x:xf>
    <x:xf numFmtId="0" fontId="2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1" fillId="44" borderId="0" xfId="0" applyNumberFormat="1" applyFont="1" applyFill="1" applyBorder="1"/>
    <x:xf numFmtId="0" fontId="1" fillId="44" borderId="0" xfId="0" applyNumberFormat="1" applyFont="1" applyFill="1" applyBorder="1" applyAlignment="1">
      <x:alignment horizontal="center"/>
    </x:xf>
    <x:xf numFmtId="0" fontId="1" fillId="44" borderId="0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horizontal="center" wrapText="1"/>
    </x:xf>
    <x:xf numFmtId="0" fontId="3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 applyAlignment="1">
      <x:alignment wrapText="1"/>
    </x:xf>
    <x:xf numFmtId="0" fontId="6" fillId="46" borderId="0" xfId="0" applyNumberFormat="1" applyFont="1" applyFill="1" applyBorder="1" applyAlignment="1">
      <x:alignment wrapText="1"/>
    </x:xf>
    <x:xf numFmtId="0" fontId="6" fillId="46" borderId="0" xfId="0" applyNumberFormat="1" applyFont="1" applyFill="1" applyBorder="1" applyAlignment="1">
      <x:alignment horizontal="center" wrapText="1"/>
    </x:xf>
    <x:xf numFmtId="0" fontId="6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3" fillId="47" borderId="0" xfId="0" applyNumberFormat="1" applyFont="1" applyFill="1" applyBorder="1"/>
    <x:xf numFmtId="0" fontId="3" fillId="47" borderId="0" xfId="0" applyNumberFormat="1" applyFont="1" applyFill="1" applyBorder="1" applyAlignment="1">
      <x:alignment wrapText="1"/>
    </x:xf>
    <x:xf numFmtId="0" fontId="3" fillId="47" borderId="0" xfId="0" applyNumberFormat="1" applyFont="1" applyFill="1" applyBorder="1" applyAlignment="1">
      <x:alignment horizontal="center" wrapText="1"/>
    </x:xf>
    <x:xf numFmtId="0" fontId="3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horizontal="center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0" fillId="50" borderId="0" xfId="0" applyNumberFormat="1" applyFont="1" applyFill="1" applyBorder="1"/>
    <x:xf numFmtId="0" fontId="3" fillId="50" borderId="0" xfId="0" applyNumberFormat="1" applyFont="1" applyFill="1" applyBorder="1"/>
    <x:xf numFmtId="0" fontId="3" fillId="50" borderId="0" xfId="0" applyNumberFormat="1" applyFont="1" applyFill="1" applyBorder="1" applyAlignment="1">
      <x:alignment wrapText="1"/>
    </x:xf>
    <x:xf numFmtId="0" fontId="3" fillId="50" borderId="0" xfId="0" applyNumberFormat="1" applyFont="1" applyFill="1" applyBorder="1" applyAlignment="1">
      <x:alignment horizontal="center" wrapText="1"/>
    </x:xf>
    <x:xf numFmtId="0" fontId="3" fillId="50" borderId="0" xfId="0" applyNumberFormat="1" applyFont="1" applyFill="1" applyBorder="1" applyAlignment="1">
      <x:alignment horizontal="center" vertical="center" wrapText="1"/>
    </x:xf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3" fillId="51" borderId="0" xfId="0" applyNumberFormat="1" applyFont="1" applyFill="1" applyBorder="1" applyAlignment="1">
      <x:alignment horizontal="center" wrapText="1"/>
    </x:xf>
    <x:xf numFmtId="0" fontId="3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3" fillId="52" borderId="0" xfId="0" applyNumberFormat="1" applyFont="1" applyFill="1" applyBorder="1"/>
    <x:xf numFmtId="0" fontId="3" fillId="52" borderId="0" xfId="0" applyNumberFormat="1" applyFont="1" applyFill="1" applyBorder="1" applyAlignment="1">
      <x:alignment horizontal="center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1" fillId="44" borderId="0" xfId="0" applyNumberFormat="1" applyFont="1" applyFill="1" applyBorder="1" applyAlignment="1">
      <x:alignment horizontal="center" vertical="center" wrapText="1"/>
    </x:xf>
    <x:xf numFmtId="0" fontId="3" fillId="48" borderId="0" xfId="0" applyNumberFormat="1" applyFont="1" applyFill="1" applyBorder="1" applyAlignment="1">
      <x:alignment horizontal="center" wrapText="1"/>
    </x:xf>
    <x:xf numFmtId="0" fontId="2" fillId="49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3" fillId="34" borderId="0" xfId="0" applyNumberFormat="1" applyFont="1" applyFill="1" applyBorder="1" applyAlignment="1">
      <x:alignment wrapText="1"/>
    </x:xf>
    <x:xf numFmtId="0" fontId="3" fillId="34" borderId="0" xfId="0" applyNumberFormat="1" applyFont="1" applyFill="1" applyBorder="1" applyAlignment="1">
      <x:alignment horizontal="center" vertical="center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/>
    </x:xf>
    <x:xf numFmtId="0" fontId="1" fillId="54" borderId="0" xfId="0" applyNumberFormat="1" applyFont="1" applyFill="1" applyBorder="1" applyAlignment="1">
      <x:alignment horizontal="center" vertical="center"/>
    </x:xf>
    <x:xf numFmtId="0" fontId="0" fillId="55" borderId="0" xfId="0" applyNumberFormat="1" applyFont="1" applyFill="1" applyBorder="1"/>
    <x:xf numFmtId="0" fontId="3" fillId="55" borderId="0" xfId="0" applyNumberFormat="1" applyFont="1" applyFill="1" applyBorder="1"/>
    <x:xf numFmtId="0" fontId="3" fillId="55" borderId="0" xfId="0" applyNumberFormat="1" applyFont="1" applyFill="1" applyBorder="1" applyAlignment="1">
      <x:alignment wrapText="1"/>
    </x:xf>
    <x:xf numFmtId="0" fontId="3" fillId="55" borderId="0" xfId="0" applyNumberFormat="1" applyFont="1" applyFill="1" applyBorder="1" applyAlignment="1">
      <x:alignment horizontal="center" wrapText="1"/>
    </x:xf>
    <x:xf numFmtId="0" fontId="3" fillId="55" borderId="0" xfId="0" applyNumberFormat="1" applyFont="1" applyFill="1" applyBorder="1" applyAlignment="1">
      <x:alignment horizontal="center" vertical="center" wrapText="1"/>
    </x:xf>
    <x:xf numFmtId="0" fontId="1" fillId="54" borderId="0" xfId="0" applyNumberFormat="1" applyFont="1" applyFill="1" applyBorder="1" applyAlignment="1">
      <x:alignment horizontal="center" vertical="center" wrapText="1"/>
    </x:xf>
    <x:xf numFmtId="0" fontId="0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horizontal="center"/>
    </x:xf>
    <x:xf numFmtId="0" fontId="0" fillId="58" borderId="0" xfId="0" applyNumberFormat="1" applyFont="1" applyFill="1" applyBorder="1"/>
    <x:xf numFmtId="0" fontId="2" fillId="58" borderId="0" xfId="0" applyNumberFormat="1" applyFont="1" applyFill="1" applyBorder="1"/>
    <x:xf numFmtId="0" fontId="0" fillId="59" borderId="0" xfId="0" applyNumberFormat="1" applyFont="1" applyFill="1" applyBorder="1"/>
    <x:xf numFmtId="0" fontId="2" fillId="59" borderId="0" xfId="0" applyNumberFormat="1" applyFont="1" applyFill="1" applyBorder="1"/>
    <x:xf numFmtId="0" fontId="2" fillId="59" borderId="0" xfId="0" applyNumberFormat="1" applyFont="1" applyFill="1" applyBorder="1" applyAlignment="1">
      <x:alignment wrapText="1"/>
    </x:xf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horizontal="center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3" fillId="60" borderId="0" xfId="0" applyNumberFormat="1" applyFont="1" applyFill="1" applyBorder="1" applyAlignment="1">
      <x:alignment horizontal="center" wrapText="1"/>
    </x:xf>
    <x:xf numFmtId="0" fontId="2" fillId="61" borderId="0" xfId="0" applyNumberFormat="1" applyFont="1" applyFill="1" applyBorder="1" applyAlignment="1">
      <x:alignment wrapText="1"/>
    </x:xf>
    <x:xf numFmtId="0" fontId="2" fillId="53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0" xfId="0" applyNumberFormat="1" applyFont="1" applyFill="1" applyBorder="1" applyAlignment="1">
      <x:alignment horizontal="center"/>
    </x:xf>
    <x:xf numFmtId="0" fontId="1" fillId="62" borderId="0" xfId="0" applyNumberFormat="1" applyFont="1" applyFill="1" applyBorder="1" applyAlignment="1">
      <x:alignment horizontal="center" vertical="center"/>
    </x:xf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0" fillId="64" borderId="0" xfId="0" applyNumberFormat="1" applyFont="1" applyFill="1" applyBorder="1"/>
    <x:xf numFmtId="0" fontId="3" fillId="64" borderId="0" xfId="0" applyNumberFormat="1" applyFont="1" applyFill="1" applyBorder="1"/>
    <x:xf numFmtId="0" fontId="3" fillId="64" borderId="0" xfId="0" applyNumberFormat="1" applyFont="1" applyFill="1" applyBorder="1" applyAlignment="1">
      <x:alignment wrapText="1"/>
    </x:xf>
    <x:xf numFmtId="0" fontId="3" fillId="64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 applyAlignment="1">
      <x:alignment horizontal="center" vertical="center" wrapText="1"/>
    </x:xf>
    <x:xf numFmtId="0" fontId="0" fillId="65" borderId="0" xfId="0" applyNumberFormat="1" applyFont="1" applyFill="1" applyBorder="1"/>
    <x:xf numFmtId="0" fontId="3" fillId="65" borderId="0" xfId="0" applyNumberFormat="1" applyFont="1" applyFill="1" applyBorder="1"/>
    <x:xf numFmtId="0" fontId="3" fillId="65" borderId="0" xfId="0" applyNumberFormat="1" applyFont="1" applyFill="1" applyBorder="1" applyAlignment="1">
      <x:alignment horizontal="center"/>
    </x:xf>
    <x:xf numFmtId="0" fontId="0" fillId="66" borderId="0" xfId="0" applyNumberFormat="1" applyFont="1" applyFill="1" applyBorder="1"/>
    <x:xf numFmtId="0" fontId="2" fillId="66" borderId="0" xfId="0" applyNumberFormat="1" applyFont="1" applyFill="1" applyBorder="1"/>
    <x:xf numFmtId="0" fontId="3" fillId="65" borderId="0" xfId="0" applyNumberFormat="1" applyFont="1" applyFill="1" applyBorder="1" applyAlignment="1">
      <x:alignment horizontal="center" wrapText="1"/>
    </x:xf>
    <x:xf numFmtId="0" fontId="2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/>
    <x:xf numFmtId="0" fontId="1" fillId="67" borderId="0" xfId="0" applyNumberFormat="1" applyFont="1" applyFill="1" applyBorder="1"/>
    <x:xf numFmtId="0" fontId="1" fillId="67" borderId="0" xfId="0" applyNumberFormat="1" applyFont="1" applyFill="1" applyBorder="1" applyAlignment="1">
      <x:alignment horizontal="center"/>
    </x:xf>
    <x:xf numFmtId="0" fontId="1" fillId="67" borderId="0" xfId="0" applyNumberFormat="1" applyFont="1" applyFill="1" applyBorder="1" applyAlignment="1">
      <x:alignment horizontal="center" vertical="center"/>
    </x:xf>
    <x:xf numFmtId="0" fontId="0" fillId="68" borderId="0" xfId="0" applyNumberFormat="1" applyFont="1" applyFill="1" applyBorder="1"/>
    <x:xf numFmtId="0" fontId="3" fillId="68" borderId="0" xfId="0" applyNumberFormat="1" applyFont="1" applyFill="1" applyBorder="1"/>
    <x:xf numFmtId="0" fontId="3" fillId="68" borderId="0" xfId="0" applyNumberFormat="1" applyFont="1" applyFill="1" applyBorder="1" applyAlignment="1">
      <x:alignment wrapText="1"/>
    </x:xf>
    <x:xf numFmtId="0" fontId="3" fillId="68" borderId="0" xfId="0" applyNumberFormat="1" applyFont="1" applyFill="1" applyBorder="1" applyAlignment="1">
      <x:alignment horizontal="center" wrapText="1"/>
    </x:xf>
    <x:xf numFmtId="0" fontId="3" fillId="68" borderId="0" xfId="0" applyNumberFormat="1" applyFont="1" applyFill="1" applyBorder="1" applyAlignment="1">
      <x:alignment horizontal="center" vertical="center" wrapText="1"/>
    </x:xf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3" fillId="69" borderId="0" xfId="0" applyNumberFormat="1" applyFont="1" applyFill="1" applyBorder="1" applyAlignment="1">
      <x:alignment horizontal="center" wrapText="1"/>
    </x:xf>
    <x:xf numFmtId="0" fontId="3" fillId="69" borderId="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" fillId="70" borderId="0" xfId="0" applyNumberFormat="1" applyFont="1" applyFill="1" applyBorder="1"/>
    <x:xf numFmtId="0" fontId="3" fillId="70" borderId="0" xfId="0" applyNumberFormat="1" applyFont="1" applyFill="1" applyBorder="1" applyAlignment="1">
      <x:alignment wrapText="1"/>
    </x:xf>
    <x:xf numFmtId="0" fontId="3" fillId="70" borderId="0" xfId="0" applyNumberFormat="1" applyFont="1" applyFill="1" applyBorder="1" applyAlignment="1">
      <x:alignment horizontal="center" wrapText="1"/>
    </x:xf>
    <x:xf numFmtId="0" fontId="0" fillId="71" borderId="0" xfId="0" applyNumberFormat="1" applyFont="1" applyFill="1" applyBorder="1"/>
    <x:xf numFmtId="0" fontId="3" fillId="71" borderId="0" xfId="0" applyNumberFormat="1" applyFont="1" applyFill="1" applyBorder="1"/>
    <x:xf numFmtId="0" fontId="3" fillId="71" borderId="0" xfId="0" applyNumberFormat="1" applyFont="1" applyFill="1" applyBorder="1" applyAlignment="1">
      <x:alignment wrapText="1"/>
    </x:xf>
    <x:xf numFmtId="0" fontId="3" fillId="71" borderId="0" xfId="0" applyNumberFormat="1" applyFont="1" applyFill="1" applyBorder="1" applyAlignment="1">
      <x:alignment horizontal="center" wrapText="1"/>
    </x:xf>
    <x:xf numFmtId="0" fontId="0" fillId="72" borderId="0" xfId="0" applyNumberFormat="1" applyFont="1" applyFill="1" applyBorder="1"/>
    <x:xf numFmtId="0" fontId="2" fillId="72" borderId="0" xfId="0" applyNumberFormat="1" applyFont="1" applyFill="1" applyBorder="1"/>
    <x:xf numFmtId="0" fontId="2" fillId="72" borderId="0" xfId="0" applyNumberFormat="1" applyFont="1" applyFill="1" applyBorder="1" applyAlignment="1">
      <x:alignment wrapText="1"/>
    </x:xf>
    <x:xf numFmtId="0" fontId="3" fillId="68" borderId="0" xfId="0" applyNumberFormat="1" applyFont="1" applyFill="1" applyBorder="1" applyAlignment="1">
      <x:alignment horizontal="center"/>
    </x:xf>
    <x:xf numFmtId="0" fontId="0" fillId="73" borderId="0" xfId="0" applyNumberFormat="1" applyFont="1" applyFill="1" applyBorder="1"/>
    <x:xf numFmtId="0" fontId="2" fillId="73" borderId="0" xfId="0" applyNumberFormat="1" applyFont="1" applyFill="1" applyBorder="1"/>
    <x:xf numFmtId="0" fontId="2" fillId="73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1" fillId="74" borderId="0" xfId="0" applyNumberFormat="1" applyFont="1" applyFill="1" applyBorder="1" applyAlignment="1">
      <x:alignment horizontal="center"/>
    </x:xf>
    <x:xf numFmtId="0" fontId="1" fillId="74" borderId="0" xfId="0" applyNumberFormat="1" applyFont="1" applyFill="1" applyBorder="1" applyAlignment="1">
      <x:alignment horizontal="center" vertical="center"/>
    </x:xf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wrapText="1"/>
    </x:xf>
    <x:xf numFmtId="0" fontId="3" fillId="75" borderId="0" xfId="0" applyNumberFormat="1" applyFont="1" applyFill="1" applyBorder="1" applyAlignment="1">
      <x:alignment horizontal="center" wrapText="1"/>
    </x:xf>
    <x:xf numFmtId="0" fontId="3" fillId="75" borderId="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" fillId="76" borderId="0" xfId="0" applyNumberFormat="1" applyFont="1" applyFill="1" applyBorder="1"/>
    <x:xf numFmtId="0" fontId="3" fillId="76" borderId="0" xfId="0" applyNumberFormat="1" applyFont="1" applyFill="1" applyBorder="1" applyAlignment="1">
      <x:alignment wrapText="1"/>
    </x:xf>
    <x:xf numFmtId="0" fontId="3" fillId="76" borderId="0" xfId="0" applyNumberFormat="1" applyFont="1" applyFill="1" applyBorder="1" applyAlignment="1">
      <x:alignment horizontal="center" wrapText="1"/>
    </x:xf>
    <x:xf numFmtId="0" fontId="3" fillId="76" borderId="0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3" fillId="77" borderId="0" xfId="0" applyNumberFormat="1" applyFont="1" applyFill="1" applyBorder="1"/>
    <x:xf numFmtId="0" fontId="3" fillId="77" borderId="0" xfId="0" applyNumberFormat="1" applyFont="1" applyFill="1" applyBorder="1" applyAlignment="1">
      <x:alignment wrapText="1"/>
    </x:xf>
    <x:xf numFmtId="0" fontId="3" fillId="77" borderId="0" xfId="0" applyNumberFormat="1" applyFont="1" applyFill="1" applyBorder="1" applyAlignment="1">
      <x:alignment horizontal="center" wrapText="1"/>
    </x:xf>
    <x:xf numFmtId="0" fontId="3" fillId="77" borderId="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3" fillId="78" borderId="0" xfId="0" applyNumberFormat="1" applyFont="1" applyFill="1" applyBorder="1" applyAlignment="1">
      <x:alignment wrapText="1"/>
    </x:xf>
    <x:xf numFmtId="0" fontId="3" fillId="78" borderId="0" xfId="0" applyNumberFormat="1" applyFont="1" applyFill="1" applyBorder="1" applyAlignment="1">
      <x:alignment horizontal="center" wrapText="1"/>
    </x:xf>
    <x:xf numFmtId="0" fontId="3" fillId="78" borderId="0" xfId="0" applyNumberFormat="1" applyFont="1" applyFill="1" applyBorder="1" applyAlignment="1">
      <x:alignment horizontal="center" vertical="center" wrapText="1"/>
    </x:xf>
    <x:xf numFmtId="0" fontId="0" fillId="79" borderId="0" xfId="0" applyNumberFormat="1" applyFont="1" applyFill="1" applyBorder="1"/>
    <x:xf numFmtId="0" fontId="3" fillId="79" borderId="0" xfId="0" applyNumberFormat="1" applyFont="1" applyFill="1" applyBorder="1"/>
    <x:xf numFmtId="0" fontId="3" fillId="79" borderId="0" xfId="0" applyNumberFormat="1" applyFont="1" applyFill="1" applyBorder="1" applyAlignment="1">
      <x:alignment horizontal="center"/>
    </x:xf>
    <x:xf numFmtId="0" fontId="0" fillId="80" borderId="0" xfId="0" applyNumberFormat="1" applyFont="1" applyFill="1" applyBorder="1"/>
    <x:xf numFmtId="0" fontId="2" fillId="80" borderId="0" xfId="0" applyNumberFormat="1" applyFont="1" applyFill="1" applyBorder="1"/>
    <x:xf numFmtId="0" fontId="0" fillId="81" borderId="0" xfId="0" applyNumberFormat="1" applyFont="1" applyFill="1" applyBorder="1"/>
    <x:xf numFmtId="0" fontId="3" fillId="81" borderId="0" xfId="0" applyNumberFormat="1" applyFont="1" applyFill="1" applyBorder="1"/>
    <x:xf numFmtId="0" fontId="3" fillId="81" borderId="0" xfId="0" applyNumberFormat="1" applyFont="1" applyFill="1" applyBorder="1" applyAlignment="1">
      <x:alignment wrapText="1"/>
    </x:xf>
    <x:xf numFmtId="0" fontId="3" fillId="81" borderId="0" xfId="0" applyNumberFormat="1" applyFont="1" applyFill="1" applyBorder="1" applyAlignment="1">
      <x:alignment horizontal="center" wrapText="1"/>
    </x:xf>
    <x:xf numFmtId="0" fontId="1" fillId="74" borderId="0" xfId="0" applyNumberFormat="1" applyFont="1" applyFill="1" applyBorder="1" applyAlignment="1">
      <x:alignment horizontal="center" vertical="center" wrapText="1"/>
    </x:xf>
    <x:xf numFmtId="0" fontId="3" fillId="81" borderId="0" xfId="0" applyNumberFormat="1" applyFont="1" applyFill="1" applyBorder="1" applyAlignment="1">
      <x:alignment horizontal="center"/>
    </x:xf>
    <x:xf numFmtId="0" fontId="0" fillId="82" borderId="0" xfId="0" applyNumberFormat="1" applyFont="1" applyFill="1" applyBorder="1"/>
    <x:xf numFmtId="0" fontId="2" fillId="82" borderId="0" xfId="0" applyNumberFormat="1" applyFont="1" applyFill="1" applyBorder="1"/>
    <x:xf numFmtId="0" fontId="2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2" fillId="83" borderId="0" xfId="0" applyNumberFormat="1" applyFont="1" applyFill="1" applyBorder="1"/>
    <x:xf numFmtId="0" fontId="2" fillId="83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/>
    <x:xf numFmtId="0" fontId="1" fillId="84" borderId="0" xfId="0" applyNumberFormat="1" applyFont="1" applyFill="1" applyBorder="1"/>
    <x:xf numFmtId="0" fontId="1" fillId="84" borderId="0" xfId="0" applyNumberFormat="1" applyFont="1" applyFill="1" applyBorder="1" applyAlignment="1">
      <x:alignment horizontal="center"/>
    </x:xf>
    <x:xf numFmtId="0" fontId="1" fillId="84" borderId="0" xfId="0" applyNumberFormat="1" applyFont="1" applyFill="1" applyBorder="1" applyAlignment="1">
      <x:alignment horizontal="center" vertical="center"/>
    </x:xf>
    <x:xf numFmtId="0" fontId="0" fillId="85" borderId="0" xfId="0" applyNumberFormat="1" applyFont="1" applyFill="1" applyBorder="1"/>
    <x:xf numFmtId="0" fontId="3" fillId="85" borderId="0" xfId="0" applyNumberFormat="1" applyFont="1" applyFill="1" applyBorder="1"/>
    <x:xf numFmtId="0" fontId="3" fillId="85" borderId="0" xfId="0" applyNumberFormat="1" applyFont="1" applyFill="1" applyBorder="1" applyAlignment="1">
      <x:alignment wrapText="1"/>
    </x:xf>
    <x:xf numFmtId="0" fontId="3" fillId="85" borderId="0" xfId="0" applyNumberFormat="1" applyFont="1" applyFill="1" applyBorder="1" applyAlignment="1">
      <x:alignment horizontal="center" wrapText="1"/>
    </x:xf>
    <x:xf numFmtId="0" fontId="3" fillId="85" borderId="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" fillId="86" borderId="0" xfId="0" applyNumberFormat="1" applyFont="1" applyFill="1" applyBorder="1"/>
    <x:xf numFmtId="0" fontId="3" fillId="86" borderId="0" xfId="0" applyNumberFormat="1" applyFont="1" applyFill="1" applyBorder="1" applyAlignment="1">
      <x:alignment wrapText="1"/>
    </x:xf>
    <x:xf numFmtId="0" fontId="3" fillId="86" borderId="0" xfId="0" applyNumberFormat="1" applyFont="1" applyFill="1" applyBorder="1" applyAlignment="1">
      <x:alignment horizontal="center" wrapText="1"/>
    </x:xf>
    <x:xf numFmtId="0" fontId="0" fillId="87" borderId="0" xfId="0" applyNumberFormat="1" applyFont="1" applyFill="1" applyBorder="1"/>
    <x:xf numFmtId="0" fontId="2" fillId="87" borderId="0" xfId="0" applyNumberFormat="1" applyFont="1" applyFill="1" applyBorder="1"/>
    <x:xf numFmtId="0" fontId="0" fillId="88" borderId="0" xfId="0" applyNumberFormat="1" applyFont="1" applyFill="1" applyBorder="1"/>
    <x:xf numFmtId="0" fontId="3" fillId="88" borderId="0" xfId="0" applyNumberFormat="1" applyFont="1" applyFill="1" applyBorder="1"/>
    <x:xf numFmtId="0" fontId="3" fillId="88" borderId="0" xfId="0" applyNumberFormat="1" applyFont="1" applyFill="1" applyBorder="1" applyAlignment="1">
      <x:alignment wrapText="1"/>
    </x:xf>
    <x:xf numFmtId="0" fontId="3" fillId="88" borderId="0" xfId="0" applyNumberFormat="1" applyFont="1" applyFill="1" applyBorder="1" applyAlignment="1">
      <x:alignment horizontal="center" wrapText="1"/>
    </x:xf>
    <x:xf numFmtId="0" fontId="0" fillId="89" borderId="0" xfId="0" applyNumberFormat="1" applyFont="1" applyFill="1" applyBorder="1"/>
    <x:xf numFmtId="0" fontId="2" fillId="89" borderId="0" xfId="0" applyNumberFormat="1" applyFont="1" applyFill="1" applyBorder="1"/>
    <x:xf numFmtId="0" fontId="2" fillId="89" borderId="0" xfId="0" applyNumberFormat="1" applyFont="1" applyFill="1" applyBorder="1" applyAlignment="1">
      <x:alignment wrapText="1"/>
    </x:xf>
    <x:xf numFmtId="0" fontId="1" fillId="84" borderId="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" fillId="90" borderId="0" xfId="0" applyNumberFormat="1" applyFont="1" applyFill="1" applyBorder="1"/>
    <x:xf numFmtId="0" fontId="0" fillId="91" borderId="0" xfId="0" applyNumberFormat="1" applyFont="1" applyFill="1" applyBorder="1"/>
    <x:xf numFmtId="0" fontId="2" fillId="91" borderId="0" xfId="0" applyNumberFormat="1" applyFont="1" applyFill="1" applyBorder="1"/>
    <x:xf numFmtId="0" fontId="3" fillId="86" borderId="0" xfId="0" applyNumberFormat="1" applyFont="1" applyFill="1" applyBorder="1" applyAlignment="1">
      <x:alignment horizontal="center"/>
    </x:xf>
    <x:xf numFmtId="0" fontId="2" fillId="87" borderId="0" xfId="0" applyNumberFormat="1" applyFont="1" applyFill="1" applyBorder="1" applyAlignment="1">
      <x:alignment wrapText="1"/>
    </x:xf>
    <x:xf numFmtId="0" fontId="0" fillId="92" borderId="0" xfId="0" applyNumberFormat="1" applyFont="1" applyFill="1" applyBorder="1"/>
    <x:xf numFmtId="0" fontId="1" fillId="92" borderId="0" xfId="0" applyNumberFormat="1" applyFont="1" applyFill="1" applyBorder="1"/>
    <x:xf numFmtId="0" fontId="1" fillId="92" borderId="0" xfId="0" applyNumberFormat="1" applyFont="1" applyFill="1" applyBorder="1" applyAlignment="1">
      <x:alignment horizontal="center"/>
    </x:xf>
    <x:xf numFmtId="0" fontId="1" fillId="92" borderId="0" xfId="0" applyNumberFormat="1" applyFont="1" applyFill="1" applyBorder="1" applyAlignment="1">
      <x:alignment horizontal="center" vertical="center"/>
    </x:xf>
    <x:xf numFmtId="0" fontId="0" fillId="93" borderId="0" xfId="0" applyNumberFormat="1" applyFont="1" applyFill="1" applyBorder="1"/>
    <x:xf numFmtId="0" fontId="3" fillId="93" borderId="0" xfId="0" applyNumberFormat="1" applyFont="1" applyFill="1" applyBorder="1"/>
    <x:xf numFmtId="0" fontId="3" fillId="93" borderId="0" xfId="0" applyNumberFormat="1" applyFont="1" applyFill="1" applyBorder="1" applyAlignment="1">
      <x:alignment wrapText="1"/>
    </x:xf>
    <x:xf numFmtId="0" fontId="3" fillId="93" borderId="0" xfId="0" applyNumberFormat="1" applyFont="1" applyFill="1" applyBorder="1" applyAlignment="1">
      <x:alignment horizontal="center" wrapText="1"/>
    </x:xf>
    <x:xf numFmtId="0" fontId="3" fillId="93" borderId="0" xfId="0" applyNumberFormat="1" applyFont="1" applyFill="1" applyBorder="1" applyAlignment="1">
      <x:alignment horizontal="center" vertical="center" wrapText="1"/>
    </x:xf>
    <x:xf numFmtId="0" fontId="0" fillId="94" borderId="0" xfId="0" applyNumberFormat="1" applyFont="1" applyFill="1" applyBorder="1"/>
    <x:xf numFmtId="0" fontId="3" fillId="94" borderId="0" xfId="0" applyNumberFormat="1" applyFont="1" applyFill="1" applyBorder="1"/>
    <x:xf numFmtId="0" fontId="3" fillId="94" borderId="0" xfId="0" applyNumberFormat="1" applyFont="1" applyFill="1" applyBorder="1" applyAlignment="1">
      <x:alignment wrapText="1"/>
    </x:xf>
    <x:xf numFmtId="0" fontId="3" fillId="94" borderId="0" xfId="0" applyNumberFormat="1" applyFont="1" applyFill="1" applyBorder="1" applyAlignment="1">
      <x:alignment horizontal="center" wrapText="1"/>
    </x:xf>
    <x:xf numFmtId="0" fontId="0" fillId="95" borderId="0" xfId="0" applyNumberFormat="1" applyFont="1" applyFill="1" applyBorder="1"/>
    <x:xf numFmtId="0" fontId="2" fillId="95" borderId="0" xfId="0" applyNumberFormat="1" applyFont="1" applyFill="1" applyBorder="1"/>
    <x:xf numFmtId="0" fontId="0" fillId="96" borderId="0" xfId="0" applyNumberFormat="1" applyFont="1" applyFill="1" applyBorder="1"/>
    <x:xf numFmtId="0" fontId="3" fillId="96" borderId="0" xfId="0" applyNumberFormat="1" applyFont="1" applyFill="1" applyBorder="1"/>
    <x:xf numFmtId="0" fontId="3" fillId="96" borderId="0" xfId="0" applyNumberFormat="1" applyFont="1" applyFill="1" applyBorder="1" applyAlignment="1">
      <x:alignment wrapText="1"/>
    </x:xf>
    <x:xf numFmtId="0" fontId="3" fillId="96" borderId="0" xfId="0" applyNumberFormat="1" applyFont="1" applyFill="1" applyBorder="1" applyAlignment="1">
      <x:alignment horizontal="center" wrapText="1"/>
    </x:xf>
    <x:xf numFmtId="0" fontId="0" fillId="97" borderId="0" xfId="0" applyNumberFormat="1" applyFont="1" applyFill="1" applyBorder="1"/>
    <x:xf numFmtId="0" fontId="2" fillId="97" borderId="0" xfId="0" applyNumberFormat="1" applyFont="1" applyFill="1" applyBorder="1"/>
    <x:xf numFmtId="0" fontId="1" fillId="92" borderId="0" xfId="0" applyNumberFormat="1" applyFont="1" applyFill="1" applyBorder="1" applyAlignment="1">
      <x:alignment horizontal="center" vertical="center" wrapText="1"/>
    </x:xf>
    <x:xf numFmtId="0" fontId="0" fillId="98" borderId="0" xfId="0" applyNumberFormat="1" applyFont="1" applyFill="1" applyBorder="1"/>
    <x:xf numFmtId="0" fontId="3" fillId="98" borderId="0" xfId="0" applyNumberFormat="1" applyFont="1" applyFill="1" applyBorder="1"/>
    <x:xf numFmtId="0" fontId="3" fillId="98" borderId="0" xfId="0" applyNumberFormat="1" applyFont="1" applyFill="1" applyBorder="1" applyAlignment="1">
      <x:alignment horizontal="center"/>
    </x:xf>
    <x:xf numFmtId="0" fontId="0" fillId="99" borderId="0" xfId="0" applyNumberFormat="1" applyFont="1" applyFill="1" applyBorder="1"/>
    <x:xf numFmtId="0" fontId="2" fillId="99" borderId="0" xfId="0" applyNumberFormat="1" applyFont="1" applyFill="1" applyBorder="1"/>
    <x:xf numFmtId="0" fontId="3" fillId="98" borderId="0" xfId="0" applyNumberFormat="1" applyFont="1" applyFill="1" applyBorder="1" applyAlignment="1">
      <x:alignment horizontal="center" wrapText="1"/>
    </x:xf>
    <x:xf numFmtId="0" fontId="2" fillId="99" borderId="0" xfId="0" applyNumberFormat="1" applyFont="1" applyFill="1" applyBorder="1" applyAlignment="1">
      <x:alignment wrapText="1"/>
    </x:xf>
    <x:xf numFmtId="0" fontId="0" fillId="100" borderId="0" xfId="0" applyNumberFormat="1" applyFont="1" applyFill="1" applyBorder="1"/>
    <x:xf numFmtId="0" fontId="2" fillId="100" borderId="0" xfId="0" applyNumberFormat="1" applyFont="1" applyFill="1" applyBorder="1"/>
    <x:xf numFmtId="0" fontId="2" fillId="100" borderId="0" xfId="0" applyNumberFormat="1" applyFont="1" applyFill="1" applyBorder="1" applyAlignment="1">
      <x:alignment wrapText="1"/>
    </x:xf>
    <x:xf numFmtId="0" fontId="0" fillId="101" borderId="0" xfId="0" applyNumberFormat="1" applyFont="1" applyFill="1" applyBorder="1"/>
    <x:xf numFmtId="0" fontId="1" fillId="101" borderId="0" xfId="0" applyNumberFormat="1" applyFont="1" applyFill="1" applyBorder="1"/>
    <x:xf numFmtId="0" fontId="1" fillId="101" borderId="0" xfId="0" applyNumberFormat="1" applyFont="1" applyFill="1" applyBorder="1" applyAlignment="1">
      <x:alignment horizontal="center"/>
    </x:xf>
    <x:xf numFmtId="0" fontId="1" fillId="101" borderId="0" xfId="0" applyNumberFormat="1" applyFont="1" applyFill="1" applyBorder="1" applyAlignment="1">
      <x:alignment horizontal="center" vertical="center"/>
    </x:xf>
    <x:xf numFmtId="0" fontId="0" fillId="102" borderId="0" xfId="0" applyNumberFormat="1" applyFont="1" applyFill="1" applyBorder="1"/>
    <x:xf numFmtId="0" fontId="3" fillId="102" borderId="0" xfId="0" applyNumberFormat="1" applyFont="1" applyFill="1" applyBorder="1"/>
    <x:xf numFmtId="0" fontId="3" fillId="102" borderId="0" xfId="0" applyNumberFormat="1" applyFont="1" applyFill="1" applyBorder="1" applyAlignment="1">
      <x:alignment wrapText="1"/>
    </x:xf>
    <x:xf numFmtId="0" fontId="3" fillId="102" borderId="0" xfId="0" applyNumberFormat="1" applyFont="1" applyFill="1" applyBorder="1" applyAlignment="1">
      <x:alignment horizontal="center" wrapText="1"/>
    </x:xf>
    <x:xf numFmtId="0" fontId="3" fillId="102" borderId="0" xfId="0" applyNumberFormat="1" applyFont="1" applyFill="1" applyBorder="1" applyAlignment="1">
      <x:alignment horizontal="center" vertical="center" wrapText="1"/>
    </x:xf>
    <x:xf numFmtId="0" fontId="1" fillId="10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0" fontId="0" fillId="103" borderId="0" xfId="0" applyNumberFormat="1" applyFont="1" applyFill="1" applyBorder="1"/>
    <x:xf numFmtId="0" fontId="3" fillId="103" borderId="0" xfId="0" applyNumberFormat="1" applyFont="1" applyFill="1" applyBorder="1"/>
    <x:xf numFmtId="0" fontId="3" fillId="103" borderId="0" xfId="0" applyNumberFormat="1" applyFont="1" applyFill="1" applyBorder="1" applyAlignment="1">
      <x:alignment horizontal="center"/>
    </x:xf>
    <x:xf numFmtId="0" fontId="3" fillId="103" borderId="0" xfId="0" applyNumberFormat="1" applyFont="1" applyFill="1" applyBorder="1" applyAlignment="1">
      <x:alignment horizontal="center" wrapText="1"/>
    </x:xf>
    <x:xf numFmtId="0" fontId="0" fillId="104" borderId="0" xfId="0" applyNumberFormat="1" applyFont="1" applyFill="1" applyBorder="1"/>
    <x:xf numFmtId="0" fontId="3" fillId="104" borderId="0" xfId="0" applyNumberFormat="1" applyFont="1" applyFill="1" applyBorder="1"/>
    <x:xf numFmtId="0" fontId="3" fillId="104" borderId="0" xfId="0" applyNumberFormat="1" applyFont="1" applyFill="1" applyBorder="1" applyAlignment="1">
      <x:alignment horizontal="center"/>
    </x:xf>
    <x:xf numFmtId="0" fontId="3" fillId="104" borderId="0" xfId="0" applyNumberFormat="1" applyFont="1" applyFill="1" applyBorder="1" applyAlignment="1">
      <x:alignment horizontal="center" wrapText="1"/>
    </x:xf>
    <x:xf numFmtId="0" fontId="0" fillId="105" borderId="0" xfId="0" applyNumberFormat="1" applyFont="1" applyFill="1" applyBorder="1"/>
    <x:xf numFmtId="0" fontId="3" fillId="105" borderId="0" xfId="0" applyNumberFormat="1" applyFont="1" applyFill="1" applyBorder="1"/>
    <x:xf numFmtId="0" fontId="3" fillId="105" borderId="0" xfId="0" applyNumberFormat="1" applyFont="1" applyFill="1" applyBorder="1" applyAlignment="1">
      <x:alignment wrapText="1"/>
    </x:xf>
    <x:xf numFmtId="0" fontId="3" fillId="105" borderId="0" xfId="0" applyNumberFormat="1" applyFont="1" applyFill="1" applyBorder="1" applyAlignment="1">
      <x:alignment horizontal="center" wrapText="1"/>
    </x:xf>
    <x:xf numFmtId="0" fontId="0" fillId="106" borderId="0" xfId="0" applyNumberFormat="1" applyFont="1" applyFill="1" applyBorder="1"/>
    <x:xf numFmtId="0" fontId="3" fillId="106" borderId="0" xfId="0" applyNumberFormat="1" applyFont="1" applyFill="1" applyBorder="1"/>
    <x:xf numFmtId="0" fontId="3" fillId="106" borderId="0" xfId="0" applyNumberFormat="1" applyFont="1" applyFill="1" applyBorder="1" applyAlignment="1">
      <x:alignment horizontal="center"/>
    </x:xf>
    <x:xf numFmtId="0" fontId="0" fillId="107" borderId="0" xfId="0" applyNumberFormat="1" applyFont="1" applyFill="1" applyBorder="1"/>
    <x:xf numFmtId="0" fontId="3" fillId="107" borderId="0" xfId="0" applyNumberFormat="1" applyFont="1" applyFill="1" applyBorder="1"/>
    <x:xf numFmtId="0" fontId="3" fillId="107" borderId="0" xfId="0" applyNumberFormat="1" applyFont="1" applyFill="1" applyBorder="1" applyAlignment="1">
      <x:alignment horizontal="center"/>
    </x:xf>
    <x:xf numFmtId="0" fontId="0" fillId="108" borderId="0" xfId="0" applyNumberFormat="1" applyFont="1" applyFill="1" applyBorder="1"/>
    <x:xf numFmtId="0" fontId="2" fillId="108" borderId="0" xfId="0" applyNumberFormat="1" applyFont="1" applyFill="1" applyBorder="1"/>
    <x:xf numFmtId="0" fontId="3" fillId="107" borderId="0" xfId="0" applyNumberFormat="1" applyFont="1" applyFill="1" applyBorder="1" applyAlignment="1">
      <x:alignment horizontal="center" wrapText="1"/>
    </x:xf>
    <x:xf numFmtId="0" fontId="2" fillId="108" borderId="0" xfId="0" applyNumberFormat="1" applyFont="1" applyFill="1" applyBorder="1" applyAlignment="1">
      <x:alignment wrapText="1"/>
    </x:xf>
    <x:xf numFmtId="0" fontId="0" fillId="109" borderId="0" xfId="0" applyNumberFormat="1" applyFont="1" applyFill="1" applyBorder="1"/>
    <x:xf numFmtId="0" fontId="2" fillId="109" borderId="0" xfId="0" applyNumberFormat="1" applyFont="1" applyFill="1" applyBorder="1"/>
    <x:xf numFmtId="0" fontId="2" fillId="109" borderId="0" xfId="0" applyNumberFormat="1" applyFont="1" applyFill="1" applyBorder="1" applyAlignment="1">
      <x:alignment wrapText="1"/>
    </x:xf>
    <x:xf numFmtId="0" fontId="0" fillId="110" borderId="0" xfId="0" applyNumberFormat="1" applyFont="1" applyFill="1" applyBorder="1"/>
    <x:xf numFmtId="0" fontId="1" fillId="110" borderId="0" xfId="0" applyNumberFormat="1" applyFont="1" applyFill="1" applyBorder="1"/>
    <x:xf numFmtId="0" fontId="1" fillId="110" borderId="0" xfId="0" applyNumberFormat="1" applyFont="1" applyFill="1" applyBorder="1" applyAlignment="1">
      <x:alignment horizontal="center"/>
    </x:xf>
    <x:xf numFmtId="0" fontId="1" fillId="110" borderId="0" xfId="0" applyNumberFormat="1" applyFont="1" applyFill="1" applyBorder="1" applyAlignment="1">
      <x:alignment horizontal="center" vertical="center"/>
    </x:xf>
    <x:xf numFmtId="0" fontId="0" fillId="111" borderId="0" xfId="0" applyNumberFormat="1" applyFont="1" applyFill="1" applyBorder="1"/>
    <x:xf numFmtId="0" fontId="3" fillId="111" borderId="0" xfId="0" applyNumberFormat="1" applyFont="1" applyFill="1" applyBorder="1"/>
    <x:xf numFmtId="0" fontId="3" fillId="111" borderId="0" xfId="0" applyNumberFormat="1" applyFont="1" applyFill="1" applyBorder="1" applyAlignment="1">
      <x:alignment wrapText="1"/>
    </x:xf>
    <x:xf numFmtId="0" fontId="3" fillId="111" borderId="0" xfId="0" applyNumberFormat="1" applyFont="1" applyFill="1" applyBorder="1" applyAlignment="1">
      <x:alignment horizontal="center" wrapText="1"/>
    </x:xf>
    <x:xf numFmtId="0" fontId="3" fillId="111" borderId="0" xfId="0" applyNumberFormat="1" applyFont="1" applyFill="1" applyBorder="1" applyAlignment="1">
      <x:alignment horizontal="center" vertical="center" wrapText="1"/>
    </x:xf>
    <x:xf numFmtId="0" fontId="0" fillId="112" borderId="0" xfId="0" applyNumberFormat="1" applyFont="1" applyFill="1" applyBorder="1"/>
    <x:xf numFmtId="0" fontId="3" fillId="112" borderId="0" xfId="0" applyNumberFormat="1" applyFont="1" applyFill="1" applyBorder="1"/>
    <x:xf numFmtId="0" fontId="3" fillId="112" borderId="0" xfId="0" applyNumberFormat="1" applyFont="1" applyFill="1" applyBorder="1" applyAlignment="1">
      <x:alignment wrapText="1"/>
    </x:xf>
    <x:xf numFmtId="0" fontId="3" fillId="112" borderId="0" xfId="0" applyNumberFormat="1" applyFont="1" applyFill="1" applyBorder="1" applyAlignment="1">
      <x:alignment horizontal="center" wrapText="1"/>
    </x:xf>
    <x:xf numFmtId="0" fontId="0" fillId="113" borderId="0" xfId="0" applyNumberFormat="1" applyFont="1" applyFill="1" applyBorder="1"/>
    <x:xf numFmtId="0" fontId="3" fillId="113" borderId="0" xfId="0" applyNumberFormat="1" applyFont="1" applyFill="1" applyBorder="1"/>
    <x:xf numFmtId="0" fontId="3" fillId="113" borderId="0" xfId="0" applyNumberFormat="1" applyFont="1" applyFill="1" applyBorder="1" applyAlignment="1">
      <x:alignment wrapText="1"/>
    </x:xf>
    <x:xf numFmtId="0" fontId="3" fillId="113" borderId="0" xfId="0" applyNumberFormat="1" applyFont="1" applyFill="1" applyBorder="1" applyAlignment="1">
      <x:alignment horizontal="center" wrapText="1"/>
    </x:xf>
    <x:xf numFmtId="0" fontId="0" fillId="114" borderId="0" xfId="0" applyNumberFormat="1" applyFont="1" applyFill="1" applyBorder="1"/>
    <x:xf numFmtId="0" fontId="2" fillId="114" borderId="0" xfId="0" applyNumberFormat="1" applyFont="1" applyFill="1" applyBorder="1"/>
    <x:xf numFmtId="0" fontId="1" fillId="110" borderId="0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" fillId="115" borderId="0" xfId="0" applyNumberFormat="1" applyFont="1" applyFill="1" applyBorder="1"/>
    <x:xf numFmtId="0" fontId="3" fillId="115" borderId="0" xfId="0" applyNumberFormat="1" applyFont="1" applyFill="1" applyBorder="1" applyAlignment="1">
      <x:alignment wrapText="1"/>
    </x:xf>
    <x:xf numFmtId="0" fontId="3" fillId="115" borderId="0" xfId="0" applyNumberFormat="1" applyFont="1" applyFill="1" applyBorder="1" applyAlignment="1">
      <x:alignment horizontal="center" wrapText="1"/>
    </x:xf>
    <x:xf numFmtId="0" fontId="0" fillId="116" borderId="0" xfId="0" applyNumberFormat="1" applyFont="1" applyFill="1" applyBorder="1"/>
    <x:xf numFmtId="0" fontId="2" fillId="116" borderId="0" xfId="0" applyNumberFormat="1" applyFont="1" applyFill="1" applyBorder="1"/>
    <x:xf numFmtId="0" fontId="2" fillId="11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117" borderId="0" xfId="0" applyNumberFormat="1" applyFont="1" applyFill="1" applyBorder="1"/>
    <x:xf numFmtId="0" fontId="3" fillId="117" borderId="0" xfId="0" applyNumberFormat="1" applyFont="1" applyFill="1" applyBorder="1"/>
    <x:xf numFmtId="0" fontId="3" fillId="117" borderId="0" xfId="0" applyNumberFormat="1" applyFont="1" applyFill="1" applyBorder="1" applyAlignment="1">
      <x:alignment wrapText="1"/>
    </x:xf>
    <x:xf numFmtId="0" fontId="3" fillId="117" borderId="0" xfId="0" applyNumberFormat="1" applyFont="1" applyFill="1" applyBorder="1" applyAlignment="1">
      <x:alignment horizontal="center" wrapText="1"/>
    </x:xf>
    <x:xf numFmtId="0" fontId="0" fillId="118" borderId="0" xfId="0" applyNumberFormat="1" applyFont="1" applyFill="1" applyBorder="1"/>
    <x:xf numFmtId="0" fontId="2" fillId="118" borderId="0" xfId="0" applyNumberFormat="1" applyFont="1" applyFill="1" applyBorder="1"/>
    <x:xf numFmtId="0" fontId="2" fillId="118" borderId="0" xfId="0" applyNumberFormat="1" applyFont="1" applyFill="1" applyBorder="1" applyAlignment="1">
      <x:alignment wrapText="1"/>
    </x:xf>
    <x:xf numFmtId="0" fontId="0" fillId="119" borderId="0" xfId="0" applyNumberFormat="1" applyFont="1" applyFill="1" applyBorder="1"/>
    <x:xf numFmtId="0" fontId="3" fillId="119" borderId="0" xfId="0" applyNumberFormat="1" applyFont="1" applyFill="1" applyBorder="1"/>
    <x:xf numFmtId="0" fontId="3" fillId="119" borderId="0" xfId="0" applyNumberFormat="1" applyFont="1" applyFill="1" applyBorder="1" applyAlignment="1">
      <x:alignment horizontal="center"/>
    </x:xf>
    <x:xf numFmtId="0" fontId="0" fillId="120" borderId="0" xfId="0" applyNumberFormat="1" applyFont="1" applyFill="1" applyBorder="1"/>
    <x:xf numFmtId="0" fontId="2" fillId="120" borderId="0" xfId="0" applyNumberFormat="1" applyFont="1" applyFill="1" applyBorder="1"/>
    <x:xf numFmtId="0" fontId="3" fillId="119" borderId="0" xfId="0" applyNumberFormat="1" applyFont="1" applyFill="1" applyBorder="1" applyAlignment="1">
      <x:alignment horizontal="center" wrapText="1"/>
    </x:xf>
    <x:xf numFmtId="0" fontId="2" fillId="120" borderId="0" xfId="0" applyNumberFormat="1" applyFont="1" applyFill="1" applyBorder="1" applyAlignment="1">
      <x:alignment wrapText="1"/>
    </x:xf>
    <x:xf numFmtId="0" fontId="0" fillId="121" borderId="0" xfId="0" applyNumberFormat="1" applyFont="1" applyFill="1" applyBorder="1"/>
    <x:xf numFmtId="0" fontId="2" fillId="121" borderId="0" xfId="0" applyNumberFormat="1" applyFont="1" applyFill="1" applyBorder="1"/>
    <x:xf numFmtId="0" fontId="2" fillId="121" borderId="0" xfId="0" applyNumberFormat="1" applyFont="1" applyFill="1" applyBorder="1" applyAlignment="1">
      <x:alignment wrapText="1"/>
    </x:xf>
    <x:xf numFmtId="0" fontId="3" fillId="79" borderId="0" xfId="0" applyNumberFormat="1" applyFont="1" applyFill="1" applyBorder="1" applyAlignment="1">
      <x:alignment wrapText="1"/>
    </x:xf>
    <x:xf numFmtId="0" fontId="3" fillId="79" borderId="0" xfId="0" applyNumberFormat="1" applyFont="1" applyFill="1" applyBorder="1" applyAlignment="1">
      <x:alignment horizontal="center" wrapText="1"/>
    </x:xf>
    <x:xf numFmtId="0" fontId="0" fillId="122" borderId="0" xfId="0" applyNumberFormat="1" applyFont="1" applyFill="1" applyBorder="1"/>
    <x:xf numFmtId="0" fontId="1" fillId="122" borderId="0" xfId="0" applyNumberFormat="1" applyFont="1" applyFill="1" applyBorder="1"/>
    <x:xf numFmtId="0" fontId="1" fillId="122" borderId="0" xfId="0" applyNumberFormat="1" applyFont="1" applyFill="1" applyBorder="1" applyAlignment="1">
      <x:alignment horizontal="center"/>
    </x:xf>
    <x:xf numFmtId="0" fontId="1" fillId="122" borderId="0" xfId="0" applyNumberFormat="1" applyFont="1" applyFill="1" applyBorder="1" applyAlignment="1">
      <x:alignment horizontal="center" vertical="center"/>
    </x:xf>
    <x:xf numFmtId="0" fontId="0" fillId="123" borderId="0" xfId="0" applyNumberFormat="1" applyFont="1" applyFill="1" applyBorder="1"/>
    <x:xf numFmtId="0" fontId="3" fillId="123" borderId="0" xfId="0" applyNumberFormat="1" applyFont="1" applyFill="1" applyBorder="1"/>
    <x:xf numFmtId="0" fontId="3" fillId="123" borderId="0" xfId="0" applyNumberFormat="1" applyFont="1" applyFill="1" applyBorder="1" applyAlignment="1">
      <x:alignment wrapText="1"/>
    </x:xf>
    <x:xf numFmtId="0" fontId="3" fillId="123" borderId="0" xfId="0" applyNumberFormat="1" applyFont="1" applyFill="1" applyBorder="1" applyAlignment="1">
      <x:alignment horizontal="center" wrapText="1"/>
    </x:xf>
    <x:xf numFmtId="0" fontId="3" fillId="123" borderId="0" xfId="0" applyNumberFormat="1" applyFont="1" applyFill="1" applyBorder="1" applyAlignment="1">
      <x:alignment horizontal="center" vertical="center" wrapText="1"/>
    </x:xf>
    <x:xf numFmtId="0" fontId="1" fillId="122" borderId="0" xfId="0" applyNumberFormat="1" applyFont="1" applyFill="1" applyBorder="1" applyAlignment="1">
      <x:alignment horizontal="center" vertical="center" wrapText="1"/>
    </x:xf>
    <x:xf numFmtId="0" fontId="0" fillId="124" borderId="0" xfId="0" applyNumberFormat="1" applyFont="1" applyFill="1" applyBorder="1"/>
    <x:xf numFmtId="0" fontId="3" fillId="124" borderId="0" xfId="0" applyNumberFormat="1" applyFont="1" applyFill="1" applyBorder="1"/>
    <x:xf numFmtId="0" fontId="3" fillId="124" borderId="0" xfId="0" applyNumberFormat="1" applyFont="1" applyFill="1" applyBorder="1" applyAlignment="1">
      <x:alignment wrapText="1"/>
    </x:xf>
    <x:xf numFmtId="0" fontId="3" fillId="124" borderId="0" xfId="0" applyNumberFormat="1" applyFont="1" applyFill="1" applyBorder="1" applyAlignment="1">
      <x:alignment horizontal="center" wrapText="1"/>
    </x:xf>
    <x:xf numFmtId="0" fontId="0" fillId="125" borderId="0" xfId="0" applyNumberFormat="1" applyFont="1" applyFill="1" applyBorder="1"/>
    <x:xf numFmtId="0" fontId="2" fillId="125" borderId="0" xfId="0" applyNumberFormat="1" applyFont="1" applyFill="1" applyBorder="1"/>
    <x:xf numFmtId="0" fontId="2" fillId="125" borderId="0" xfId="0" applyNumberFormat="1" applyFont="1" applyFill="1" applyBorder="1" applyAlignment="1">
      <x:alignment wrapText="1"/>
    </x:xf>
    <x:xf numFmtId="0" fontId="0" fillId="126" borderId="0" xfId="0" applyNumberFormat="1" applyFont="1" applyFill="1" applyBorder="1"/>
    <x:xf numFmtId="0" fontId="3" fillId="126" borderId="0" xfId="0" applyNumberFormat="1" applyFont="1" applyFill="1" applyBorder="1"/>
    <x:xf numFmtId="0" fontId="3" fillId="126" borderId="0" xfId="0" applyNumberFormat="1" applyFont="1" applyFill="1" applyBorder="1" applyAlignment="1">
      <x:alignment horizontal="center"/>
    </x:xf>
    <x:xf numFmtId="0" fontId="0" fillId="127" borderId="0" xfId="0" applyNumberFormat="1" applyFont="1" applyFill="1" applyBorder="1"/>
    <x:xf numFmtId="0" fontId="2" fillId="127" borderId="0" xfId="0" applyNumberFormat="1" applyFont="1" applyFill="1" applyBorder="1"/>
    <x:xf numFmtId="0" fontId="0" fillId="128" borderId="0" xfId="0" applyNumberFormat="1" applyFont="1" applyFill="1" applyBorder="1"/>
    <x:xf numFmtId="0" fontId="3" fillId="128" borderId="0" xfId="0" applyNumberFormat="1" applyFont="1" applyFill="1" applyBorder="1"/>
    <x:xf numFmtId="0" fontId="3" fillId="128" borderId="0" xfId="0" applyNumberFormat="1" applyFont="1" applyFill="1" applyBorder="1" applyAlignment="1">
      <x:alignment horizontal="center"/>
    </x:xf>
    <x:xf numFmtId="0" fontId="0" fillId="129" borderId="0" xfId="0" applyNumberFormat="1" applyFont="1" applyFill="1" applyBorder="1"/>
    <x:xf numFmtId="0" fontId="2" fillId="129" borderId="0" xfId="0" applyNumberFormat="1" applyFont="1" applyFill="1" applyBorder="1"/>
    <x:xf numFmtId="0" fontId="3" fillId="128" borderId="0" xfId="0" applyNumberFormat="1" applyFont="1" applyFill="1" applyBorder="1" applyAlignment="1">
      <x:alignment horizontal="center" wrapText="1"/>
    </x:xf>
    <x:xf numFmtId="0" fontId="2" fillId="129" borderId="0" xfId="0" applyNumberFormat="1" applyFont="1" applyFill="1" applyBorder="1" applyAlignment="1">
      <x:alignment wrapText="1"/>
    </x:xf>
    <x:xf numFmtId="0" fontId="0" fillId="130" borderId="0" xfId="0" applyNumberFormat="1" applyFont="1" applyFill="1" applyBorder="1"/>
    <x:xf numFmtId="0" fontId="2" fillId="130" borderId="0" xfId="0" applyNumberFormat="1" applyFont="1" applyFill="1" applyBorder="1"/>
    <x:xf numFmtId="0" fontId="2" fillId="130" borderId="0" xfId="0" applyNumberFormat="1" applyFont="1" applyFill="1" applyBorder="1" applyAlignment="1">
      <x:alignment wrapText="1"/>
    </x:xf>
    <x:xf numFmtId="0" fontId="0" fillId="131" borderId="0" xfId="0" applyNumberFormat="1" applyFont="1" applyFill="1" applyBorder="1"/>
    <x:xf numFmtId="0" fontId="3" fillId="131" borderId="0" xfId="0" applyNumberFormat="1" applyFont="1" applyFill="1" applyBorder="1"/>
    <x:xf numFmtId="0" fontId="3" fillId="131" borderId="0" xfId="0" applyNumberFormat="1" applyFont="1" applyFill="1" applyBorder="1" applyAlignment="1">
      <x:alignment horizontal="center"/>
    </x:xf>
    <x:xf numFmtId="0" fontId="0" fillId="132" borderId="0" xfId="0" applyNumberFormat="1" applyFont="1" applyFill="1" applyBorder="1"/>
    <x:xf numFmtId="0" fontId="2" fillId="132" borderId="0" xfId="0" applyNumberFormat="1" applyFont="1" applyFill="1" applyBorder="1"/>
    <x:xf numFmtId="0" fontId="3" fillId="131" borderId="0" xfId="0" applyNumberFormat="1" applyFont="1" applyFill="1" applyBorder="1" applyAlignment="1">
      <x:alignment horizontal="center" wrapText="1"/>
    </x:xf>
    <x:xf numFmtId="0" fontId="2" fillId="132" borderId="0" xfId="0" applyNumberFormat="1" applyFont="1" applyFill="1" applyBorder="1" applyAlignment="1">
      <x:alignment wrapText="1"/>
    </x:xf>
    <x:xf numFmtId="0" fontId="0" fillId="133" borderId="0" xfId="0" applyNumberFormat="1" applyFont="1" applyFill="1" applyBorder="1"/>
    <x:xf numFmtId="0" fontId="1" fillId="133" borderId="0" xfId="0" applyNumberFormat="1" applyFont="1" applyFill="1" applyBorder="1"/>
    <x:xf numFmtId="0" fontId="1" fillId="133" borderId="0" xfId="0" applyNumberFormat="1" applyFont="1" applyFill="1" applyBorder="1" applyAlignment="1">
      <x:alignment horizontal="center"/>
    </x:xf>
    <x:xf numFmtId="0" fontId="1" fillId="133" borderId="0" xfId="0" applyNumberFormat="1" applyFont="1" applyFill="1" applyBorder="1" applyAlignment="1">
      <x:alignment horizontal="center" vertical="center"/>
    </x:xf>
    <x:xf numFmtId="0" fontId="0" fillId="134" borderId="0" xfId="0" applyNumberFormat="1" applyFont="1" applyFill="1" applyBorder="1"/>
    <x:xf numFmtId="0" fontId="3" fillId="134" borderId="0" xfId="0" applyNumberFormat="1" applyFont="1" applyFill="1" applyBorder="1"/>
    <x:xf numFmtId="0" fontId="3" fillId="134" borderId="0" xfId="0" applyNumberFormat="1" applyFont="1" applyFill="1" applyBorder="1" applyAlignment="1">
      <x:alignment wrapText="1"/>
    </x:xf>
    <x:xf numFmtId="0" fontId="3" fillId="134" borderId="0" xfId="0" applyNumberFormat="1" applyFont="1" applyFill="1" applyBorder="1" applyAlignment="1">
      <x:alignment horizontal="center" wrapText="1"/>
    </x:xf>
    <x:xf numFmtId="0" fontId="3" fillId="134" borderId="0" xfId="0" applyNumberFormat="1" applyFont="1" applyFill="1" applyBorder="1" applyAlignment="1">
      <x:alignment horizontal="center" vertical="center" wrapText="1"/>
    </x:xf>
    <x:xf numFmtId="0" fontId="1" fillId="133" borderId="0" xfId="0" applyNumberFormat="1" applyFont="1" applyFill="1" applyBorder="1" applyAlignment="1">
      <x:alignment horizontal="center" vertical="center" wrapText="1"/>
    </x:xf>
    <x:xf numFmtId="0" fontId="0" fillId="135" borderId="0" xfId="0" applyNumberFormat="1" applyFont="1" applyFill="1" applyBorder="1"/>
    <x:xf numFmtId="0" fontId="3" fillId="135" borderId="0" xfId="0" applyNumberFormat="1" applyFont="1" applyFill="1" applyBorder="1"/>
    <x:xf numFmtId="0" fontId="3" fillId="135" borderId="0" xfId="0" applyNumberFormat="1" applyFont="1" applyFill="1" applyBorder="1" applyAlignment="1">
      <x:alignment wrapText="1"/>
    </x:xf>
    <x:xf numFmtId="0" fontId="3" fillId="135" borderId="0" xfId="0" applyNumberFormat="1" applyFont="1" applyFill="1" applyBorder="1" applyAlignment="1">
      <x:alignment horizontal="center" wrapText="1"/>
    </x:xf>
    <x:xf numFmtId="0" fontId="0" fillId="136" borderId="0" xfId="0" applyNumberFormat="1" applyFont="1" applyFill="1" applyBorder="1"/>
    <x:xf numFmtId="0" fontId="2" fillId="136" borderId="0" xfId="0" applyNumberFormat="1" applyFont="1" applyFill="1" applyBorder="1"/>
    <x:xf numFmtId="0" fontId="2" fillId="136" borderId="0" xfId="0" applyNumberFormat="1" applyFont="1" applyFill="1" applyBorder="1" applyAlignment="1">
      <x:alignment wrapText="1"/>
    </x:xf>
    <x:xf numFmtId="0" fontId="0" fillId="137" borderId="0" xfId="0" applyNumberFormat="1" applyFont="1" applyFill="1" applyBorder="1"/>
    <x:xf numFmtId="0" fontId="3" fillId="137" borderId="0" xfId="0" applyNumberFormat="1" applyFont="1" applyFill="1" applyBorder="1"/>
    <x:xf numFmtId="0" fontId="3" fillId="137" borderId="0" xfId="0" applyNumberFormat="1" applyFont="1" applyFill="1" applyBorder="1" applyAlignment="1">
      <x:alignment wrapText="1"/>
    </x:xf>
    <x:xf numFmtId="0" fontId="3" fillId="137" borderId="0" xfId="0" applyNumberFormat="1" applyFont="1" applyFill="1" applyBorder="1" applyAlignment="1">
      <x:alignment horizontal="center" wrapText="1"/>
    </x:xf>
    <x:xf numFmtId="0" fontId="0" fillId="138" borderId="0" xfId="0" applyNumberFormat="1" applyFont="1" applyFill="1" applyBorder="1"/>
    <x:xf numFmtId="0" fontId="3" fillId="138" borderId="0" xfId="0" applyNumberFormat="1" applyFont="1" applyFill="1" applyBorder="1"/>
    <x:xf numFmtId="0" fontId="3" fillId="138" borderId="0" xfId="0" applyNumberFormat="1" applyFont="1" applyFill="1" applyBorder="1" applyAlignment="1">
      <x:alignment wrapText="1"/>
    </x:xf>
    <x:xf numFmtId="0" fontId="3" fillId="138" borderId="0" xfId="0" applyNumberFormat="1" applyFont="1" applyFill="1" applyBorder="1" applyAlignment="1">
      <x:alignment horizontal="center" wrapText="1"/>
    </x:xf>
    <x:xf numFmtId="0" fontId="0" fillId="139" borderId="0" xfId="0" applyNumberFormat="1" applyFont="1" applyFill="1" applyBorder="1"/>
    <x:xf numFmtId="0" fontId="2" fillId="139" borderId="0" xfId="0" applyNumberFormat="1" applyFont="1" applyFill="1" applyBorder="1"/>
    <x:xf numFmtId="0" fontId="2" fillId="139" borderId="0" xfId="0" applyNumberFormat="1" applyFont="1" applyFill="1" applyBorder="1" applyAlignment="1">
      <x:alignment wrapText="1"/>
    </x:xf>
    <x:xf numFmtId="0" fontId="0" fillId="140" borderId="0" xfId="0" applyNumberFormat="1" applyFont="1" applyFill="1" applyBorder="1"/>
    <x:xf numFmtId="0" fontId="3" fillId="140" borderId="0" xfId="0" applyNumberFormat="1" applyFont="1" applyFill="1" applyBorder="1"/>
    <x:xf numFmtId="0" fontId="3" fillId="140" borderId="0" xfId="0" applyNumberFormat="1" applyFont="1" applyFill="1" applyBorder="1" applyAlignment="1">
      <x:alignment horizontal="center"/>
    </x:xf>
    <x:xf numFmtId="0" fontId="0" fillId="141" borderId="0" xfId="0" applyNumberFormat="1" applyFont="1" applyFill="1" applyBorder="1"/>
    <x:xf numFmtId="0" fontId="2" fillId="141" borderId="0" xfId="0" applyNumberFormat="1" applyFont="1" applyFill="1" applyBorder="1"/>
    <x:xf numFmtId="0" fontId="3" fillId="140" borderId="0" xfId="0" applyNumberFormat="1" applyFont="1" applyFill="1" applyBorder="1" applyAlignment="1">
      <x:alignment horizontal="center" wrapText="1"/>
    </x:xf>
    <x:xf numFmtId="0" fontId="2" fillId="141" borderId="0" xfId="0" applyNumberFormat="1" applyFont="1" applyFill="1" applyBorder="1" applyAlignment="1">
      <x:alignment wrapText="1"/>
    </x:xf>
    <x:xf numFmtId="0" fontId="0" fillId="142" borderId="0" xfId="0" applyNumberFormat="1" applyFont="1" applyFill="1" applyBorder="1"/>
    <x:xf numFmtId="0" fontId="2" fillId="142" borderId="0" xfId="0" applyNumberFormat="1" applyFont="1" applyFill="1" applyBorder="1"/>
    <x:xf numFmtId="0" fontId="2" fillId="142" borderId="0" xfId="0" applyNumberFormat="1" applyFont="1" applyFill="1" applyBorder="1" applyAlignment="1">
      <x:alignment wrapText="1"/>
    </x:xf>
    <x:xf numFmtId="0" fontId="0" fillId="143" borderId="0" xfId="0" applyNumberFormat="1" applyFont="1" applyFill="1" applyBorder="1"/>
    <x:xf numFmtId="0" fontId="7" fillId="143" borderId="0" xfId="0" applyNumberFormat="1" applyFont="1" applyFill="1" applyBorder="1"/>
    <x:xf numFmtId="0" fontId="7" fillId="143" borderId="0" xfId="0" applyNumberFormat="1" applyFont="1" applyFill="1" applyBorder="1" applyAlignment="1">
      <x:alignment horizontal="center"/>
    </x:xf>
    <x:xf numFmtId="0" fontId="7" fillId="143" borderId="0" xfId="0" applyNumberFormat="1" applyFont="1" applyFill="1" applyBorder="1" applyAlignment="1">
      <x:alignment horizontal="center" vertical="center"/>
    </x:xf>
    <x:xf numFmtId="0" fontId="0" fillId="144" borderId="0" xfId="0" applyNumberFormat="1" applyFont="1" applyFill="1" applyBorder="1"/>
    <x:xf numFmtId="0" fontId="3" fillId="144" borderId="0" xfId="0" applyNumberFormat="1" applyFont="1" applyFill="1" applyBorder="1"/>
    <x:xf numFmtId="0" fontId="3" fillId="144" borderId="0" xfId="0" applyNumberFormat="1" applyFont="1" applyFill="1" applyBorder="1" applyAlignment="1">
      <x:alignment wrapText="1"/>
    </x:xf>
    <x:xf numFmtId="0" fontId="3" fillId="144" borderId="0" xfId="0" applyNumberFormat="1" applyFont="1" applyFill="1" applyBorder="1" applyAlignment="1">
      <x:alignment horizontal="center" wrapText="1"/>
    </x:xf>
    <x:xf numFmtId="0" fontId="3" fillId="144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0" fontId="7" fillId="143" borderId="0" xfId="0" applyNumberFormat="1" applyFont="1" applyFill="1" applyBorder="1" applyAlignment="1">
      <x:alignment horizontal="center" vertical="center" wrapText="1"/>
    </x:xf>
    <x:xf numFmtId="0" fontId="0" fillId="145" borderId="0" xfId="0" applyNumberFormat="1" applyFont="1" applyFill="1" applyBorder="1"/>
    <x:xf numFmtId="0" fontId="3" fillId="145" borderId="0" xfId="0" applyNumberFormat="1" applyFont="1" applyFill="1" applyBorder="1"/>
    <x:xf numFmtId="0" fontId="3" fillId="145" borderId="0" xfId="0" applyNumberFormat="1" applyFont="1" applyFill="1" applyBorder="1" applyAlignment="1">
      <x:alignment wrapText="1"/>
    </x:xf>
    <x:xf numFmtId="0" fontId="3" fillId="145" borderId="0" xfId="0" applyNumberFormat="1" applyFont="1" applyFill="1" applyBorder="1" applyAlignment="1">
      <x:alignment horizontal="center" wrapText="1"/>
    </x:xf>
    <x:xf numFmtId="0" fontId="0" fillId="146" borderId="0" xfId="0" applyNumberFormat="1" applyFont="1" applyFill="1" applyBorder="1"/>
    <x:xf numFmtId="0" fontId="2" fillId="146" borderId="0" xfId="0" applyNumberFormat="1" applyFont="1" applyFill="1" applyBorder="1"/>
    <x:xf numFmtId="0" fontId="2" fillId="146" borderId="0" xfId="0" applyNumberFormat="1" applyFont="1" applyFill="1" applyBorder="1" applyAlignment="1">
      <x:alignment wrapText="1"/>
    </x:xf>
    <x:xf numFmtId="0" fontId="1" fillId="143" borderId="0" xfId="0" applyNumberFormat="1" applyFont="1" applyFill="1" applyBorder="1"/>
    <x:xf numFmtId="0" fontId="1" fillId="143" borderId="0" xfId="0" applyNumberFormat="1" applyFont="1" applyFill="1" applyBorder="1" applyAlignment="1">
      <x:alignment horizontal="center"/>
    </x:xf>
    <x:xf numFmtId="0" fontId="1" fillId="143" borderId="0" xfId="0" applyNumberFormat="1" applyFont="1" applyFill="1" applyBorder="1" applyAlignment="1">
      <x:alignment horizontal="center" vertical="center"/>
    </x:xf>
    <x:xf numFmtId="0" fontId="1" fillId="143" borderId="0" xfId="0" applyNumberFormat="1" applyFont="1" applyFill="1" applyBorder="1" applyAlignment="1">
      <x:alignment horizontal="center" vertical="center" wrapText="1"/>
    </x:xf>
    <x:xf numFmtId="0" fontId="0" fillId="147" borderId="0" xfId="0" applyNumberFormat="1" applyFont="1" applyFill="1" applyBorder="1"/>
    <x:xf numFmtId="0" fontId="3" fillId="147" borderId="0" xfId="0" applyNumberFormat="1" applyFont="1" applyFill="1" applyBorder="1"/>
    <x:xf numFmtId="0" fontId="3" fillId="147" borderId="0" xfId="0" applyNumberFormat="1" applyFont="1" applyFill="1" applyBorder="1" applyAlignment="1">
      <x:alignment wrapText="1"/>
    </x:xf>
    <x:xf numFmtId="0" fontId="3" fillId="147" borderId="0" xfId="0" applyNumberFormat="1" applyFont="1" applyFill="1" applyBorder="1" applyAlignment="1">
      <x:alignment horizontal="center" wrapText="1"/>
    </x:xf>
    <x:xf numFmtId="0" fontId="0" fillId="148" borderId="0" xfId="0" applyNumberFormat="1" applyFont="1" applyFill="1" applyBorder="1"/>
    <x:xf numFmtId="0" fontId="2" fillId="148" borderId="0" xfId="0" applyNumberFormat="1" applyFont="1" applyFill="1" applyBorder="1"/>
    <x:xf numFmtId="0" fontId="2" fillId="148" borderId="0" xfId="0" applyNumberFormat="1" applyFont="1" applyFill="1" applyBorder="1" applyAlignment="1">
      <x:alignment wrapText="1"/>
    </x:xf>
    <x:xf numFmtId="0" fontId="0" fillId="149" borderId="0" xfId="0" applyNumberFormat="1" applyFont="1" applyFill="1" applyBorder="1"/>
    <x:xf numFmtId="0" fontId="3" fillId="149" borderId="0" xfId="0" applyNumberFormat="1" applyFont="1" applyFill="1" applyBorder="1"/>
    <x:xf numFmtId="0" fontId="3" fillId="149" borderId="0" xfId="0" applyNumberFormat="1" applyFont="1" applyFill="1" applyBorder="1" applyAlignment="1">
      <x:alignment horizontal="center"/>
    </x:xf>
    <x:xf numFmtId="0" fontId="0" fillId="150" borderId="0" xfId="0" applyNumberFormat="1" applyFont="1" applyFill="1" applyBorder="1"/>
    <x:xf numFmtId="0" fontId="2" fillId="150" borderId="0" xfId="0" applyNumberFormat="1" applyFont="1" applyFill="1" applyBorder="1"/>
    <x:xf numFmtId="0" fontId="3" fillId="149" borderId="0" xfId="0" applyNumberFormat="1" applyFont="1" applyFill="1" applyBorder="1" applyAlignment="1">
      <x:alignment horizontal="center" wrapText="1"/>
    </x:xf>
    <x:xf numFmtId="0" fontId="2" fillId="150" borderId="0" xfId="0" applyNumberFormat="1" applyFont="1" applyFill="1" applyBorder="1" applyAlignment="1">
      <x:alignment wrapText="1"/>
    </x:xf>
    <x:xf numFmtId="0" fontId="0" fillId="151" borderId="0" xfId="0" applyNumberFormat="1" applyFont="1" applyFill="1" applyBorder="1"/>
    <x:xf numFmtId="0" fontId="2" fillId="151" borderId="0" xfId="0" applyNumberFormat="1" applyFont="1" applyFill="1" applyBorder="1"/>
    <x:xf numFmtId="0" fontId="2" fillId="151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152" borderId="0" xfId="0" applyNumberFormat="1" applyFont="1" applyFill="1" applyBorder="1"/>
    <x:xf numFmtId="0" fontId="3" fillId="152" borderId="0" xfId="0" applyNumberFormat="1" applyFont="1" applyFill="1" applyBorder="1"/>
    <x:xf numFmtId="0" fontId="3" fillId="152" borderId="0" xfId="0" applyNumberFormat="1" applyFont="1" applyFill="1" applyBorder="1" applyAlignment="1">
      <x:alignment horizontal="center"/>
    </x:xf>
    <x:xf numFmtId="0" fontId="0" fillId="153" borderId="0" xfId="0" applyNumberFormat="1" applyFont="1" applyFill="1" applyBorder="1"/>
    <x:xf numFmtId="0" fontId="2" fillId="153" borderId="0" xfId="0" applyNumberFormat="1" applyFont="1" applyFill="1" applyBorder="1"/>
    <x:xf numFmtId="0" fontId="3" fillId="152" borderId="0" xfId="0" applyNumberFormat="1" applyFont="1" applyFill="1" applyBorder="1" applyAlignment="1">
      <x:alignment horizontal="center" wrapText="1"/>
    </x:xf>
    <x:xf numFmtId="0" fontId="2" fillId="153" borderId="0" xfId="0" applyNumberFormat="1" applyFont="1" applyFill="1" applyBorder="1" applyAlignment="1">
      <x:alignment wrapText="1"/>
    </x:xf>
    <x:xf numFmtId="0" fontId="0" fillId="154" borderId="0" xfId="0" applyNumberFormat="1" applyFont="1" applyFill="1" applyBorder="1"/>
    <x:xf numFmtId="0" fontId="7" fillId="154" borderId="0" xfId="0" applyNumberFormat="1" applyFont="1" applyFill="1" applyBorder="1"/>
    <x:xf numFmtId="0" fontId="7" fillId="154" borderId="0" xfId="0" applyNumberFormat="1" applyFont="1" applyFill="1" applyBorder="1" applyAlignment="1">
      <x:alignment horizontal="center"/>
    </x:xf>
    <x:xf numFmtId="0" fontId="7" fillId="154" borderId="0" xfId="0" applyNumberFormat="1" applyFont="1" applyFill="1" applyBorder="1" applyAlignment="1">
      <x:alignment horizontal="center" vertical="center"/>
    </x:xf>
    <x:xf numFmtId="0" fontId="0" fillId="155" borderId="0" xfId="0" applyNumberFormat="1" applyFont="1" applyFill="1" applyBorder="1"/>
    <x:xf numFmtId="0" fontId="3" fillId="155" borderId="0" xfId="0" applyNumberFormat="1" applyFont="1" applyFill="1" applyBorder="1"/>
    <x:xf numFmtId="0" fontId="3" fillId="155" borderId="0" xfId="0" applyNumberFormat="1" applyFont="1" applyFill="1" applyBorder="1" applyAlignment="1">
      <x:alignment wrapText="1"/>
    </x:xf>
    <x:xf numFmtId="0" fontId="3" fillId="155" borderId="0" xfId="0" applyNumberFormat="1" applyFont="1" applyFill="1" applyBorder="1" applyAlignment="1">
      <x:alignment horizontal="center" wrapText="1"/>
    </x:xf>
    <x:xf numFmtId="0" fontId="3" fillId="155" borderId="0" xfId="0" applyNumberFormat="1" applyFont="1" applyFill="1" applyBorder="1" applyAlignment="1">
      <x:alignment horizontal="center" vertical="center" wrapText="1"/>
    </x:xf>
    <x:xf numFmtId="0" fontId="0" fillId="156" borderId="0" xfId="0" applyNumberFormat="1" applyFont="1" applyFill="1" applyBorder="1"/>
    <x:xf numFmtId="0" fontId="3" fillId="156" borderId="0" xfId="0" applyNumberFormat="1" applyFont="1" applyFill="1" applyBorder="1"/>
    <x:xf numFmtId="0" fontId="3" fillId="156" borderId="0" xfId="0" applyNumberFormat="1" applyFont="1" applyFill="1" applyBorder="1" applyAlignment="1">
      <x:alignment wrapText="1"/>
    </x:xf>
    <x:xf numFmtId="0" fontId="3" fillId="156" borderId="0" xfId="0" applyNumberFormat="1" applyFont="1" applyFill="1" applyBorder="1" applyAlignment="1">
      <x:alignment horizontal="center" wrapText="1"/>
    </x:xf>
    <x:xf numFmtId="0" fontId="1" fillId="154" borderId="0" xfId="0" applyNumberFormat="1" applyFont="1" applyFill="1" applyBorder="1"/>
    <x:xf numFmtId="0" fontId="1" fillId="154" borderId="0" xfId="0" applyNumberFormat="1" applyFont="1" applyFill="1" applyBorder="1" applyAlignment="1">
      <x:alignment horizontal="center"/>
    </x:xf>
    <x:xf numFmtId="0" fontId="1" fillId="154" borderId="0" xfId="0" applyNumberFormat="1" applyFont="1" applyFill="1" applyBorder="1" applyAlignment="1">
      <x:alignment horizontal="center" vertical="center"/>
    </x:xf>
    <x:xf numFmtId="0" fontId="0" fillId="157" borderId="0" xfId="0" applyNumberFormat="1" applyFont="1" applyFill="1" applyBorder="1"/>
    <x:xf numFmtId="0" fontId="3" fillId="157" borderId="0" xfId="0" applyNumberFormat="1" applyFont="1" applyFill="1" applyBorder="1"/>
    <x:xf numFmtId="0" fontId="3" fillId="157" borderId="0" xfId="0" applyNumberFormat="1" applyFont="1" applyFill="1" applyBorder="1" applyAlignment="1">
      <x:alignment wrapText="1"/>
    </x:xf>
    <x:xf numFmtId="0" fontId="3" fillId="157" borderId="0" xfId="0" applyNumberFormat="1" applyFont="1" applyFill="1" applyBorder="1" applyAlignment="1">
      <x:alignment horizontal="center" wrapText="1"/>
    </x:xf>
    <x:xf numFmtId="0" fontId="0" fillId="158" borderId="0" xfId="0" applyNumberFormat="1" applyFont="1" applyFill="1" applyBorder="1"/>
    <x:xf numFmtId="0" fontId="3" fillId="158" borderId="0" xfId="0" applyNumberFormat="1" applyFont="1" applyFill="1" applyBorder="1"/>
    <x:xf numFmtId="0" fontId="3" fillId="158" borderId="0" xfId="0" applyNumberFormat="1" applyFont="1" applyFill="1" applyBorder="1" applyAlignment="1">
      <x:alignment wrapText="1"/>
    </x:xf>
    <x:xf numFmtId="0" fontId="3" fillId="158" borderId="0" xfId="0" applyNumberFormat="1" applyFont="1" applyFill="1" applyBorder="1" applyAlignment="1">
      <x:alignment horizontal="center" wrapText="1"/>
    </x:xf>
    <x:xf numFmtId="0" fontId="0" fillId="159" borderId="0" xfId="0" applyNumberFormat="1" applyFont="1" applyFill="1" applyBorder="1"/>
    <x:xf numFmtId="0" fontId="2" fillId="159" borderId="0" xfId="0" applyNumberFormat="1" applyFont="1" applyFill="1" applyBorder="1"/>
    <x:xf numFmtId="0" fontId="0" fillId="160" borderId="0" xfId="0" applyNumberFormat="1" applyFont="1" applyFill="1" applyBorder="1"/>
    <x:xf numFmtId="0" fontId="3" fillId="160" borderId="0" xfId="0" applyNumberFormat="1" applyFont="1" applyFill="1" applyBorder="1"/>
    <x:xf numFmtId="0" fontId="3" fillId="160" borderId="0" xfId="0" applyNumberFormat="1" applyFont="1" applyFill="1" applyBorder="1" applyAlignment="1">
      <x:alignment wrapText="1"/>
    </x:xf>
    <x:xf numFmtId="0" fontId="3" fillId="160" borderId="0" xfId="0" applyNumberFormat="1" applyFont="1" applyFill="1" applyBorder="1" applyAlignment="1">
      <x:alignment horizontal="center" wrapText="1"/>
    </x:xf>
    <x:xf numFmtId="0" fontId="0" fillId="161" borderId="0" xfId="0" applyNumberFormat="1" applyFont="1" applyFill="1" applyBorder="1"/>
    <x:xf numFmtId="0" fontId="3" fillId="161" borderId="0" xfId="0" applyNumberFormat="1" applyFont="1" applyFill="1" applyBorder="1"/>
    <x:xf numFmtId="0" fontId="3" fillId="161" borderId="0" xfId="0" applyNumberFormat="1" applyFont="1" applyFill="1" applyBorder="1" applyAlignment="1">
      <x:alignment wrapText="1"/>
    </x:xf>
    <x:xf numFmtId="0" fontId="3" fillId="161" borderId="0" xfId="0" applyNumberFormat="1" applyFont="1" applyFill="1" applyBorder="1" applyAlignment="1">
      <x:alignment horizontal="center" wrapText="1"/>
    </x:xf>
    <x:xf numFmtId="0" fontId="0" fillId="162" borderId="0" xfId="0" applyNumberFormat="1" applyFont="1" applyFill="1" applyBorder="1"/>
    <x:xf numFmtId="0" fontId="2" fillId="162" borderId="0" xfId="0" applyNumberFormat="1" applyFont="1" applyFill="1" applyBorder="1"/>
    <x:xf numFmtId="0" fontId="2" fillId="162" borderId="0" xfId="0" applyNumberFormat="1" applyFont="1" applyFill="1" applyBorder="1" applyAlignment="1">
      <x:alignment wrapText="1"/>
    </x:xf>
    <x:xf numFmtId="0" fontId="1" fillId="154" borderId="0" xfId="0" applyNumberFormat="1" applyFont="1" applyFill="1" applyBorder="1" applyAlignment="1">
      <x:alignment horizontal="center" vertical="center" wrapText="1"/>
    </x:xf>
    <x:xf numFmtId="0" fontId="0" fillId="163" borderId="0" xfId="0" applyNumberFormat="1" applyFont="1" applyFill="1" applyBorder="1"/>
    <x:xf numFmtId="0" fontId="3" fillId="163" borderId="0" xfId="0" applyNumberFormat="1" applyFont="1" applyFill="1" applyBorder="1"/>
    <x:xf numFmtId="0" fontId="3" fillId="163" borderId="0" xfId="0" applyNumberFormat="1" applyFont="1" applyFill="1" applyBorder="1" applyAlignment="1">
      <x:alignment horizontal="center"/>
    </x:xf>
    <x:xf numFmtId="0" fontId="0" fillId="164" borderId="0" xfId="0" applyNumberFormat="1" applyFont="1" applyFill="1" applyBorder="1"/>
    <x:xf numFmtId="0" fontId="2" fillId="164" borderId="0" xfId="0" applyNumberFormat="1" applyFont="1" applyFill="1" applyBorder="1"/>
    <x:xf numFmtId="0" fontId="3" fillId="163" borderId="0" xfId="0" applyNumberFormat="1" applyFont="1" applyFill="1" applyBorder="1" applyAlignment="1">
      <x:alignment horizontal="center" wrapText="1"/>
    </x:xf>
    <x:xf numFmtId="0" fontId="2" fillId="164" borderId="0" xfId="0" applyNumberFormat="1" applyFont="1" applyFill="1" applyBorder="1" applyAlignment="1">
      <x:alignment wrapText="1"/>
    </x:xf>
    <x:xf numFmtId="0" fontId="0" fillId="165" borderId="0" xfId="0" applyNumberFormat="1" applyFont="1" applyFill="1" applyBorder="1"/>
    <x:xf numFmtId="0" fontId="2" fillId="165" borderId="0" xfId="0" applyNumberFormat="1" applyFont="1" applyFill="1" applyBorder="1"/>
    <x:xf numFmtId="0" fontId="2" fillId="165" borderId="0" xfId="0" applyNumberFormat="1" applyFont="1" applyFill="1" applyBorder="1" applyAlignment="1">
      <x:alignment wrapText="1"/>
    </x:xf>
    <x:xf numFmtId="0" fontId="7" fillId="154" borderId="0" xfId="0" applyNumberFormat="1" applyFont="1" applyFill="1" applyBorder="1" applyAlignment="1">
      <x:alignment horizontal="center" vertical="center" wrapText="1"/>
    </x:xf>
    <x:xf numFmtId="0" fontId="0" fillId="166" borderId="0" xfId="0" applyNumberFormat="1" applyFont="1" applyFill="1" applyBorder="1"/>
    <x:xf numFmtId="0" fontId="7" fillId="166" borderId="0" xfId="0" applyNumberFormat="1" applyFont="1" applyFill="1" applyBorder="1"/>
    <x:xf numFmtId="0" fontId="7" fillId="166" borderId="0" xfId="0" applyNumberFormat="1" applyFont="1" applyFill="1" applyBorder="1" applyAlignment="1">
      <x:alignment horizontal="center"/>
    </x:xf>
    <x:xf numFmtId="0" fontId="7" fillId="166" borderId="0" xfId="0" applyNumberFormat="1" applyFont="1" applyFill="1" applyBorder="1" applyAlignment="1">
      <x:alignment horizontal="center" vertical="center"/>
    </x:xf>
    <x:xf numFmtId="0" fontId="0" fillId="167" borderId="0" xfId="0" applyNumberFormat="1" applyFont="1" applyFill="1" applyBorder="1"/>
    <x:xf numFmtId="0" fontId="8" fillId="167" borderId="0" xfId="0" applyNumberFormat="1" applyFont="1" applyFill="1" applyBorder="1"/>
    <x:xf numFmtId="0" fontId="8" fillId="167" borderId="0" xfId="0" applyNumberFormat="1" applyFont="1" applyFill="1" applyBorder="1" applyAlignment="1">
      <x:alignment wrapText="1"/>
    </x:xf>
    <x:xf numFmtId="0" fontId="8" fillId="167" borderId="0" xfId="0" applyNumberFormat="1" applyFont="1" applyFill="1" applyBorder="1" applyAlignment="1">
      <x:alignment horizontal="left" wrapText="1"/>
    </x:xf>
    <x:xf numFmtId="0" fontId="0" fillId="168" borderId="0" xfId="0" applyNumberFormat="1" applyFont="1" applyFill="1" applyBorder="1"/>
    <x:xf numFmtId="0" fontId="3" fillId="168" borderId="0" xfId="0" applyNumberFormat="1" applyFont="1" applyFill="1" applyBorder="1"/>
    <x:xf numFmtId="0" fontId="3" fillId="168" borderId="0" xfId="0" applyNumberFormat="1" applyFont="1" applyFill="1" applyBorder="1" applyAlignment="1">
      <x:alignment wrapText="1"/>
    </x:xf>
    <x:xf numFmtId="0" fontId="3" fillId="168" borderId="0" xfId="0" applyNumberFormat="1" applyFont="1" applyFill="1" applyBorder="1" applyAlignment="1">
      <x:alignment horizontal="center" wrapText="1"/>
    </x:xf>
    <x:xf numFmtId="0" fontId="3" fillId="168" borderId="0" xfId="0" applyNumberFormat="1" applyFont="1" applyFill="1" applyBorder="1" applyAlignment="1">
      <x:alignment horizontal="center" vertical="center" wrapText="1"/>
    </x:xf>
    <x:xf numFmtId="0" fontId="0" fillId="169" borderId="0" xfId="0" applyNumberFormat="1" applyFont="1" applyFill="1" applyBorder="1"/>
    <x:xf numFmtId="0" fontId="3" fillId="169" borderId="0" xfId="0" applyNumberFormat="1" applyFont="1" applyFill="1" applyBorder="1"/>
    <x:xf numFmtId="0" fontId="3" fillId="169" borderId="0" xfId="0" applyNumberFormat="1" applyFont="1" applyFill="1" applyBorder="1" applyAlignment="1">
      <x:alignment wrapText="1"/>
    </x:xf>
    <x:xf numFmtId="0" fontId="3" fillId="169" borderId="0" xfId="0" applyNumberFormat="1" applyFont="1" applyFill="1" applyBorder="1" applyAlignment="1">
      <x:alignment horizontal="center" wrapText="1"/>
    </x:xf>
    <x:xf numFmtId="0" fontId="0" fillId="170" borderId="0" xfId="0" applyNumberFormat="1" applyFont="1" applyFill="1" applyBorder="1"/>
    <x:xf numFmtId="0" fontId="2" fillId="170" borderId="0" xfId="0" applyNumberFormat="1" applyFont="1" applyFill="1" applyBorder="1"/>
    <x:xf numFmtId="0" fontId="0" fillId="171" borderId="0" xfId="0" applyNumberFormat="1" applyFont="1" applyFill="1" applyBorder="1"/>
    <x:xf numFmtId="0" fontId="3" fillId="171" borderId="0" xfId="0" applyNumberFormat="1" applyFont="1" applyFill="1" applyBorder="1"/>
    <x:xf numFmtId="0" fontId="3" fillId="171" borderId="0" xfId="0" applyNumberFormat="1" applyFont="1" applyFill="1" applyBorder="1" applyAlignment="1">
      <x:alignment wrapText="1"/>
    </x:xf>
    <x:xf numFmtId="0" fontId="3" fillId="171" borderId="0" xfId="0" applyNumberFormat="1" applyFont="1" applyFill="1" applyBorder="1" applyAlignment="1">
      <x:alignment horizontal="center" wrapText="1"/>
    </x:xf>
    <x:xf numFmtId="0" fontId="1" fillId="166" borderId="0" xfId="0" applyNumberFormat="1" applyFont="1" applyFill="1" applyBorder="1"/>
    <x:xf numFmtId="0" fontId="1" fillId="166" borderId="0" xfId="0" applyNumberFormat="1" applyFont="1" applyFill="1" applyBorder="1" applyAlignment="1">
      <x:alignment horizontal="center"/>
    </x:xf>
    <x:xf numFmtId="0" fontId="1" fillId="166" borderId="0" xfId="0" applyNumberFormat="1" applyFont="1" applyFill="1" applyBorder="1" applyAlignment="1">
      <x:alignment horizontal="center" wrapText="1"/>
    </x:xf>
    <x:xf numFmtId="0" fontId="0" fillId="172" borderId="0" xfId="0" applyNumberFormat="1" applyFont="1" applyFill="1" applyBorder="1"/>
    <x:xf numFmtId="0" fontId="3" fillId="172" borderId="0" xfId="0" applyNumberFormat="1" applyFont="1" applyFill="1" applyBorder="1"/>
    <x:xf numFmtId="0" fontId="3" fillId="172" borderId="0" xfId="0" applyNumberFormat="1" applyFont="1" applyFill="1" applyBorder="1" applyAlignment="1">
      <x:alignment horizontal="center"/>
    </x:xf>
    <x:xf numFmtId="0" fontId="0" fillId="173" borderId="0" xfId="0" applyNumberFormat="1" applyFont="1" applyFill="1" applyBorder="1"/>
    <x:xf numFmtId="0" fontId="2" fillId="173" borderId="0" xfId="0" applyNumberFormat="1" applyFont="1" applyFill="1" applyBorder="1"/>
    <x:xf numFmtId="0" fontId="3" fillId="172" borderId="0" xfId="0" applyNumberFormat="1" applyFont="1" applyFill="1" applyBorder="1" applyAlignment="1">
      <x:alignment horizontal="center" wrapText="1"/>
    </x:xf>
    <x:xf numFmtId="0" fontId="2" fillId="173" borderId="0" xfId="0" applyNumberFormat="1" applyFont="1" applyFill="1" applyBorder="1" applyAlignment="1">
      <x:alignment wrapText="1"/>
    </x:xf>
    <x:xf numFmtId="0" fontId="2" fillId="167" borderId="0" xfId="0" applyNumberFormat="1" applyFont="1" applyFill="1" applyBorder="1"/>
    <x:xf numFmtId="0" fontId="2" fillId="167" borderId="0" xfId="0" applyNumberFormat="1" applyFont="1" applyFill="1" applyBorder="1" applyAlignment="1">
      <x:alignment wrapText="1"/>
    </x:xf>
    <x:xf numFmtId="0" fontId="7" fillId="166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174" borderId="0" xfId="0" applyNumberFormat="1" applyFont="1" applyFill="1" applyBorder="1"/>
    <x:xf numFmtId="0" fontId="7" fillId="174" borderId="0" xfId="0" applyNumberFormat="1" applyFont="1" applyFill="1" applyBorder="1"/>
    <x:xf numFmtId="0" fontId="7" fillId="174" borderId="0" xfId="0" applyNumberFormat="1" applyFont="1" applyFill="1" applyBorder="1" applyAlignment="1">
      <x:alignment horizontal="center"/>
    </x:xf>
    <x:xf numFmtId="0" fontId="7" fillId="174" borderId="0" xfId="0" applyNumberFormat="1" applyFont="1" applyFill="1" applyBorder="1" applyAlignment="1">
      <x:alignment horizontal="center" vertical="center"/>
    </x:xf>
    <x:xf numFmtId="0" fontId="0" fillId="175" borderId="0" xfId="0" applyNumberFormat="1" applyFont="1" applyFill="1" applyBorder="1"/>
    <x:xf numFmtId="0" fontId="3" fillId="175" borderId="0" xfId="0" applyNumberFormat="1" applyFont="1" applyFill="1" applyBorder="1"/>
    <x:xf numFmtId="0" fontId="3" fillId="175" borderId="0" xfId="0" applyNumberFormat="1" applyFont="1" applyFill="1" applyBorder="1" applyAlignment="1">
      <x:alignment wrapText="1"/>
    </x:xf>
    <x:xf numFmtId="0" fontId="3" fillId="175" borderId="0" xfId="0" applyNumberFormat="1" applyFont="1" applyFill="1" applyBorder="1" applyAlignment="1">
      <x:alignment horizontal="center" wrapText="1"/>
    </x:xf>
    <x:xf numFmtId="0" fontId="3" fillId="175" borderId="0" xfId="0" applyNumberFormat="1" applyFont="1" applyFill="1" applyBorder="1" applyAlignment="1">
      <x:alignment horizontal="center" vertical="center" wrapText="1"/>
    </x:xf>
    <x:xf numFmtId="0" fontId="7" fillId="174" borderId="0" xfId="0" applyNumberFormat="1" applyFont="1" applyFill="1" applyBorder="1" applyAlignment="1">
      <x:alignment horizontal="center" vertical="center" wrapText="1"/>
    </x:xf>
    <x:xf numFmtId="0" fontId="0" fillId="176" borderId="0" xfId="0" applyNumberFormat="1" applyFont="1" applyFill="1" applyBorder="1"/>
    <x:xf numFmtId="0" fontId="3" fillId="176" borderId="0" xfId="0" applyNumberFormat="1" applyFont="1" applyFill="1" applyBorder="1"/>
    <x:xf numFmtId="0" fontId="3" fillId="176" borderId="0" xfId="0" applyNumberFormat="1" applyFont="1" applyFill="1" applyBorder="1" applyAlignment="1">
      <x:alignment wrapText="1"/>
    </x:xf>
    <x:xf numFmtId="0" fontId="3" fillId="176" borderId="0" xfId="0" applyNumberFormat="1" applyFont="1" applyFill="1" applyBorder="1" applyAlignment="1">
      <x:alignment horizontal="center" wrapText="1"/>
    </x:xf>
    <x:xf numFmtId="0" fontId="0" fillId="177" borderId="0" xfId="0" applyNumberFormat="1" applyFont="1" applyFill="1" applyBorder="1"/>
    <x:xf numFmtId="0" fontId="2" fillId="177" borderId="0" xfId="0" applyNumberFormat="1" applyFont="1" applyFill="1" applyBorder="1"/>
    <x:xf numFmtId="0" fontId="1" fillId="174" borderId="0" xfId="0" applyNumberFormat="1" applyFont="1" applyFill="1" applyBorder="1"/>
    <x:xf numFmtId="0" fontId="1" fillId="174" borderId="0" xfId="0" applyNumberFormat="1" applyFont="1" applyFill="1" applyBorder="1" applyAlignment="1">
      <x:alignment horizontal="center"/>
    </x:xf>
    <x:xf numFmtId="0" fontId="1" fillId="174" borderId="0" xfId="0" applyNumberFormat="1" applyFont="1" applyFill="1" applyBorder="1" applyAlignment="1">
      <x:alignment horizontal="center" vertical="center"/>
    </x:xf>
    <x:xf numFmtId="0" fontId="1" fillId="174" borderId="0" xfId="0" applyNumberFormat="1" applyFont="1" applyFill="1" applyBorder="1" applyAlignment="1">
      <x:alignment horizontal="center" vertical="center" wrapText="1"/>
    </x:xf>
    <x:xf numFmtId="0" fontId="0" fillId="178" borderId="0" xfId="0" applyNumberFormat="1" applyFont="1" applyFill="1" applyBorder="1"/>
    <x:xf numFmtId="0" fontId="3" fillId="178" borderId="0" xfId="0" applyNumberFormat="1" applyFont="1" applyFill="1" applyBorder="1"/>
    <x:xf numFmtId="0" fontId="3" fillId="178" borderId="0" xfId="0" applyNumberFormat="1" applyFont="1" applyFill="1" applyBorder="1" applyAlignment="1">
      <x:alignment wrapText="1"/>
    </x:xf>
    <x:xf numFmtId="0" fontId="3" fillId="178" borderId="0" xfId="0" applyNumberFormat="1" applyFont="1" applyFill="1" applyBorder="1" applyAlignment="1">
      <x:alignment horizontal="center" wrapText="1"/>
    </x:xf>
    <x:xf numFmtId="0" fontId="0" fillId="179" borderId="0" xfId="0" applyNumberFormat="1" applyFont="1" applyFill="1" applyBorder="1"/>
    <x:xf numFmtId="0" fontId="2" fillId="179" borderId="0" xfId="0" applyNumberFormat="1" applyFont="1" applyFill="1" applyBorder="1"/>
    <x:xf numFmtId="0" fontId="1" fillId="174" borderId="0" xfId="0" applyNumberFormat="1" applyFont="1" applyFill="1" applyBorder="1" applyAlignment="1">
      <x:alignment horizontal="center" wrapText="1"/>
    </x:xf>
    <x:xf numFmtId="0" fontId="0" fillId="180" borderId="0" xfId="0" applyNumberFormat="1" applyFont="1" applyFill="1" applyBorder="1"/>
    <x:xf numFmtId="0" fontId="3" fillId="180" borderId="0" xfId="0" applyNumberFormat="1" applyFont="1" applyFill="1" applyBorder="1"/>
    <x:xf numFmtId="0" fontId="3" fillId="180" borderId="0" xfId="0" applyNumberFormat="1" applyFont="1" applyFill="1" applyBorder="1" applyAlignment="1">
      <x:alignment wrapText="1"/>
    </x:xf>
    <x:xf numFmtId="0" fontId="3" fillId="180" borderId="0" xfId="0" applyNumberFormat="1" applyFont="1" applyFill="1" applyBorder="1" applyAlignment="1">
      <x:alignment horizontal="center" wrapText="1"/>
    </x:xf>
    <x:xf numFmtId="0" fontId="0" fillId="181" borderId="0" xfId="0" applyNumberFormat="1" applyFont="1" applyFill="1" applyBorder="1"/>
    <x:xf numFmtId="0" fontId="2" fillId="181" borderId="0" xfId="0" applyNumberFormat="1" applyFont="1" applyFill="1" applyBorder="1"/>
    <x:xf numFmtId="0" fontId="2" fillId="181" borderId="0" xfId="0" applyNumberFormat="1" applyFont="1" applyFill="1" applyBorder="1" applyAlignment="1">
      <x:alignment wrapText="1"/>
    </x:xf>
    <x:xf numFmtId="0" fontId="0" fillId="182" borderId="0" xfId="0" applyNumberFormat="1" applyFont="1" applyFill="1" applyBorder="1"/>
    <x:xf numFmtId="0" fontId="3" fillId="182" borderId="0" xfId="0" applyNumberFormat="1" applyFont="1" applyFill="1" applyBorder="1"/>
    <x:xf numFmtId="0" fontId="3" fillId="182" borderId="0" xfId="0" applyNumberFormat="1" applyFont="1" applyFill="1" applyBorder="1" applyAlignment="1">
      <x:alignment horizontal="center"/>
    </x:xf>
    <x:xf numFmtId="0" fontId="0" fillId="183" borderId="0" xfId="0" applyNumberFormat="1" applyFont="1" applyFill="1" applyBorder="1"/>
    <x:xf numFmtId="0" fontId="2" fillId="183" borderId="0" xfId="0" applyNumberFormat="1" applyFont="1" applyFill="1" applyBorder="1"/>
    <x:xf numFmtId="0" fontId="3" fillId="182" borderId="0" xfId="0" applyNumberFormat="1" applyFont="1" applyFill="1" applyBorder="1" applyAlignment="1">
      <x:alignment horizontal="center" wrapText="1"/>
    </x:xf>
    <x:xf numFmtId="0" fontId="2" fillId="183" borderId="0" xfId="0" applyNumberFormat="1" applyFont="1" applyFill="1" applyBorder="1" applyAlignment="1">
      <x:alignment wrapText="1"/>
    </x:xf>
    <x:xf numFmtId="0" fontId="0" fillId="184" borderId="0" xfId="0" applyNumberFormat="1" applyFont="1" applyFill="1" applyBorder="1"/>
    <x:xf numFmtId="0" fontId="2" fillId="184" borderId="0" xfId="0" applyNumberFormat="1" applyFont="1" applyFill="1" applyBorder="1"/>
    <x:xf numFmtId="0" fontId="2" fillId="184" borderId="0" xfId="0" applyNumberFormat="1" applyFont="1" applyFill="1" applyBorder="1" applyAlignment="1">
      <x:alignment wrapText="1"/>
    </x:xf>
    <x:xf numFmtId="0" fontId="0" fillId="185" borderId="0" xfId="0" applyNumberFormat="1" applyFont="1" applyFill="1" applyBorder="1"/>
    <x:xf numFmtId="0" fontId="3" fillId="185" borderId="0" xfId="0" applyNumberFormat="1" applyFont="1" applyFill="1" applyBorder="1" applyAlignment="1">
      <x:alignment horizontal="center" wrapText="1"/>
    </x:xf>
    <x:xf numFmtId="0" fontId="3" fillId="185" borderId="0" xfId="0" applyNumberFormat="1" applyFont="1" applyFill="1" applyBorder="1"/>
    <x:xf numFmtId="0" fontId="3" fillId="185" borderId="0" xfId="0" applyNumberFormat="1" applyFont="1" applyFill="1" applyBorder="1" applyAlignment="1">
      <x:alignment wrapText="1"/>
    </x:xf>
    <x:xf numFmtId="203" fontId="2" fillId="35" borderId="0" xfId="0" applyNumberFormat="1" applyFont="1" applyFill="1" applyBorder="1"/>
  </x:cellXfs>
  <x:cellStyles count="1">
    <x:cellStyle name="Normal" xfId="0"/>
  </x:cellStyles>
  <x:dxfs count="70"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</x:dxf>
    <x:dxf>
      <x:font>
        <x:b/>
        <x:color rgb="FF991B1B"/>
      </x:font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cc1663d384db2" /><Relationship Type="http://schemas.openxmlformats.org/officeDocument/2006/relationships/theme" Target="/xl/theme/theme1.xml" Id="Ra4686ac407c24079" /><Relationship Type="http://schemas.openxmlformats.org/officeDocument/2006/relationships/sharedStrings" Target="/xl/sharedStrings.xml" Id="R37f40b6336704105" /><Relationship Type="http://schemas.openxmlformats.org/officeDocument/2006/relationships/worksheet" Target="/xl/worksheets/sheet1.xml" Id="Re502138bdcbe452b" /><Relationship Type="http://schemas.openxmlformats.org/officeDocument/2006/relationships/worksheet" Target="/xl/worksheets/sheet2.xml" Id="R3d8cc69d6a9648f5" /><Relationship Type="http://schemas.openxmlformats.org/officeDocument/2006/relationships/worksheet" Target="/xl/worksheets/sheet3.xml" Id="Ra2ae65d270dc4166" /><Relationship Type="http://schemas.openxmlformats.org/officeDocument/2006/relationships/worksheet" Target="/xl/worksheets/sheet4.xml" Id="R0bf55bc164c24c99" /><Relationship Type="http://schemas.openxmlformats.org/officeDocument/2006/relationships/worksheet" Target="/xl/worksheets/sheet5.xml" Id="Re73cb60a55e04d4a" /><Relationship Type="http://schemas.openxmlformats.org/officeDocument/2006/relationships/worksheet" Target="/xl/worksheets/sheet6.xml" Id="R2dd0b829a5ad42a8" /><Relationship Type="http://schemas.openxmlformats.org/officeDocument/2006/relationships/worksheet" Target="/xl/worksheets/sheet7.xml" Id="Rb443176450ce48b7" /><Relationship Type="http://schemas.openxmlformats.org/officeDocument/2006/relationships/worksheet" Target="/xl/worksheets/sheet8.xml" Id="R12b70314bf864821" /><Relationship Type="http://schemas.openxmlformats.org/officeDocument/2006/relationships/worksheet" Target="/xl/worksheets/sheet9.xml" Id="R55392f5e42d34b3b" /><Relationship Type="http://schemas.openxmlformats.org/officeDocument/2006/relationships/worksheet" Target="/xl/worksheets/sheet10.xml" Id="R52af88d0acc14642" /><Relationship Type="http://schemas.openxmlformats.org/officeDocument/2006/relationships/worksheet" Target="/xl/worksheets/sheet11.xml" Id="Rda598e560a3a4991" /><Relationship Type="http://schemas.openxmlformats.org/officeDocument/2006/relationships/worksheet" Target="/xl/worksheets/sheet12.xml" Id="R414ee8435220446f" /><Relationship Type="http://schemas.openxmlformats.org/officeDocument/2006/relationships/worksheet" Target="/xl/worksheets/sheet13.xml" Id="Ra1c85b312b954c24" /><Relationship Type="http://schemas.openxmlformats.org/officeDocument/2006/relationships/worksheet" Target="/xl/worksheets/sheet14.xml" Id="Rbe50a96d242944af" /><Relationship Type="http://schemas.openxmlformats.org/officeDocument/2006/relationships/worksheet" Target="/xl/worksheets/sheet15.xml" Id="R4c85de3202244a35" /><Relationship Type="http://schemas.openxmlformats.org/officeDocument/2006/relationships/worksheet" Target="/xl/worksheets/sheet16.xml" Id="R24649b1e766d41b7" /><Relationship Type="http://schemas.openxmlformats.org/officeDocument/2006/relationships/worksheet" Target="/xl/worksheets/sheet17.xml" Id="R33d75684876c4632" /><Relationship Type="http://schemas.openxmlformats.org/officeDocument/2006/relationships/worksheet" Target="/xl/worksheets/sheet18.xml" Id="R9ba22746657b43ec" /><Relationship Type="http://schemas.openxmlformats.org/officeDocument/2006/relationships/worksheet" Target="/xl/worksheets/sheet19.xml" Id="R857db2c2179f411a" /><Relationship Type="http://schemas.openxmlformats.org/officeDocument/2006/relationships/worksheet" Target="/xl/worksheets/sheet20.xml" Id="R70c25b5762f64324" /><Relationship Type="http://schemas.openxmlformats.org/officeDocument/2006/relationships/worksheet" Target="/xl/worksheets/sheet21.xml" Id="R180bcd3e784e497e" /><Relationship Type="http://schemas.openxmlformats.org/officeDocument/2006/relationships/worksheet" Target="/xl/worksheets/sheet22.xml" Id="R90f84a94f44c4378" /><Relationship Type="http://schemas.openxmlformats.org/officeDocument/2006/relationships/worksheet" Target="/xl/worksheets/sheet23.xml" Id="Re43e9758844e42d9" /><Relationship Type="http://schemas.openxmlformats.org/officeDocument/2006/relationships/worksheet" Target="/xl/worksheets/sheet24.xml" Id="R8db4953934b242ac" /><Relationship Type="http://schemas.openxmlformats.org/officeDocument/2006/relationships/worksheet" Target="/xl/worksheets/sheet25.xml" Id="R04fe5b07a6a84a81" /><Relationship Type="http://schemas.openxmlformats.org/officeDocument/2006/relationships/worksheet" Target="/xl/worksheets/sheet26.xml" Id="R0fb1d148b9964eef" /><Relationship Type="http://schemas.openxmlformats.org/officeDocument/2006/relationships/worksheet" Target="/xl/worksheets/sheet27.xml" Id="R2d49795de2d2456f" /><Relationship Type="http://schemas.openxmlformats.org/officeDocument/2006/relationships/worksheet" Target="/xl/worksheets/sheet28.xml" Id="Rba959c2b008e461f" /><Relationship Type="http://schemas.openxmlformats.org/officeDocument/2006/relationships/worksheet" Target="/xl/worksheets/sheet29.xml" Id="R0fcbcba8c8b94c77" /><Relationship Type="http://schemas.openxmlformats.org/officeDocument/2006/relationships/worksheet" Target="/xl/worksheets/sheet30.xml" Id="R840269fc3d104a3c" /><Relationship Type="http://schemas.openxmlformats.org/officeDocument/2006/relationships/worksheet" Target="/xl/worksheets/sheet31.xml" Id="R8b9c5d728d72423b" /><Relationship Type="http://schemas.openxmlformats.org/officeDocument/2006/relationships/worksheet" Target="/xl/worksheets/sheet32.xml" Id="Re99379cd1b974097" /><Relationship Type="http://schemas.openxmlformats.org/officeDocument/2006/relationships/worksheet" Target="/xl/worksheets/sheet33.xml" Id="Rf9be6beebbf94278" /><Relationship Type="http://schemas.openxmlformats.org/officeDocument/2006/relationships/worksheet" Target="/xl/worksheets/sheet34.xml" Id="R5d6c6f675b8944ed" /><Relationship Type="http://schemas.openxmlformats.org/officeDocument/2006/relationships/worksheet" Target="/xl/worksheets/sheet35.xml" Id="R4d2dbf722943433a" /><Relationship Type="http://schemas.openxmlformats.org/officeDocument/2006/relationships/worksheet" Target="/xl/worksheets/sheet36.xml" Id="R694bce3328824479" /><Relationship Type="http://schemas.openxmlformats.org/officeDocument/2006/relationships/worksheet" Target="/xl/worksheets/sheet37.xml" Id="R6d41e47278124798" /><Relationship Type="http://schemas.openxmlformats.org/officeDocument/2006/relationships/worksheet" Target="/xl/worksheets/sheet38.xml" Id="R046ae1d09a69468b" /><Relationship Type="http://schemas.openxmlformats.org/officeDocument/2006/relationships/worksheet" Target="/xl/worksheets/sheet39.xml" Id="Rb93d69d5f49940a9" /><Relationship Type="http://schemas.openxmlformats.org/officeDocument/2006/relationships/worksheet" Target="/xl/worksheets/sheet40.xml" Id="Re62ee1e7a33c4d08" /><Relationship Type="http://schemas.openxmlformats.org/officeDocument/2006/relationships/worksheet" Target="/xl/worksheets/sheet41.xml" Id="Rc8d05413bcdb4fd0" /><Relationship Type="http://schemas.openxmlformats.org/officeDocument/2006/relationships/worksheet" Target="/xl/worksheets/sheet42.xml" Id="Ra9e94d2401c4417a" /><Relationship Type="http://schemas.openxmlformats.org/officeDocument/2006/relationships/worksheet" Target="/xl/worksheets/sheet43.xml" Id="R222b5e4cdc0a4ccc" /><Relationship Type="http://schemas.openxmlformats.org/officeDocument/2006/relationships/worksheet" Target="/xl/worksheets/sheet44.xml" Id="R8c19c5f99f574e66" /><Relationship Type="http://schemas.openxmlformats.org/officeDocument/2006/relationships/worksheet" Target="/xl/worksheets/sheet45.xml" Id="R6606fdd704124f8d" /><Relationship Type="http://schemas.openxmlformats.org/officeDocument/2006/relationships/worksheet" Target="/xl/worksheets/sheet46.xml" Id="Ra88d7103fb94446d" /><Relationship Type="http://schemas.openxmlformats.org/officeDocument/2006/relationships/worksheet" Target="/xl/worksheets/sheet47.xml" Id="R8e58dd1e1dbc4720" /><Relationship Type="http://schemas.openxmlformats.org/officeDocument/2006/relationships/worksheet" Target="/xl/worksheets/sheet48.xml" Id="R8461d53b20cc4921" /><Relationship Type="http://schemas.openxmlformats.org/officeDocument/2006/relationships/worksheet" Target="/xl/worksheets/sheet49.xml" Id="R1ad80895bb4041e8" /><Relationship Type="http://schemas.openxmlformats.org/officeDocument/2006/relationships/worksheet" Target="/xl/worksheets/sheet50.xml" Id="R8fd37c5da06e4406" /><Relationship Type="http://schemas.openxmlformats.org/officeDocument/2006/relationships/worksheet" Target="/xl/worksheets/sheet51.xml" Id="R411964c50bff40fc" /><Relationship Type="http://schemas.openxmlformats.org/officeDocument/2006/relationships/worksheet" Target="/xl/worksheets/sheet52.xml" Id="Rcda33631dab947da" /><Relationship Type="http://schemas.openxmlformats.org/officeDocument/2006/relationships/worksheet" Target="/xl/worksheets/sheet53.xml" Id="Rddd1a978464843ef" /><Relationship Type="http://schemas.openxmlformats.org/officeDocument/2006/relationships/worksheet" Target="/xl/worksheets/sheet54.xml" Id="R706e7075cfd443c4" /></Relationships>
</file>

<file path=xl/tables/table1.xml><?xml version="1.0" encoding="utf-8"?>
<x:table xmlns:x="http://schemas.openxmlformats.org/spreadsheetml/2006/main" id="1" name="MatchDataTable" displayName="MatchDataTable" ref="A1:AE1001" headerRowCount="1" totalsRowCount="0" totalsRowShown="0">
  <x:tableColumns count="31">
    <x:tableColumn id="1" name="Match_ID"/>
    <x:tableColumn id="2" name="Date"/>
    <x:tableColumn id="3" name="League"/>
    <x:tableColumn id="4" name="Season"/>
    <x:tableColumn id="5" name="Home_Team"/>
    <x:tableColumn id="6" name="Away_Team"/>
    <x:tableColumn id="7" name="Home_Goals"/>
    <x:tableColumn id="8" name="Away_Goals"/>
    <x:tableColumn id="9" name="Total_Goals"/>
    <x:tableColumn id="10" name="OU25_Result"/>
    <x:tableColumn id="11" name="Home_xG"/>
    <x:tableColumn id="12" name="Away_xG"/>
    <x:tableColumn id="13" name="Home_xGA_Form"/>
    <x:tableColumn id="14" name="Away_xGA_Form"/>
    <x:tableColumn id="15" name="Home_GF_Last5"/>
    <x:tableColumn id="16" name="Home_GA_Last5"/>
    <x:tableColumn id="17" name="Away_GF_Last5"/>
    <x:tableColumn id="18" name="Away_GA_Last5"/>
    <x:tableColumn id="19" name="Home_SOT_Last5"/>
    <x:tableColumn id="20" name="Away_SOT_Last5"/>
    <x:tableColumn id="21" name="Home_Rest_Days"/>
    <x:tableColumn id="22" name="Away_Rest_Days"/>
    <x:tableColumn id="23" name="Home_Major_Absences"/>
    <x:tableColumn id="24" name="Away_Major_Absences"/>
    <x:tableColumn id="25" name="Open_Over25_Odds"/>
    <x:tableColumn id="26" name="Open_Under25_Odds"/>
    <x:tableColumn id="27" name="Close_Over25_Odds"/>
    <x:tableColumn id="28" name="Close_Under25_Odds"/>
    <x:tableColumn id="29" name="Data_Split"/>
    <x:tableColumn id="30" name="Source_URL"/>
    <x:tableColumn id="3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sTable" displayName="FeaturesTable" ref="A1:Q1001" headerRowCount="1" totalsRowCount="0" totalsRowShown="0">
  <x:tableColumns count="17">
    <x:tableColumn id="1" name="Match_ID"/>
    <x:tableColumn id="2" name="Date"/>
    <x:tableColumn id="3" name="League"/>
    <x:tableColumn id="4" name="Home_Team"/>
    <x:tableColumn id="5" name="Away_Team"/>
    <x:tableColumn id="6" name="Data_Split"/>
    <x:tableColumn id="7" name="Avg_xG"/>
    <x:tableColumn id="8" name="Avg_xGA_Form"/>
    <x:tableColumn id="9" name="GF_Form_Total"/>
    <x:tableColumn id="10" name="GA_Form_Total"/>
    <x:tableColumn id="11" name="SOT_Total"/>
    <x:tableColumn id="12" name="Rest_Adv_Home"/>
    <x:tableColumn id="13" name="Open_Over_Implied"/>
    <x:tableColumn id="14" name="Close_Over_Implied"/>
    <x:tableColumn id="15" name="Market_Move_Over"/>
    <x:tableColumn id="16" name="Observed_Over25"/>
    <x:tableColumn id="17" name="Pattern_T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tternLogTable" displayName="PatternLogTable" ref="A1:R301" headerRowCount="1" totalsRowCount="0" totalsRowShown="0">
  <x:tableColumns count="18">
    <x:tableColumn id="1" name="Pattern_ID"/>
    <x:tableColumn id="2" name="Pattern_Name"/>
    <x:tableColumn id="3" name="Rule_Definition"/>
    <x:tableColumn id="4" name="Market"/>
    <x:tableColumn id="5" name="Discovery_N"/>
    <x:tableColumn id="6" name="Discovery_Hits"/>
    <x:tableColumn id="7" name="Discovery_Hit_Rate"/>
    <x:tableColumn id="8" name="Validation_N"/>
    <x:tableColumn id="9" name="Validation_Hits"/>
    <x:tableColumn id="10" name="Validation_Hit_Rate"/>
    <x:tableColumn id="11" name="Forward_N"/>
    <x:tableColumn id="12" name="Forward_Hits"/>
    <x:tableColumn id="13" name="Forward_Hit_Rate"/>
    <x:tableColumn id="14" name="Avg_Odds"/>
    <x:tableColumn id="15" name="ROI"/>
    <x:tableColumn id="16" name="Max_Drawdown"/>
    <x:tableColumn id="17" name="Status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perBetsTable" displayName="PaperBetsTable" ref="A1:S501" headerRowCount="1" totalsRowCount="0" totalsRowShown="0">
  <x:tableColumns count="19">
    <x:tableColumn id="1" name="Bet_ID"/>
    <x:tableColumn id="2" name="Date"/>
    <x:tableColumn id="3" name="Match_ID"/>
    <x:tableColumn id="4" name="League"/>
    <x:tableColumn id="5" name="Home_Team"/>
    <x:tableColumn id="6" name="Away_Team"/>
    <x:tableColumn id="7" name="Pattern_ID"/>
    <x:tableColumn id="8" name="Selection"/>
    <x:tableColumn id="9" name="Model_Probability"/>
    <x:tableColumn id="10" name="Odds"/>
    <x:tableColumn id="11" name="Implied_Probability"/>
    <x:tableColumn id="12" name="Edge"/>
    <x:tableColumn id="13" name="Stake_Units"/>
    <x:tableColumn id="14" name="Result"/>
    <x:tableColumn id="15" name="Profit_Units"/>
    <x:tableColumn id="16" name="Closing_Odds"/>
    <x:tableColumn id="17" name="CLV"/>
    <x:tableColumn id="18" name="Running_Profit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veSnapshotsTable" displayName="LiveSnapshotsTable" ref="A1:AI1000" headerRowCount="1" totalsRowCount="0" totalsRowShown="0">
  <x:tableColumns count="35">
    <x:tableColumn id="1" name="Snapshot_ID"/>
    <x:tableColumn id="2" name="Snapshot_Time_EAT"/>
    <x:tableColumn id="3" name="Match_ID"/>
    <x:tableColumn id="4" name="Match_Local_Date"/>
    <x:tableColumn id="5" name="League"/>
    <x:tableColumn id="6" name="Home_Team"/>
    <x:tableColumn id="7" name="Away_Team"/>
    <x:tableColumn id="8" name="Kickoff_EAT"/>
    <x:tableColumn id="9" name="Market"/>
    <x:tableColumn id="10" name="Observed_Over25_Odds"/>
    <x:tableColumn id="11" name="Observed_Under25_Odds"/>
    <x:tableColumn id="12" name="Raw_Over_Implied"/>
    <x:tableColumn id="13" name="Raw_Under_Implied"/>
    <x:tableColumn id="14" name="Devig_Over_Probability"/>
    <x:tableColumn id="15" name="Devig_Under_Probability"/>
    <x:tableColumn id="16" name="Home_xG_Season"/>
    <x:tableColumn id="17" name="Home_xGA_Season"/>
    <x:tableColumn id="18" name="Away_xG_Season"/>
    <x:tableColumn id="19" name="Away_xGA_Season"/>
    <x:tableColumn id="20" name="Home_GF_Last5_Avg"/>
    <x:tableColumn id="21" name="Home_GA_Last5_Avg"/>
    <x:tableColumn id="22" name="Away_GF_Last5_Avg"/>
    <x:tableColumn id="23" name="Away_GA_Last5_Avg"/>
    <x:tableColumn id="24" name="Home_Rest_Days"/>
    <x:tableColumn id="25" name="Away_Rest_Days"/>
    <x:tableColumn id="26" name="Home_Out"/>
    <x:tableColumn id="27" name="Home_Questionable"/>
    <x:tableColumn id="28" name="Away_Out"/>
    <x:tableColumn id="29" name="Away_Questionable"/>
    <x:tableColumn id="30" name="Research_Decision"/>
    <x:tableColumn id="31" name="Official_Match_Source"/>
    <x:tableColumn id="32" name="Stats_Source"/>
    <x:tableColumn id="33" name="Odds_Source"/>
    <x:tableColumn id="34" name="Availability_Source"/>
    <x:tableColumn id="3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6fd04f076e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44cec51ba24b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eb3e1e8197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f65328440348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2b1b833244c4c9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28" customHeight="1">
      <x:c r="A1" s="5" t="str">
        <x:v>BETTING INTELLIGENCE v0.1 — OVER/UNDER 2.5</x:v>
      </x:c>
      <x:c r="B1" s="5"/>
      <x:c r="C1" s="5"/>
      <x:c r="D1" s="5"/>
      <x:c r="E1" s="5"/>
      <x:c r="F1" s="5"/>
    </x:row>
    <x:row r="3">
      <x:c r="A3" s="14" t="str">
        <x:v>Goal</x:v>
      </x:c>
      <x:c r="B3" s="15" t="str">
        <x:v>Collect clean pre-kickoff data and test repeatable Over/Under 2.5 patterns.</x:v>
      </x:c>
    </x:row>
    <x:row r="4">
      <x:c r="A4" s="14" t="str">
        <x:v>Market</x:v>
      </x:c>
      <x:c r="B4" s="15" t="str">
        <x:v>Over / Under 2.5 Goals only.</x:v>
      </x:c>
    </x:row>
    <x:row r="5">
      <x:c r="A5" s="14" t="str">
        <x:v>Rule 1</x:v>
      </x:c>
      <x:c r="B5" s="15" t="str">
        <x:v>Use only information available before kickoff.</x:v>
      </x:c>
    </x:row>
    <x:row r="6">
      <x:c r="A6" s="14" t="str">
        <x:v>Rule 2</x:v>
      </x:c>
      <x:c r="B6" s="15" t="str">
        <x:v>Never rewrite a prediction after seeing the result.</x:v>
      </x:c>
    </x:row>
    <x:row r="7">
      <x:c r="A7" s="14" t="str">
        <x:v>Rule 3</x:v>
      </x:c>
      <x:c r="B7" s="15" t="str">
        <x:v>Do not judge a pattern using hit-rate alone.</x:v>
      </x:c>
    </x:row>
    <x:row r="8">
      <x:c r="A8" s="14" t="str">
        <x:v>Rule 4</x:v>
      </x:c>
      <x:c r="B8" s="15" t="str">
        <x:v>Separate Discovery, Validation and Forward Test data.</x:v>
      </x:c>
    </x:row>
    <x:row r="9">
      <x:c r="A9" s="14" t="str">
        <x:v>Rule 5</x:v>
      </x:c>
      <x:c r="B9" s="15" t="str">
        <x:v>Paper-bet first; no real-money staking in v0.1.</x:v>
      </x:c>
    </x:row>
    <x:row r="10">
      <x:c r="A10" s="14" t="str">
        <x:v>Core metrics</x:v>
      </x:c>
      <x:c r="B10" s="15" t="str">
        <x:v>Hit Rate, ROI, Edge, CLV, sample size and drawdown.</x:v>
      </x:c>
    </x:row>
    <x:row r="11">
      <x:c r="A11" s="14" t="str">
        <x:v>Workflow</x:v>
      </x:c>
      <x:c r="B11" s="15" t="str">
        <x:v>Collect → Clean → Feature → Pattern → Validate → Forward test → Paper bet.</x:v>
      </x:c>
    </x:row>
    <x:row r="12">
      <x:c r="A12" s="14" t="str">
        <x:v>Success definition</x:v>
      </x:c>
      <x:c r="B12" s="15" t="str">
        <x:v>A stable repeatable edge, not a forced 90% win rate.</x:v>
      </x:c>
    </x:row>
    <x:row r="14">
      <x:c r="A14" s="377" t="str">
        <x:v>v0.2.0 Rule</x:v>
      </x:c>
      <x:c r="B14" s="15" t="str">
        <x:v>Never mix historical closing odds with live best odds when validating a pattern.</x:v>
      </x:c>
    </x:row>
    <x:row r="15">
      <x:c r="A15" s="377" t="str">
        <x:v>Reference price</x:v>
      </x:c>
      <x:c r="B15" s="15" t="str">
        <x:v>Used to qualify the pattern and estimate market probability.</x:v>
      </x:c>
    </x:row>
    <x:row r="16">
      <x:c r="A16" s="377" t="str">
        <x:v>Execution price</x:v>
      </x:c>
      <x:c r="B16" s="15" t="str">
        <x:v>The exact bookmaker odds actually available to the bettor; used for executable EV.</x:v>
      </x:c>
    </x:row>
    <x:row r="17">
      <x:c r="A17" s="377" t="str">
        <x:v>CLV</x:v>
      </x:c>
      <x:c r="B17" s="15" t="str">
        <x:v>Compare execution price with closing reference; track separately from win/loss.</x:v>
      </x:c>
    </x:row>
    <x:row r="18">
      <x:c r="A18" s="377" t="str">
        <x:v>Promotion</x:v>
      </x:c>
      <x:c r="B18" s="15" t="str">
        <x:v>No real-money promotion until normalized historical validation is complete.</x:v>
      </x:c>
    </x:row>
    <x:row r="20">
      <x:c r="A20" s="438" t="str">
        <x:v>v0.2.2 Warm-up rule</x:v>
      </x:c>
      <x:c r="B20" s="15" t="str">
        <x:v>A historical match cannot validate the pattern until both teams have at least 3 prior matches in the chronological dataset.</x:v>
      </x:c>
    </x:row>
    <x:row r="21">
      <x:c r="A21" s="438" t="str">
        <x:v>No hindsight</x:v>
      </x:c>
      <x:c r="B21" s="15" t="str">
        <x:v>Rolling GF/GA and lambda are calculated from earlier rows only.</x:v>
      </x:c>
    </x:row>
    <x:row r="22">
      <x:c r="A22" s="438" t="str">
        <x:v>Research warm-up</x:v>
      </x:c>
      <x:c r="B22" s="15" t="str">
        <x:v>N&gt;=1 may be viewed for exploration but is never promotion evidence.</x:v>
      </x:c>
    </x:row>
    <x:row r="23">
      <x:c r="A23" s="438" t="str">
        <x:v>Validation warm-up</x:v>
      </x:c>
      <x:c r="B23" s="15" t="str">
        <x:v>N&gt;=3 is the minimum; final target remains 30+ qualifying matches.</x:v>
      </x:c>
    </x:row>
    <x:row r="25">
      <x:c r="A25" s="474" t="str">
        <x:v>v0.3.0 Intelligence rule</x:v>
      </x:c>
      <x:c r="B25" s="15" t="str">
        <x:v>A feature can exist in the feature store without influencing predictions until its weight is historically calibrated.</x:v>
      </x:c>
    </x:row>
    <x:row r="26">
      <x:c r="A26" s="474" t="str">
        <x:v>Meta-model</x:v>
      </x:c>
      <x:c r="B26" s="15" t="str">
        <x:v>Football model and market model are combined; immature internal models receive capped weight.</x:v>
      </x:c>
    </x:row>
    <x:row r="27">
      <x:c r="A27" s="474" t="str">
        <x:v>Uncertainty</x:v>
      </x:c>
      <x:c r="B27" s="15" t="str">
        <x:v>Model disagreement, sample size, drift and missing data can block promotion even when EV is positive.</x:v>
      </x:c>
    </x:row>
    <x:row r="28">
      <x:c r="A28" s="474" t="str">
        <x:v>Data provenance</x:v>
      </x:c>
      <x:c r="B28" s="15" t="str">
        <x:v>Every live feature must have source + timestamp + pre-kick flag.</x:v>
      </x:c>
    </x:row>
    <x:row r="29">
      <x:c r="A29" s="474" t="str">
        <x:v>No fake precision</x:v>
      </x:c>
      <x:c r="B29" s="15" t="str">
        <x:v>Missing player/xG/history features receive zero weight rather than guessed values.</x:v>
      </x:c>
    </x:row>
    <x:row r="30">
      <x:c r="A30" s="474" t="str">
        <x:v>Calibration</x:v>
      </x:c>
      <x:c r="B30" s="15" t="str">
        <x:v>Track Brier score, log loss, ROI and CLV after outcomes settle.</x:v>
      </x:c>
    </x:row>
    <x:row r="31">
      <x:c r="A31" s="474" t="str">
        <x:v>Promotion</x:v>
      </x:c>
      <x:c r="B31" s="15" t="str">
        <x:v>Only out-of-sample performance can increase a model's weight or unlock real-money status.</x:v>
      </x:c>
    </x:row>
    <x:row r="33">
      <x:c r="A33" s="519" t="str">
        <x:v>v0.3.1 Temporal pipeline</x:v>
      </x:c>
      <x:c r="B33" s="15" t="str">
        <x:v>Every future match is designed to collect T-24h, T-6h, T-60m, T-30m, T-10m and closing snapshots.</x:v>
      </x:c>
    </x:row>
    <x:row r="34">
      <x:c r="A34" s="519" t="str">
        <x:v>Market surface</x:v>
      </x:c>
      <x:c r="B34" s="15" t="str">
        <x:v>Use the exact market line being evaluated as the primary market anchor; other total lines are distribution-shape diagnostics.</x:v>
      </x:c>
    </x:row>
    <x:row r="35">
      <x:c r="A35" s="519" t="str">
        <x:v>Important correction</x:v>
      </x:c>
      <x:c r="B35" s="15" t="str">
        <x:v>v0.3.0 inferred U3.5 from the O2.5 market under a single-Poisson assumption. v0.3.1 supersedes that logic.</x:v>
      </x:c>
    </x:row>
    <x:row r="36">
      <x:c r="A36" s="519" t="str">
        <x:v>Model weights</x:v>
      </x:c>
      <x:c r="B36" s="15" t="str">
        <x:v>35/65 is a temporary reliability cap, not a learned optimum. Future stacking weights must be learned out-of-sample.</x:v>
      </x:c>
    </x:row>
    <x:row r="37">
      <x:c r="A37" s="519" t="str">
        <x:v>Goal distribution</x:v>
      </x:c>
      <x:c r="B37" s="15" t="str">
        <x:v>Poisson, Negative Binomial and mixture models will be compared out-of-sample; the market surface decides when Poisson is inadequate.</x:v>
      </x:c>
    </x:row>
    <x:row r="38">
      <x:c r="A38" s="519" t="str">
        <x:v>Uncertainty first</x:v>
      </x:c>
      <x:c r="B38" s="15" t="str">
        <x:v>Surface disagreement, provider mismatch, low N, drift or poor calibration can reduce confidence or block decisions.</x:v>
      </x:c>
    </x:row>
    <x:row r="39">
      <x:c r="A39" s="519" t="str">
        <x:v>Superhuman goal</x:v>
      </x:c>
      <x:c r="B39" s="15" t="str">
        <x:v>The system aims to exceed human consistency and dimensional tracking; predictive superiority must be demonstrated out-of-sample.</x:v>
      </x:c>
    </x:row>
    <x:row r="40">
      <x:c r="A40" s="519" t="str">
        <x:v>Capital gate</x:v>
      </x:c>
      <x:c r="B40" s="15" t="str">
        <x:v>No positive-looking single match can override failed validation/calibration/execution gates.</x:v>
      </x:c>
    </x:row>
    <x:row r="42">
      <x:c r="A42" s="553" t="str">
        <x:v>v0.3.2 Event-time separation</x:v>
      </x:c>
      <x:c r="B42" s="15" t="str">
        <x:v>Pre-match, live and post-match data are separate partitions. Live/post-match data can never rewrite the frozen pre-match forecast.</x:v>
      </x:c>
    </x:row>
    <x:row r="43">
      <x:c r="A43" s="553" t="str">
        <x:v>Live model</x:v>
      </x:c>
      <x:c r="B43" s="15" t="str">
        <x:v>Architecture exists but weight remains 0 until event-level history, provider consistency and OOS calibration are available.</x:v>
      </x:c>
    </x:row>
    <x:row r="44">
      <x:c r="A44" s="553" t="str">
        <x:v>No guessed live state</x:v>
      </x:c>
      <x:c r="B44" s="15" t="str">
        <x:v>If score/minute/xG cannot be verified from a timestamped source, leave it null.</x:v>
      </x:c>
    </x:row>
    <x:row r="45">
      <x:c r="A45" s="553" t="str">
        <x:v>Confidence budget</x:v>
      </x:c>
      <x:c r="B45" s="15" t="str">
        <x:v>Model maturity is tracked separately from win probability; missing validation/calibration can block promotion.</x:v>
      </x:c>
    </x:row>
    <x:row r="46">
      <x:c r="A46" s="553" t="str">
        <x:v>Champion/challenger</x:v>
      </x:c>
      <x:c r="B46" s="15" t="str">
        <x:v>Market anchor is the current champion; internal models must beat it out-of-sample to gain weight.</x:v>
      </x:c>
    </x:row>
    <x:row r="47">
      <x:c r="A47" s="553" t="str">
        <x:v>One-match quarantine</x:v>
      </x:c>
      <x:c r="B47" s="15" t="str">
        <x:v>A single result updates metrics but never changes model parameters immediately.</x:v>
      </x:c>
    </x:row>
    <x:row r="48">
      <x:c r="A48" s="553" t="str">
        <x:v>Attribution</x:v>
      </x:c>
      <x:c r="B48" s="15" t="str">
        <x:v>After FT, separate probability error, market-price error, finishing variance, red-card/state changes and calibration error.</x:v>
      </x:c>
    </x:row>
    <x:row r="49">
      <x:c r="A49" s="553" t="str">
        <x:v>Learning loop</x:v>
      </x:c>
      <x:c r="B49" s="15" t="str">
        <x:v>Observe → settle → score → attribute → batch retrain → OOS validate → promote or reject.</x:v>
      </x:c>
    </x:row>
    <x:row r="51">
      <x:c r="A51" s="598" t="str">
        <x:v>v0.3.3 Source quorum</x:v>
      </x:c>
      <x:c r="B51" s="15" t="str">
        <x:v>A live score/minute is accepted only from a Tier-A timestamped event feed or agreement of at least two independent sources.</x:v>
      </x:c>
    </x:row>
    <x:row r="52">
      <x:c r="A52" s="598" t="str">
        <x:v>Source conflict</x:v>
      </x:c>
      <x:c r="B52" s="15" t="str">
        <x:v>Conflicting source states remain unresolved; the system stores all claims and keeps the ground-truth field null.</x:v>
      </x:c>
    </x:row>
    <x:row r="53">
      <x:c r="A53" s="598" t="str">
        <x:v>Adaptive weights</x:v>
      </x:c>
      <x:c r="B53" s="15" t="str">
        <x:v>A model's effective weight is base weight × validation × calibration × freshness × drift × availability multipliers.</x:v>
      </x:c>
    </x:row>
    <x:row r="54">
      <x:c r="A54" s="598" t="str">
        <x:v>Missing data</x:v>
      </x:c>
      <x:c r="B54" s="15" t="str">
        <x:v>Missing or unverifiable input lowers a model's weight to zero; it is never replaced by an intuitive guess.</x:v>
      </x:c>
    </x:row>
    <x:row r="55">
      <x:c r="A55" s="598" t="str">
        <x:v>Event-state model</x:v>
      </x:c>
      <x:c r="B55" s="15" t="str">
        <x:v>Minute, score, cards, live xG, event velocity and live odds will become state variables only after historical event-level calibration.</x:v>
      </x:c>
    </x:row>
    <x:row r="56">
      <x:c r="A56" s="598" t="str">
        <x:v>Market champion</x:v>
      </x:c>
      <x:c r="B56" s="15" t="str">
        <x:v>The market remains the champion baseline until a challenger beats it on unseen data using probability and economic metrics.</x:v>
      </x:c>
    </x:row>
    <x:row r="57">
      <x:c r="A57" s="598" t="str">
        <x:v>Error attribution</x:v>
      </x:c>
      <x:c r="B57" s="15" t="str">
        <x:v>Losses are classified into calibration, distribution, team strength, finishing variance, event shock, price, data and drift errors.</x:v>
      </x:c>
    </x:row>
    <x:row r="58">
      <x:c r="A58" s="598" t="str">
        <x:v>No one-match learning</x:v>
      </x:c>
      <x:c r="B58" s="15" t="str">
        <x:v>One game can diagnose an error class but cannot change model parameters or thresholds.</x:v>
      </x:c>
    </x:row>
    <x:row r="59">
      <x:c r="A59" s="598" t="str">
        <x:v>Objective</x:v>
      </x:c>
      <x:c r="B59" s="15" t="str">
        <x:v>Increase machine consistency and information processing while requiring out-of-sample evidence before claiming predictive superiority.</x:v>
      </x:c>
    </x:row>
    <x:row r="61">
      <x:c r="A61" s="637" t="str">
        <x:v>v0.4.0 Probabilistic brain</x:v>
      </x:c>
      <x:c r="B61" s="15" t="str">
        <x:v>Prediction probability, uncertainty, evidence maturity and price value are tracked separately.</x:v>
      </x:c>
    </x:row>
    <x:row r="62">
      <x:c r="A62" s="637" t="str">
        <x:v>Adaptive brain</x:v>
      </x:c>
      <x:c r="B62" s="15" t="str">
        <x:v>Active-model probabilities are weighted by reliability-adjusted weights, not by intuition.</x:v>
      </x:c>
    </x:row>
    <x:row r="63">
      <x:c r="A63" s="637" t="str">
        <x:v>Model envelope</x:v>
      </x:c>
      <x:c r="B63" s="15" t="str">
        <x:v>The active-model range is shown explicitly instead of pretending a single probability has no uncertainty.</x:v>
      </x:c>
    </x:row>
    <x:row r="64">
      <x:c r="A64" s="637" t="str">
        <x:v>Distribution lab</x:v>
      </x:c>
      <x:c r="B64" s="15" t="str">
        <x:v>Poisson and Negative Binomial sensitivity can be compared, but untrained challengers retain zero decision weight.</x:v>
      </x:c>
    </x:row>
    <x:row r="65">
      <x:c r="A65" s="637" t="str">
        <x:v>Disagreement matrix</x:v>
      </x:c>
      <x:c r="B65" s="15" t="str">
        <x:v>Model-vs-market, brain-vs-break-even and market-surface disagreements are explicit decision inputs.</x:v>
      </x:c>
    </x:row>
    <x:row r="66">
      <x:c r="A66" s="637" t="str">
        <x:v>Evidence graph</x:v>
      </x:c>
      <x:c r="B66" s="15" t="str">
        <x:v>Every material conclusion has a provenance/dependency chain and verification state.</x:v>
      </x:c>
    </x:row>
    <x:row r="67">
      <x:c r="A67" s="637" t="str">
        <x:v>Self-evaluation</x:v>
      </x:c>
      <x:c r="B67" s="15" t="str">
        <x:v>The system asks whether data, calibration, validation, price and distribution assumptions are trustworthy before acting.</x:v>
      </x:c>
    </x:row>
    <x:row r="68">
      <x:c r="A68" s="637" t="str">
        <x:v>Human override</x:v>
      </x:c>
      <x:c r="B68" s="15" t="str">
        <x:v>Critical evidence/validation gates cannot be manually bypassed in the research architecture.</x:v>
      </x:c>
    </x:row>
    <x:row r="69">
      <x:c r="A69" s="637" t="str">
        <x:v>Superiority standard</x:v>
      </x:c>
      <x:c r="B69" s="15" t="str">
        <x:v>Only sustained out-of-sample performance versus the market champion can justify claiming predictive superiority.</x:v>
      </x:c>
    </x:row>
    <x:row r="70">
      <x:c r="A70" s="637" t="str">
        <x:v>Current result</x:v>
      </x:c>
      <x:c r="B70" s="15" t="str">
        <x:v>Under3.5 remains a paper observation; v0.4.0 brain sees negative value at the frozen 1.625 reference price.</x:v>
      </x:c>
    </x:row>
    <x:row r="72">
      <x:c r="A72" s="696" t="str">
        <x:v>v0.4.1 Bayesian memory</x:v>
      </x:c>
      <x:c r="B72" s="15" t="str">
        <x:v>Team attack and defense are represented as probability distributions, not fixed last-5 averages.</x:v>
      </x:c>
    </x:row>
    <x:row r="73">
      <x:c r="A73" s="696" t="str">
        <x:v>Conjugate update</x:v>
      </x:c>
      <x:c r="B73" s="15" t="str">
        <x:v>Gamma-Poisson memory updates using only goals observed before the prediction timestamp.</x:v>
      </x:c>
    </x:row>
    <x:row r="74">
      <x:c r="A74" s="696" t="str">
        <x:v>Hierarchical context</x:v>
      </x:c>
      <x:c r="B74" s="15" t="str">
        <x:v>Venue memory shrinks home/away evidence toward each team's slower overall posterior.</x:v>
      </x:c>
    </x:row>
    <x:row r="75">
      <x:c r="A75" s="696" t="str">
        <x:v>Uncertainty propagation</x:v>
      </x:c>
      <x:c r="B75" s="15" t="str">
        <x:v>Posterior variance is propagated into expected-goal uncertainty and a probability envelope.</x:v>
      </x:c>
    </x:row>
    <x:row r="76">
      <x:c r="A76" s="696" t="str">
        <x:v>Current warning</x:v>
      </x:c>
      <x:c r="B76" s="15" t="str">
        <x:v>Venue memory strongly disagrees with market and has a wide interval; therefore its decision weight is exactly zero.</x:v>
      </x:c>
    </x:row>
    <x:row r="77">
      <x:c r="A77" s="696" t="str">
        <x:v>Prior sensitivity</x:v>
      </x:c>
      <x:c r="B77" s="15" t="str">
        <x:v>League prior strength and venue shrinkage are provisional and must be learned on historical training data.</x:v>
      </x:c>
    </x:row>
    <x:row r="78">
      <x:c r="A78" s="696" t="str">
        <x:v>No manual decay</x:v>
      </x:c>
      <x:c r="B78" s="15" t="str">
        <x:v>Fast-form half-life will not be hand-picked; it must improve out-of-sample scoring.</x:v>
      </x:c>
    </x:row>
    <x:row r="79">
      <x:c r="A79" s="696" t="str">
        <x:v>Future memory</x:v>
      </x:c>
      <x:c r="B79" s="15" t="str">
        <x:v>xG, player, regime and market memories will be separate latent states with independent reliability.</x:v>
      </x:c>
    </x:row>
    <x:row r="80">
      <x:c r="A80" s="696" t="str">
        <x:v>Promotion rule</x:v>
      </x:c>
      <x:c r="B80" s="15" t="str">
        <x:v>Bayesian memory gains weight only after chronological walk-forward validation and calibrated interval coverage.</x:v>
      </x:c>
    </x:row>
    <x:row r="81">
      <x:c r="A81" s="696" t="str">
        <x:v>Preservation</x:v>
      </x:c>
      <x:c r="B81" s="15" t="str">
        <x:v>All previous versions/sheets remain intact; v0.4.1 adds a challenger rather than rewriting prior forecasts.</x:v>
      </x:c>
    </x:row>
    <x:row r="83">
      <x:c r="A83" s="732" t="str">
        <x:v>v0.4.2 Walk-forward</x:v>
      </x:c>
      <x:c r="B83" s="15" t="str">
        <x:v>Every row is predicted before its own result is allowed to update team memory.</x:v>
      </x:c>
    </x:row>
    <x:row r="84">
      <x:c r="A84" s="732" t="str">
        <x:v>External prior</x:v>
      </x:c>
      <x:c r="B84" s="15" t="str">
        <x:v>2025 MLS regular season: 1,530 goals / 510 matches = 3.00 total goals per match, giving a 1.50 team-goal prior for 2026.</x:v>
      </x:c>
    </x:row>
    <x:row r="85">
      <x:c r="A85" s="732" t="str">
        <x:v>Prior strength</x:v>
      </x:c>
      <x:c r="B85" s="15" t="str">
        <x:v>Equivalent sample size 5 remains frozen and provisional; sensitivity is displayed but not used to retune the current model.</x:v>
      </x:c>
    </x:row>
    <x:row r="86">
      <x:c r="A86" s="732" t="str">
        <x:v>Prior dominance</x:v>
      </x:c>
      <x:c r="B86" s="15" t="str">
        <x:v>Early-season predictions are explicitly tagged PRIOR-DOMINATED; they cannot be used as promotion evidence.</x:v>
      </x:c>
    </x:row>
    <x:row r="87">
      <x:c r="A87" s="732" t="str">
        <x:v>Research warmup</x:v>
      </x:c>
      <x:c r="B87" s="15" t="str">
        <x:v>Both teams N&gt;=1 is research-only; current 10-row subset still loses to the market on Brier and LogLoss.</x:v>
      </x:c>
    </x:row>
    <x:row r="88">
      <x:c r="A88" s="732" t="str">
        <x:v>Validation warmup</x:v>
      </x:c>
      <x:c r="B88" s="15" t="str">
        <x:v>Both teams N&gt;=3 is required before a row can enter the validation pool; current seed has zero such rows.</x:v>
      </x:c>
    </x:row>
    <x:row r="89">
      <x:c r="A89" s="732" t="str">
        <x:v>Champion test</x:v>
      </x:c>
      <x:c r="B89" s="15" t="str">
        <x:v>M011 must beat the direct market baseline out-of-sample; architecture complexity earns no credit by itself.</x:v>
      </x:c>
    </x:row>
    <x:row r="90">
      <x:c r="A90" s="732" t="str">
        <x:v>Calibration</x:v>
      </x:c>
      <x:c r="B90" s="15" t="str">
        <x:v>Small calibration bins are shown but considered untrustworthy until sample sizes become much larger.</x:v>
      </x:c>
    </x:row>
    <x:row r="91">
      <x:c r="A91" s="732" t="str">
        <x:v>No hyperparameter chasing</x:v>
      </x:c>
      <x:c r="B91" s="15" t="str">
        <x:v>Prior-strength sensitivity is diagnostic only; selecting the best value on this seed would be overfitting.</x:v>
      </x:c>
    </x:row>
    <x:row r="92">
      <x:c r="A92" s="732" t="str">
        <x:v>Current verdict</x:v>
      </x:c>
      <x:c r="B92" s="15" t="str">
        <x:v>Bayesian memory remains a useful challenger with 0% decision weight; market remains champion.</x:v>
      </x:c>
    </x:row>
    <x:row r="94">
      <x:c r="A94" s="781" t="str">
        <x:v>v0.4.3 Exact chronology</x:v>
      </x:c>
      <x:c r="B94" s="15" t="str">
        <x:v>The 19 completed pre-current MLS matches for both SKC and STL are stored explicitly and reconciled to source season totals.</x:v>
      </x:c>
    </x:row>
    <x:row r="95">
      <x:c r="A95" s="781" t="str">
        <x:v>Recency memory</x:v>
      </x:c>
      <x:c r="B95" s="15" t="str">
        <x:v>Exponential half-life variants of 3, 5, 8, 12 and 20 matches are sensitivity tests only.</x:v>
      </x:c>
    </x:row>
    <x:row r="96">
      <x:c r="A96" s="781" t="str">
        <x:v>No half-life cherry-picking</x:v>
      </x:c>
      <x:c r="B96" s="15" t="str">
        <x:v>The half-life producing the most attractive current probability cannot be selected without walk-forward out-of-sample evidence.</x:v>
      </x:c>
    </x:row>
    <x:row r="97">
      <x:c r="A97" s="781" t="str">
        <x:v>Current recency result</x:v>
      </x:c>
      <x:c r="B97" s="15" t="str">
        <x:v>All tested decay memories place Under3.5 roughly in the 58.8%–61.3% range, much closer to the market than venue-only Bayesian memory.</x:v>
      </x:c>
    </x:row>
    <x:row r="98">
      <x:c r="A98" s="781" t="str">
        <x:v>Venue correction</x:v>
      </x:c>
      <x:c r="B98" s="15" t="str">
        <x:v>The earlier 73.5% venue estimate is retained as a diagnostic but flagged not robust because small-context data overreacts relative to recency memory.</x:v>
      </x:c>
    </x:row>
    <x:row r="99">
      <x:c r="A99" s="781" t="str">
        <x:v>Change-point layer</x:v>
      </x:c>
      <x:c r="B99" s="15" t="str">
        <x:v>Recent-5 versus earlier-14 rates are stored as anomaly/change diagnostics with zero decision weight.</x:v>
      </x:c>
    </x:row>
    <x:row r="100">
      <x:c r="A100" s="781" t="str">
        <x:v>Live quorum</x:v>
      </x:c>
      <x:c r="B100" s="15" t="str">
        <x:v>ESPN 0-0 at 24' and FOX 0-0 through 21' establish a verified historical live snapshot; it is not represented as the current score later.</x:v>
      </x:c>
    </x:row>
    <x:row r="101">
      <x:c r="A101" s="781" t="str">
        <x:v>Live execution</x:v>
      </x:c>
      <x:c r="B101" s="15" t="str">
        <x:v>Live model remains weight zero because historical event-state calibration and paired in-play odds are still missing.</x:v>
      </x:c>
    </x:row>
    <x:row r="102">
      <x:c r="A102" s="781" t="str">
        <x:v>Market benchmark</x:v>
      </x:c>
      <x:c r="B102" s="15" t="str">
        <x:v>The direct market remains champion; M011 and M012 remain challengers with zero decision weight.</x:v>
      </x:c>
    </x:row>
    <x:row r="103">
      <x:c r="A103" s="781" t="str">
        <x:v>Next expansion</x:v>
      </x:c>
      <x:c r="B103" s="15" t="str">
        <x:v>Move from two-team exact chronology to full-league chronological histories and market-labelled walk-forward evaluation.</x:v>
      </x:c>
    </x:row>
    <x:row r="104">
      <x:c r="A104" s="781" t="str">
        <x:v>Preservation</x:v>
      </x:c>
      <x:c r="B104" s="15" t="str">
        <x:v>All earlier sheets, locked forecasts, and governance rules remain intact.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0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2" hidden="0" customWidth="1"/>
    <x:col min="22" max="22" width="12" hidden="0" customWidth="1"/>
    <x:col min="23" max="23" width="14" hidden="0" customWidth="1"/>
    <x:col min="24" max="24" width="14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4" hidden="0" customWidth="1"/>
    <x:col min="30" max="30" width="30" hidden="0" customWidth="1"/>
    <x:col min="31" max="31" width="28" hidden="0" customWidth="1"/>
  </x:cols>
  <x:sheetData>
    <x:row r="1">
      <x:c r="A1" s="22" t="str">
        <x:v>Match_ID</x:v>
      </x:c>
      <x:c r="B1" s="22" t="str">
        <x:v>Date</x:v>
      </x:c>
      <x:c r="C1" s="22" t="str">
        <x:v>League</x:v>
      </x:c>
      <x:c r="D1" s="22" t="str">
        <x:v>Season</x:v>
      </x:c>
      <x:c r="E1" s="22" t="str">
        <x:v>Home_Team</x:v>
      </x:c>
      <x:c r="F1" s="22" t="str">
        <x:v>Away_Team</x:v>
      </x:c>
      <x:c r="G1" s="22" t="str">
        <x:v>Home_Goals</x:v>
      </x:c>
      <x:c r="H1" s="22" t="str">
        <x:v>Away_Goals</x:v>
      </x:c>
      <x:c r="I1" s="22" t="str">
        <x:v>Total_Goals</x:v>
      </x:c>
      <x:c r="J1" s="22" t="str">
        <x:v>OU25_Result</x:v>
      </x:c>
      <x:c r="K1" s="22" t="str">
        <x:v>Home_xG</x:v>
      </x:c>
      <x:c r="L1" s="22" t="str">
        <x:v>Away_xG</x:v>
      </x:c>
      <x:c r="M1" s="22" t="str">
        <x:v>Home_xGA_Form</x:v>
      </x:c>
      <x:c r="N1" s="22" t="str">
        <x:v>Away_xGA_Form</x:v>
      </x:c>
      <x:c r="O1" s="22" t="str">
        <x:v>Home_GF_Last5</x:v>
      </x:c>
      <x:c r="P1" s="22" t="str">
        <x:v>Home_GA_Last5</x:v>
      </x:c>
      <x:c r="Q1" s="22" t="str">
        <x:v>Away_GF_Last5</x:v>
      </x:c>
      <x:c r="R1" s="22" t="str">
        <x:v>Away_GA_Last5</x:v>
      </x:c>
      <x:c r="S1" s="22" t="str">
        <x:v>Home_SOT_Last5</x:v>
      </x:c>
      <x:c r="T1" s="22" t="str">
        <x:v>Away_SOT_Last5</x:v>
      </x:c>
      <x:c r="U1" s="22" t="str">
        <x:v>Home_Rest_Days</x:v>
      </x:c>
      <x:c r="V1" s="22" t="str">
        <x:v>Away_Rest_Days</x:v>
      </x:c>
      <x:c r="W1" s="22" t="str">
        <x:v>Home_Major_Absences</x:v>
      </x:c>
      <x:c r="X1" s="22" t="str">
        <x:v>Away_Major_Absences</x:v>
      </x:c>
      <x:c r="Y1" s="22" t="str">
        <x:v>Open_Over25_Odds</x:v>
      </x:c>
      <x:c r="Z1" s="22" t="str">
        <x:v>Open_Under25_Odds</x:v>
      </x:c>
      <x:c r="AA1" s="22" t="str">
        <x:v>Close_Over25_Odds</x:v>
      </x:c>
      <x:c r="AB1" s="22" t="str">
        <x:v>Close_Under25_Odds</x:v>
      </x:c>
      <x:c r="AC1" s="22" t="str">
        <x:v>Data_Split</x:v>
      </x:c>
      <x:c r="AD1" s="22" t="str">
        <x:v>Source_URL</x:v>
      </x:c>
      <x:c r="AE1" s="22" t="str">
        <x:v>Notes</x:v>
      </x:c>
    </x:row>
    <x:row r="2">
      <x:c r="A2" t="str">
        <x:v>MLS-2026-08-19-SKC-STL</x:v>
      </x:c>
      <x:c r="B2" s="28" t="str">
        <x:v>2026-08-19</x:v>
      </x:c>
      <x:c r="C2" t="str">
        <x:v>MLS</x:v>
      </x:c>
      <x:c r="D2" t="str">
        <x:v>2026</x:v>
      </x:c>
      <x:c r="E2" t="str">
        <x:v>Sporting Kansas City</x:v>
      </x:c>
      <x:c r="F2" t="str">
        <x:v>St. Louis CITY SC</x:v>
      </x:c>
      <x:c r="G2"/>
      <x:c r="H2"/>
      <x:c r="I2" t="str">
        <x:f>IF(OR(G2="",H2=""),"",G2+H2)</x:f>
      </x:c>
      <x:c r="J2" t="str">
        <x:f>IF(I2="","",IF(I2&gt;2.5,"OVER","UNDER"))</x:f>
      </x:c>
      <x:c r="K2" s="30" t="n">
        <x:v>0.92</x:v>
      </x:c>
      <x:c r="L2" s="30" t="n">
        <x:v>1.55</x:v>
      </x:c>
      <x:c r="M2" s="30" t="n">
        <x:v>2.15</x:v>
      </x:c>
      <x:c r="N2" s="30" t="n">
        <x:v>1.14</x:v>
      </x:c>
      <x:c r="O2" t="n">
        <x:v>0.8</x:v>
      </x:c>
      <x:c r="P2" t="n">
        <x:v>2.4</x:v>
      </x:c>
      <x:c r="Q2" t="n">
        <x:v>2.2</x:v>
      </x:c>
      <x:c r="R2" t="n">
        <x:v>1</x:v>
      </x:c>
      <x:c r="S2"/>
      <x:c r="T2"/>
      <x:c r="U2" t="n">
        <x:v>3</x:v>
      </x:c>
      <x:c r="V2" t="n">
        <x:v>3</x:v>
      </x:c>
      <x:c r="W2" t="n">
        <x:v>3</x:v>
      </x:c>
      <x:c r="X2" t="n">
        <x:v>3</x:v>
      </x:c>
      <x:c r="Y2" s="30"/>
      <x:c r="Z2" s="30"/>
      <x:c r="AA2" s="30"/>
      <x:c r="AB2" s="30"/>
      <x:c r="AC2" t="str">
        <x:v>Live Paper</x:v>
      </x:c>
      <x:c r="AD2" t="str">
        <x:v>https://www.sportingkc.com/news/preview-sporting-kc-hosts-rivals-st-louis-city-sc-on-wednesday-at-sporting-park ; https://www.espn.com/soccer/match/_/gameId/761732/st-louis-city-sc-sporting-kansas-city ; https://www.mlssoccer.com/news/mls-player-status-report-matchday-21-wednesday-august-19 ; https://www.oddschecker.com/us/soccer/mls/sporting-kansas-city-v-st.-louis-city</x:v>
      </x:c>
      <x:c r="AE2" t="str">
        <x:v>Live Sample #001. True opening/closing odds intentionally left blank; time-stamped observed prices are in Live_Snapshots.</x:v>
      </x:c>
    </x:row>
    <x:row r="3">
      <x:c r="B3" s="28"/>
      <x:c r="I3" t="str">
        <x:f>IF(OR(G3="",H3=""),"",G3+H3)</x:f>
      </x:c>
      <x:c r="J3" t="str">
        <x:f>IF(I3="","",IF(I3&gt;2.5,"OVER","UNDER"))</x:f>
      </x:c>
      <x:c r="K3" s="30"/>
      <x:c r="L3" s="30"/>
      <x:c r="M3" s="30"/>
      <x:c r="N3" s="30"/>
      <x:c r="Y3" s="30"/>
      <x:c r="Z3" s="30"/>
      <x:c r="AA3" s="30"/>
      <x:c r="AB3" s="30"/>
    </x:row>
    <x:row r="4">
      <x:c r="B4" s="28"/>
      <x:c r="I4" t="str">
        <x:f>IF(OR(G4="",H4=""),"",G4+H4)</x:f>
      </x:c>
      <x:c r="J4" t="str">
        <x:f>IF(I4="","",IF(I4&gt;2.5,"OVER","UNDER"))</x:f>
      </x:c>
      <x:c r="K4" s="30"/>
      <x:c r="L4" s="30"/>
      <x:c r="M4" s="30"/>
      <x:c r="N4" s="30"/>
      <x:c r="Y4" s="30"/>
      <x:c r="Z4" s="30"/>
      <x:c r="AA4" s="30"/>
      <x:c r="AB4" s="30"/>
    </x:row>
    <x:row r="5">
      <x:c r="B5" s="28"/>
      <x:c r="I5" t="str">
        <x:f>IF(OR(G5="",H5=""),"",G5+H5)</x:f>
      </x:c>
      <x:c r="J5" t="str">
        <x:f>IF(I5="","",IF(I5&gt;2.5,"OVER","UNDER"))</x:f>
      </x:c>
      <x:c r="K5" s="30"/>
      <x:c r="L5" s="30"/>
      <x:c r="M5" s="30"/>
      <x:c r="N5" s="30"/>
      <x:c r="Y5" s="30"/>
      <x:c r="Z5" s="30"/>
      <x:c r="AA5" s="30"/>
      <x:c r="AB5" s="30"/>
    </x:row>
    <x:row r="6">
      <x:c r="B6" s="28"/>
      <x:c r="I6" t="str">
        <x:f>IF(OR(G6="",H6=""),"",G6+H6)</x:f>
      </x:c>
      <x:c r="J6" t="str">
        <x:f>IF(I6="","",IF(I6&gt;2.5,"OVER","UNDER"))</x:f>
      </x:c>
      <x:c r="K6" s="30"/>
      <x:c r="L6" s="30"/>
      <x:c r="M6" s="30"/>
      <x:c r="N6" s="30"/>
      <x:c r="Y6" s="30"/>
      <x:c r="Z6" s="30"/>
      <x:c r="AA6" s="30"/>
      <x:c r="AB6" s="30"/>
    </x:row>
    <x:row r="7">
      <x:c r="B7" s="28"/>
      <x:c r="I7" t="str">
        <x:f>IF(OR(G7="",H7=""),"",G7+H7)</x:f>
      </x:c>
      <x:c r="J7" t="str">
        <x:f>IF(I7="","",IF(I7&gt;2.5,"OVER","UNDER"))</x:f>
      </x:c>
      <x:c r="K7" s="30"/>
      <x:c r="L7" s="30"/>
      <x:c r="M7" s="30"/>
      <x:c r="N7" s="30"/>
      <x:c r="Y7" s="30"/>
      <x:c r="Z7" s="30"/>
      <x:c r="AA7" s="30"/>
      <x:c r="AB7" s="30"/>
    </x:row>
    <x:row r="8">
      <x:c r="B8" s="28"/>
      <x:c r="I8" t="str">
        <x:f>IF(OR(G8="",H8=""),"",G8+H8)</x:f>
      </x:c>
      <x:c r="J8" t="str">
        <x:f>IF(I8="","",IF(I8&gt;2.5,"OVER","UNDER"))</x:f>
      </x:c>
      <x:c r="K8" s="30"/>
      <x:c r="L8" s="30"/>
      <x:c r="M8" s="30"/>
      <x:c r="N8" s="30"/>
      <x:c r="Y8" s="30"/>
      <x:c r="Z8" s="30"/>
      <x:c r="AA8" s="30"/>
      <x:c r="AB8" s="30"/>
    </x:row>
    <x:row r="9">
      <x:c r="B9" s="28"/>
      <x:c r="I9" t="str">
        <x:f>IF(OR(G9="",H9=""),"",G9+H9)</x:f>
      </x:c>
      <x:c r="J9" t="str">
        <x:f>IF(I9="","",IF(I9&gt;2.5,"OVER","UNDER"))</x:f>
      </x:c>
      <x:c r="K9" s="30"/>
      <x:c r="L9" s="30"/>
      <x:c r="M9" s="30"/>
      <x:c r="N9" s="30"/>
      <x:c r="Y9" s="30"/>
      <x:c r="Z9" s="30"/>
      <x:c r="AA9" s="30"/>
      <x:c r="AB9" s="30"/>
    </x:row>
    <x:row r="10">
      <x:c r="B10" s="28"/>
      <x:c r="I10" t="str">
        <x:f>IF(OR(G10="",H10=""),"",G10+H10)</x:f>
      </x:c>
      <x:c r="J10" t="str">
        <x:f>IF(I10="","",IF(I10&gt;2.5,"OVER","UNDER"))</x:f>
      </x:c>
      <x:c r="K10" s="30"/>
      <x:c r="L10" s="30"/>
      <x:c r="M10" s="30"/>
      <x:c r="N10" s="30"/>
      <x:c r="Y10" s="30"/>
      <x:c r="Z10" s="30"/>
      <x:c r="AA10" s="30"/>
      <x:c r="AB10" s="30"/>
    </x:row>
    <x:row r="11">
      <x:c r="B11" s="28"/>
      <x:c r="I11" t="str">
        <x:f>IF(OR(G11="",H11=""),"",G11+H11)</x:f>
      </x:c>
      <x:c r="J11" t="str">
        <x:f>IF(I11="","",IF(I11&gt;2.5,"OVER","UNDER"))</x:f>
      </x:c>
      <x:c r="K11" s="30"/>
      <x:c r="L11" s="30"/>
      <x:c r="M11" s="30"/>
      <x:c r="N11" s="30"/>
      <x:c r="Y11" s="30"/>
      <x:c r="Z11" s="30"/>
      <x:c r="AA11" s="30"/>
      <x:c r="AB11" s="30"/>
    </x:row>
    <x:row r="12">
      <x:c r="B12" s="28"/>
      <x:c r="I12" t="str">
        <x:f>IF(OR(G12="",H12=""),"",G12+H12)</x:f>
      </x:c>
      <x:c r="J12" t="str">
        <x:f>IF(I12="","",IF(I12&gt;2.5,"OVER","UNDER"))</x:f>
      </x:c>
      <x:c r="K12" s="30"/>
      <x:c r="L12" s="30"/>
      <x:c r="M12" s="30"/>
      <x:c r="N12" s="30"/>
      <x:c r="Y12" s="30"/>
      <x:c r="Z12" s="30"/>
      <x:c r="AA12" s="30"/>
      <x:c r="AB12" s="30"/>
    </x:row>
    <x:row r="13">
      <x:c r="B13" s="28"/>
      <x:c r="I13" t="str">
        <x:f>IF(OR(G13="",H13=""),"",G13+H13)</x:f>
      </x:c>
      <x:c r="J13" t="str">
        <x:f>IF(I13="","",IF(I13&gt;2.5,"OVER","UNDER"))</x:f>
      </x:c>
      <x:c r="K13" s="30"/>
      <x:c r="L13" s="30"/>
      <x:c r="M13" s="30"/>
      <x:c r="N13" s="30"/>
      <x:c r="Y13" s="30"/>
      <x:c r="Z13" s="30"/>
      <x:c r="AA13" s="30"/>
      <x:c r="AB13" s="30"/>
    </x:row>
    <x:row r="14">
      <x:c r="B14" s="28"/>
      <x:c r="I14" t="str">
        <x:f>IF(OR(G14="",H14=""),"",G14+H14)</x:f>
      </x:c>
      <x:c r="J14" t="str">
        <x:f>IF(I14="","",IF(I14&gt;2.5,"OVER","UNDER"))</x:f>
      </x:c>
      <x:c r="K14" s="30"/>
      <x:c r="L14" s="30"/>
      <x:c r="M14" s="30"/>
      <x:c r="N14" s="30"/>
      <x:c r="Y14" s="30"/>
      <x:c r="Z14" s="30"/>
      <x:c r="AA14" s="30"/>
      <x:c r="AB14" s="30"/>
    </x:row>
    <x:row r="15">
      <x:c r="B15" s="28"/>
      <x:c r="I15" t="str">
        <x:f>IF(OR(G15="",H15=""),"",G15+H15)</x:f>
      </x:c>
      <x:c r="J15" t="str">
        <x:f>IF(I15="","",IF(I15&gt;2.5,"OVER","UNDER"))</x:f>
      </x:c>
      <x:c r="K15" s="30"/>
      <x:c r="L15" s="30"/>
      <x:c r="M15" s="30"/>
      <x:c r="N15" s="30"/>
      <x:c r="Y15" s="30"/>
      <x:c r="Z15" s="30"/>
      <x:c r="AA15" s="30"/>
      <x:c r="AB15" s="30"/>
    </x:row>
    <x:row r="16">
      <x:c r="B16" s="28"/>
      <x:c r="I16" t="str">
        <x:f>IF(OR(G16="",H16=""),"",G16+H16)</x:f>
      </x:c>
      <x:c r="J16" t="str">
        <x:f>IF(I16="","",IF(I16&gt;2.5,"OVER","UNDER"))</x:f>
      </x:c>
      <x:c r="K16" s="30"/>
      <x:c r="L16" s="30"/>
      <x:c r="M16" s="30"/>
      <x:c r="N16" s="30"/>
      <x:c r="Y16" s="30"/>
      <x:c r="Z16" s="30"/>
      <x:c r="AA16" s="30"/>
      <x:c r="AB16" s="30"/>
    </x:row>
    <x:row r="17">
      <x:c r="B17" s="28"/>
      <x:c r="I17" t="str">
        <x:f>IF(OR(G17="",H17=""),"",G17+H17)</x:f>
      </x:c>
      <x:c r="J17" t="str">
        <x:f>IF(I17="","",IF(I17&gt;2.5,"OVER","UNDER"))</x:f>
      </x:c>
      <x:c r="K17" s="30"/>
      <x:c r="L17" s="30"/>
      <x:c r="M17" s="30"/>
      <x:c r="N17" s="30"/>
      <x:c r="Y17" s="30"/>
      <x:c r="Z17" s="30"/>
      <x:c r="AA17" s="30"/>
      <x:c r="AB17" s="30"/>
    </x:row>
    <x:row r="18">
      <x:c r="B18" s="28"/>
      <x:c r="I18" t="str">
        <x:f>IF(OR(G18="",H18=""),"",G18+H18)</x:f>
      </x:c>
      <x:c r="J18" t="str">
        <x:f>IF(I18="","",IF(I18&gt;2.5,"OVER","UNDER"))</x:f>
      </x:c>
      <x:c r="K18" s="30"/>
      <x:c r="L18" s="30"/>
      <x:c r="M18" s="30"/>
      <x:c r="N18" s="30"/>
      <x:c r="Y18" s="30"/>
      <x:c r="Z18" s="30"/>
      <x:c r="AA18" s="30"/>
      <x:c r="AB18" s="30"/>
    </x:row>
    <x:row r="19">
      <x:c r="B19" s="28"/>
      <x:c r="I19" t="str">
        <x:f>IF(OR(G19="",H19=""),"",G19+H19)</x:f>
      </x:c>
      <x:c r="J19" t="str">
        <x:f>IF(I19="","",IF(I19&gt;2.5,"OVER","UNDER"))</x:f>
      </x:c>
      <x:c r="K19" s="30"/>
      <x:c r="L19" s="30"/>
      <x:c r="M19" s="30"/>
      <x:c r="N19" s="30"/>
      <x:c r="Y19" s="30"/>
      <x:c r="Z19" s="30"/>
      <x:c r="AA19" s="30"/>
      <x:c r="AB19" s="30"/>
    </x:row>
    <x:row r="20">
      <x:c r="B20" s="28"/>
      <x:c r="I20" t="str">
        <x:f>IF(OR(G20="",H20=""),"",G20+H20)</x:f>
      </x:c>
      <x:c r="J20" t="str">
        <x:f>IF(I20="","",IF(I20&gt;2.5,"OVER","UNDER"))</x:f>
      </x:c>
      <x:c r="K20" s="30"/>
      <x:c r="L20" s="30"/>
      <x:c r="M20" s="30"/>
      <x:c r="N20" s="30"/>
      <x:c r="Y20" s="30"/>
      <x:c r="Z20" s="30"/>
      <x:c r="AA20" s="30"/>
      <x:c r="AB20" s="30"/>
    </x:row>
    <x:row r="21">
      <x:c r="B21" s="28"/>
      <x:c r="I21" t="str">
        <x:f>IF(OR(G21="",H21=""),"",G21+H21)</x:f>
      </x:c>
      <x:c r="J21" t="str">
        <x:f>IF(I21="","",IF(I21&gt;2.5,"OVER","UNDER"))</x:f>
      </x:c>
      <x:c r="K21" s="30"/>
      <x:c r="L21" s="30"/>
      <x:c r="M21" s="30"/>
      <x:c r="N21" s="30"/>
      <x:c r="Y21" s="30"/>
      <x:c r="Z21" s="30"/>
      <x:c r="AA21" s="30"/>
      <x:c r="AB21" s="30"/>
    </x:row>
    <x:row r="22">
      <x:c r="B22" s="28"/>
      <x:c r="I22" t="str">
        <x:f>IF(OR(G22="",H22=""),"",G22+H22)</x:f>
      </x:c>
      <x:c r="J22" t="str">
        <x:f>IF(I22="","",IF(I22&gt;2.5,"OVER","UNDER"))</x:f>
      </x:c>
      <x:c r="K22" s="30"/>
      <x:c r="L22" s="30"/>
      <x:c r="M22" s="30"/>
      <x:c r="N22" s="30"/>
      <x:c r="Y22" s="30"/>
      <x:c r="Z22" s="30"/>
      <x:c r="AA22" s="30"/>
      <x:c r="AB22" s="30"/>
    </x:row>
    <x:row r="23">
      <x:c r="B23" s="28"/>
      <x:c r="I23" t="str">
        <x:f>IF(OR(G23="",H23=""),"",G23+H23)</x:f>
      </x:c>
      <x:c r="J23" t="str">
        <x:f>IF(I23="","",IF(I23&gt;2.5,"OVER","UNDER"))</x:f>
      </x:c>
      <x:c r="K23" s="30"/>
      <x:c r="L23" s="30"/>
      <x:c r="M23" s="30"/>
      <x:c r="N23" s="30"/>
      <x:c r="Y23" s="30"/>
      <x:c r="Z23" s="30"/>
      <x:c r="AA23" s="30"/>
      <x:c r="AB23" s="30"/>
    </x:row>
    <x:row r="24">
      <x:c r="B24" s="28"/>
      <x:c r="I24" t="str">
        <x:f>IF(OR(G24="",H24=""),"",G24+H24)</x:f>
      </x:c>
      <x:c r="J24" t="str">
        <x:f>IF(I24="","",IF(I24&gt;2.5,"OVER","UNDER"))</x:f>
      </x:c>
      <x:c r="K24" s="30"/>
      <x:c r="L24" s="30"/>
      <x:c r="M24" s="30"/>
      <x:c r="N24" s="30"/>
      <x:c r="Y24" s="30"/>
      <x:c r="Z24" s="30"/>
      <x:c r="AA24" s="30"/>
      <x:c r="AB24" s="30"/>
    </x:row>
    <x:row r="25">
      <x:c r="B25" s="28"/>
      <x:c r="I25" t="str">
        <x:f>IF(OR(G25="",H25=""),"",G25+H25)</x:f>
      </x:c>
      <x:c r="J25" t="str">
        <x:f>IF(I25="","",IF(I25&gt;2.5,"OVER","UNDER"))</x:f>
      </x:c>
      <x:c r="K25" s="30"/>
      <x:c r="L25" s="30"/>
      <x:c r="M25" s="30"/>
      <x:c r="N25" s="30"/>
      <x:c r="Y25" s="30"/>
      <x:c r="Z25" s="30"/>
      <x:c r="AA25" s="30"/>
      <x:c r="AB25" s="30"/>
    </x:row>
    <x:row r="26">
      <x:c r="B26" s="28"/>
      <x:c r="I26" t="str">
        <x:f>IF(OR(G26="",H26=""),"",G26+H26)</x:f>
      </x:c>
      <x:c r="J26" t="str">
        <x:f>IF(I26="","",IF(I26&gt;2.5,"OVER","UNDER"))</x:f>
      </x:c>
      <x:c r="K26" s="30"/>
      <x:c r="L26" s="30"/>
      <x:c r="M26" s="30"/>
      <x:c r="N26" s="30"/>
      <x:c r="Y26" s="30"/>
      <x:c r="Z26" s="30"/>
      <x:c r="AA26" s="30"/>
      <x:c r="AB26" s="30"/>
    </x:row>
    <x:row r="27">
      <x:c r="B27" s="28"/>
      <x:c r="I27" t="str">
        <x:f>IF(OR(G27="",H27=""),"",G27+H27)</x:f>
      </x:c>
      <x:c r="J27" t="str">
        <x:f>IF(I27="","",IF(I27&gt;2.5,"OVER","UNDER"))</x:f>
      </x:c>
      <x:c r="K27" s="30"/>
      <x:c r="L27" s="30"/>
      <x:c r="M27" s="30"/>
      <x:c r="N27" s="30"/>
      <x:c r="Y27" s="30"/>
      <x:c r="Z27" s="30"/>
      <x:c r="AA27" s="30"/>
      <x:c r="AB27" s="30"/>
    </x:row>
    <x:row r="28">
      <x:c r="B28" s="28"/>
      <x:c r="I28" t="str">
        <x:f>IF(OR(G28="",H28=""),"",G28+H28)</x:f>
      </x:c>
      <x:c r="J28" t="str">
        <x:f>IF(I28="","",IF(I28&gt;2.5,"OVER","UNDER"))</x:f>
      </x:c>
      <x:c r="K28" s="30"/>
      <x:c r="L28" s="30"/>
      <x:c r="M28" s="30"/>
      <x:c r="N28" s="30"/>
      <x:c r="Y28" s="30"/>
      <x:c r="Z28" s="30"/>
      <x:c r="AA28" s="30"/>
      <x:c r="AB28" s="30"/>
    </x:row>
    <x:row r="29">
      <x:c r="B29" s="28"/>
      <x:c r="I29" t="str">
        <x:f>IF(OR(G29="",H29=""),"",G29+H29)</x:f>
      </x:c>
      <x:c r="J29" t="str">
        <x:f>IF(I29="","",IF(I29&gt;2.5,"OVER","UNDER"))</x:f>
      </x:c>
      <x:c r="K29" s="30"/>
      <x:c r="L29" s="30"/>
      <x:c r="M29" s="30"/>
      <x:c r="N29" s="30"/>
      <x:c r="Y29" s="30"/>
      <x:c r="Z29" s="30"/>
      <x:c r="AA29" s="30"/>
      <x:c r="AB29" s="30"/>
    </x:row>
    <x:row r="30">
      <x:c r="B30" s="28"/>
      <x:c r="I30" t="str">
        <x:f>IF(OR(G30="",H30=""),"",G30+H30)</x:f>
      </x:c>
      <x:c r="J30" t="str">
        <x:f>IF(I30="","",IF(I30&gt;2.5,"OVER","UNDER"))</x:f>
      </x:c>
      <x:c r="K30" s="30"/>
      <x:c r="L30" s="30"/>
      <x:c r="M30" s="30"/>
      <x:c r="N30" s="30"/>
      <x:c r="Y30" s="30"/>
      <x:c r="Z30" s="30"/>
      <x:c r="AA30" s="30"/>
      <x:c r="AB30" s="30"/>
    </x:row>
    <x:row r="31">
      <x:c r="B31" s="28"/>
      <x:c r="I31" t="str">
        <x:f>IF(OR(G31="",H31=""),"",G31+H31)</x:f>
      </x:c>
      <x:c r="J31" t="str">
        <x:f>IF(I31="","",IF(I31&gt;2.5,"OVER","UNDER"))</x:f>
      </x:c>
      <x:c r="K31" s="30"/>
      <x:c r="L31" s="30"/>
      <x:c r="M31" s="30"/>
      <x:c r="N31" s="30"/>
      <x:c r="Y31" s="30"/>
      <x:c r="Z31" s="30"/>
      <x:c r="AA31" s="30"/>
      <x:c r="AB31" s="30"/>
    </x:row>
    <x:row r="32">
      <x:c r="B32" s="28"/>
      <x:c r="I32" t="str">
        <x:f>IF(OR(G32="",H32=""),"",G32+H32)</x:f>
      </x:c>
      <x:c r="J32" t="str">
        <x:f>IF(I32="","",IF(I32&gt;2.5,"OVER","UNDER"))</x:f>
      </x:c>
      <x:c r="K32" s="30"/>
      <x:c r="L32" s="30"/>
      <x:c r="M32" s="30"/>
      <x:c r="N32" s="30"/>
      <x:c r="Y32" s="30"/>
      <x:c r="Z32" s="30"/>
      <x:c r="AA32" s="30"/>
      <x:c r="AB32" s="30"/>
    </x:row>
    <x:row r="33">
      <x:c r="B33" s="28"/>
      <x:c r="I33" t="str">
        <x:f>IF(OR(G33="",H33=""),"",G33+H33)</x:f>
      </x:c>
      <x:c r="J33" t="str">
        <x:f>IF(I33="","",IF(I33&gt;2.5,"OVER","UNDER"))</x:f>
      </x:c>
      <x:c r="K33" s="30"/>
      <x:c r="L33" s="30"/>
      <x:c r="M33" s="30"/>
      <x:c r="N33" s="30"/>
      <x:c r="Y33" s="30"/>
      <x:c r="Z33" s="30"/>
      <x:c r="AA33" s="30"/>
      <x:c r="AB33" s="30"/>
    </x:row>
    <x:row r="34">
      <x:c r="B34" s="28"/>
      <x:c r="I34" t="str">
        <x:f>IF(OR(G34="",H34=""),"",G34+H34)</x:f>
      </x:c>
      <x:c r="J34" t="str">
        <x:f>IF(I34="","",IF(I34&gt;2.5,"OVER","UNDER"))</x:f>
      </x:c>
      <x:c r="K34" s="30"/>
      <x:c r="L34" s="30"/>
      <x:c r="M34" s="30"/>
      <x:c r="N34" s="30"/>
      <x:c r="Y34" s="30"/>
      <x:c r="Z34" s="30"/>
      <x:c r="AA34" s="30"/>
      <x:c r="AB34" s="30"/>
    </x:row>
    <x:row r="35">
      <x:c r="B35" s="28"/>
      <x:c r="I35" t="str">
        <x:f>IF(OR(G35="",H35=""),"",G35+H35)</x:f>
      </x:c>
      <x:c r="J35" t="str">
        <x:f>IF(I35="","",IF(I35&gt;2.5,"OVER","UNDER"))</x:f>
      </x:c>
      <x:c r="K35" s="30"/>
      <x:c r="L35" s="30"/>
      <x:c r="M35" s="30"/>
      <x:c r="N35" s="30"/>
      <x:c r="Y35" s="30"/>
      <x:c r="Z35" s="30"/>
      <x:c r="AA35" s="30"/>
      <x:c r="AB35" s="30"/>
    </x:row>
    <x:row r="36">
      <x:c r="B36" s="28"/>
      <x:c r="I36" t="str">
        <x:f>IF(OR(G36="",H36=""),"",G36+H36)</x:f>
      </x:c>
      <x:c r="J36" t="str">
        <x:f>IF(I36="","",IF(I36&gt;2.5,"OVER","UNDER"))</x:f>
      </x:c>
      <x:c r="K36" s="30"/>
      <x:c r="L36" s="30"/>
      <x:c r="M36" s="30"/>
      <x:c r="N36" s="30"/>
      <x:c r="Y36" s="30"/>
      <x:c r="Z36" s="30"/>
      <x:c r="AA36" s="30"/>
      <x:c r="AB36" s="30"/>
    </x:row>
    <x:row r="37">
      <x:c r="B37" s="28"/>
      <x:c r="I37" t="str">
        <x:f>IF(OR(G37="",H37=""),"",G37+H37)</x:f>
      </x:c>
      <x:c r="J37" t="str">
        <x:f>IF(I37="","",IF(I37&gt;2.5,"OVER","UNDER"))</x:f>
      </x:c>
      <x:c r="K37" s="30"/>
      <x:c r="L37" s="30"/>
      <x:c r="M37" s="30"/>
      <x:c r="N37" s="30"/>
      <x:c r="Y37" s="30"/>
      <x:c r="Z37" s="30"/>
      <x:c r="AA37" s="30"/>
      <x:c r="AB37" s="30"/>
    </x:row>
    <x:row r="38">
      <x:c r="B38" s="28"/>
      <x:c r="I38" t="str">
        <x:f>IF(OR(G38="",H38=""),"",G38+H38)</x:f>
      </x:c>
      <x:c r="J38" t="str">
        <x:f>IF(I38="","",IF(I38&gt;2.5,"OVER","UNDER"))</x:f>
      </x:c>
      <x:c r="K38" s="30"/>
      <x:c r="L38" s="30"/>
      <x:c r="M38" s="30"/>
      <x:c r="N38" s="30"/>
      <x:c r="Y38" s="30"/>
      <x:c r="Z38" s="30"/>
      <x:c r="AA38" s="30"/>
      <x:c r="AB38" s="30"/>
    </x:row>
    <x:row r="39">
      <x:c r="B39" s="28"/>
      <x:c r="I39" t="str">
        <x:f>IF(OR(G39="",H39=""),"",G39+H39)</x:f>
      </x:c>
      <x:c r="J39" t="str">
        <x:f>IF(I39="","",IF(I39&gt;2.5,"OVER","UNDER"))</x:f>
      </x:c>
      <x:c r="K39" s="30"/>
      <x:c r="L39" s="30"/>
      <x:c r="M39" s="30"/>
      <x:c r="N39" s="30"/>
      <x:c r="Y39" s="30"/>
      <x:c r="Z39" s="30"/>
      <x:c r="AA39" s="30"/>
      <x:c r="AB39" s="30"/>
    </x:row>
    <x:row r="40">
      <x:c r="B40" s="28"/>
      <x:c r="I40" t="str">
        <x:f>IF(OR(G40="",H40=""),"",G40+H40)</x:f>
      </x:c>
      <x:c r="J40" t="str">
        <x:f>IF(I40="","",IF(I40&gt;2.5,"OVER","UNDER"))</x:f>
      </x:c>
      <x:c r="K40" s="30"/>
      <x:c r="L40" s="30"/>
      <x:c r="M40" s="30"/>
      <x:c r="N40" s="30"/>
      <x:c r="Y40" s="30"/>
      <x:c r="Z40" s="30"/>
      <x:c r="AA40" s="30"/>
      <x:c r="AB40" s="30"/>
    </x:row>
    <x:row r="41">
      <x:c r="B41" s="28"/>
      <x:c r="I41" t="str">
        <x:f>IF(OR(G41="",H41=""),"",G41+H41)</x:f>
      </x:c>
      <x:c r="J41" t="str">
        <x:f>IF(I41="","",IF(I41&gt;2.5,"OVER","UNDER"))</x:f>
      </x:c>
      <x:c r="K41" s="30"/>
      <x:c r="L41" s="30"/>
      <x:c r="M41" s="30"/>
      <x:c r="N41" s="30"/>
      <x:c r="Y41" s="30"/>
      <x:c r="Z41" s="30"/>
      <x:c r="AA41" s="30"/>
      <x:c r="AB41" s="30"/>
    </x:row>
    <x:row r="42">
      <x:c r="B42" s="28"/>
      <x:c r="I42" t="str">
        <x:f>IF(OR(G42="",H42=""),"",G42+H42)</x:f>
      </x:c>
      <x:c r="J42" t="str">
        <x:f>IF(I42="","",IF(I42&gt;2.5,"OVER","UNDER"))</x:f>
      </x:c>
      <x:c r="K42" s="30"/>
      <x:c r="L42" s="30"/>
      <x:c r="M42" s="30"/>
      <x:c r="N42" s="30"/>
      <x:c r="Y42" s="30"/>
      <x:c r="Z42" s="30"/>
      <x:c r="AA42" s="30"/>
      <x:c r="AB42" s="30"/>
    </x:row>
    <x:row r="43">
      <x:c r="B43" s="28"/>
      <x:c r="I43" t="str">
        <x:f>IF(OR(G43="",H43=""),"",G43+H43)</x:f>
      </x:c>
      <x:c r="J43" t="str">
        <x:f>IF(I43="","",IF(I43&gt;2.5,"OVER","UNDER"))</x:f>
      </x:c>
      <x:c r="K43" s="30"/>
      <x:c r="L43" s="30"/>
      <x:c r="M43" s="30"/>
      <x:c r="N43" s="30"/>
      <x:c r="Y43" s="30"/>
      <x:c r="Z43" s="30"/>
      <x:c r="AA43" s="30"/>
      <x:c r="AB43" s="30"/>
    </x:row>
    <x:row r="44">
      <x:c r="B44" s="28"/>
      <x:c r="I44" t="str">
        <x:f>IF(OR(G44="",H44=""),"",G44+H44)</x:f>
      </x:c>
      <x:c r="J44" t="str">
        <x:f>IF(I44="","",IF(I44&gt;2.5,"OVER","UNDER"))</x:f>
      </x:c>
      <x:c r="K44" s="30"/>
      <x:c r="L44" s="30"/>
      <x:c r="M44" s="30"/>
      <x:c r="N44" s="30"/>
      <x:c r="Y44" s="30"/>
      <x:c r="Z44" s="30"/>
      <x:c r="AA44" s="30"/>
      <x:c r="AB44" s="30"/>
    </x:row>
    <x:row r="45">
      <x:c r="B45" s="28"/>
      <x:c r="I45" t="str">
        <x:f>IF(OR(G45="",H45=""),"",G45+H45)</x:f>
      </x:c>
      <x:c r="J45" t="str">
        <x:f>IF(I45="","",IF(I45&gt;2.5,"OVER","UNDER"))</x:f>
      </x:c>
      <x:c r="K45" s="30"/>
      <x:c r="L45" s="30"/>
      <x:c r="M45" s="30"/>
      <x:c r="N45" s="30"/>
      <x:c r="Y45" s="30"/>
      <x:c r="Z45" s="30"/>
      <x:c r="AA45" s="30"/>
      <x:c r="AB45" s="30"/>
    </x:row>
    <x:row r="46">
      <x:c r="B46" s="28"/>
      <x:c r="I46" t="str">
        <x:f>IF(OR(G46="",H46=""),"",G46+H46)</x:f>
      </x:c>
      <x:c r="J46" t="str">
        <x:f>IF(I46="","",IF(I46&gt;2.5,"OVER","UNDER"))</x:f>
      </x:c>
      <x:c r="K46" s="30"/>
      <x:c r="L46" s="30"/>
      <x:c r="M46" s="30"/>
      <x:c r="N46" s="30"/>
      <x:c r="Y46" s="30"/>
      <x:c r="Z46" s="30"/>
      <x:c r="AA46" s="30"/>
      <x:c r="AB46" s="30"/>
    </x:row>
    <x:row r="47">
      <x:c r="B47" s="28"/>
      <x:c r="I47" t="str">
        <x:f>IF(OR(G47="",H47=""),"",G47+H47)</x:f>
      </x:c>
      <x:c r="J47" t="str">
        <x:f>IF(I47="","",IF(I47&gt;2.5,"OVER","UNDER"))</x:f>
      </x:c>
      <x:c r="K47" s="30"/>
      <x:c r="L47" s="30"/>
      <x:c r="M47" s="30"/>
      <x:c r="N47" s="30"/>
      <x:c r="Y47" s="30"/>
      <x:c r="Z47" s="30"/>
      <x:c r="AA47" s="30"/>
      <x:c r="AB47" s="30"/>
    </x:row>
    <x:row r="48">
      <x:c r="B48" s="28"/>
      <x:c r="I48" t="str">
        <x:f>IF(OR(G48="",H48=""),"",G48+H48)</x:f>
      </x:c>
      <x:c r="J48" t="str">
        <x:f>IF(I48="","",IF(I48&gt;2.5,"OVER","UNDER"))</x:f>
      </x:c>
      <x:c r="K48" s="30"/>
      <x:c r="L48" s="30"/>
      <x:c r="M48" s="30"/>
      <x:c r="N48" s="30"/>
      <x:c r="Y48" s="30"/>
      <x:c r="Z48" s="30"/>
      <x:c r="AA48" s="30"/>
      <x:c r="AB48" s="30"/>
    </x:row>
    <x:row r="49">
      <x:c r="B49" s="28"/>
      <x:c r="I49" t="str">
        <x:f>IF(OR(G49="",H49=""),"",G49+H49)</x:f>
      </x:c>
      <x:c r="J49" t="str">
        <x:f>IF(I49="","",IF(I49&gt;2.5,"OVER","UNDER"))</x:f>
      </x:c>
      <x:c r="K49" s="30"/>
      <x:c r="L49" s="30"/>
      <x:c r="M49" s="30"/>
      <x:c r="N49" s="30"/>
      <x:c r="Y49" s="30"/>
      <x:c r="Z49" s="30"/>
      <x:c r="AA49" s="30"/>
      <x:c r="AB49" s="30"/>
    </x:row>
    <x:row r="50">
      <x:c r="B50" s="28"/>
      <x:c r="I50" t="str">
        <x:f>IF(OR(G50="",H50=""),"",G50+H50)</x:f>
      </x:c>
      <x:c r="J50" t="str">
        <x:f>IF(I50="","",IF(I50&gt;2.5,"OVER","UNDER"))</x:f>
      </x:c>
      <x:c r="K50" s="30"/>
      <x:c r="L50" s="30"/>
      <x:c r="M50" s="30"/>
      <x:c r="N50" s="30"/>
      <x:c r="Y50" s="30"/>
      <x:c r="Z50" s="30"/>
      <x:c r="AA50" s="30"/>
      <x:c r="AB50" s="30"/>
    </x:row>
    <x:row r="51">
      <x:c r="B51" s="28"/>
      <x:c r="I51" t="str">
        <x:f>IF(OR(G51="",H51=""),"",G51+H51)</x:f>
      </x:c>
      <x:c r="J51" t="str">
        <x:f>IF(I51="","",IF(I51&gt;2.5,"OVER","UNDER"))</x:f>
      </x:c>
      <x:c r="K51" s="30"/>
      <x:c r="L51" s="30"/>
      <x:c r="M51" s="30"/>
      <x:c r="N51" s="30"/>
      <x:c r="Y51" s="30"/>
      <x:c r="Z51" s="30"/>
      <x:c r="AA51" s="30"/>
      <x:c r="AB51" s="30"/>
    </x:row>
    <x:row r="52">
      <x:c r="B52" s="28"/>
      <x:c r="I52" t="str">
        <x:f>IF(OR(G52="",H52=""),"",G52+H52)</x:f>
      </x:c>
      <x:c r="J52" t="str">
        <x:f>IF(I52="","",IF(I52&gt;2.5,"OVER","UNDER"))</x:f>
      </x:c>
      <x:c r="K52" s="30"/>
      <x:c r="L52" s="30"/>
      <x:c r="M52" s="30"/>
      <x:c r="N52" s="30"/>
      <x:c r="Y52" s="30"/>
      <x:c r="Z52" s="30"/>
      <x:c r="AA52" s="30"/>
      <x:c r="AB52" s="30"/>
    </x:row>
    <x:row r="53">
      <x:c r="B53" s="28"/>
      <x:c r="I53" t="str">
        <x:f>IF(OR(G53="",H53=""),"",G53+H53)</x:f>
      </x:c>
      <x:c r="J53" t="str">
        <x:f>IF(I53="","",IF(I53&gt;2.5,"OVER","UNDER"))</x:f>
      </x:c>
      <x:c r="K53" s="30"/>
      <x:c r="L53" s="30"/>
      <x:c r="M53" s="30"/>
      <x:c r="N53" s="30"/>
      <x:c r="Y53" s="30"/>
      <x:c r="Z53" s="30"/>
      <x:c r="AA53" s="30"/>
      <x:c r="AB53" s="30"/>
    </x:row>
    <x:row r="54">
      <x:c r="B54" s="28"/>
      <x:c r="I54" t="str">
        <x:f>IF(OR(G54="",H54=""),"",G54+H54)</x:f>
      </x:c>
      <x:c r="J54" t="str">
        <x:f>IF(I54="","",IF(I54&gt;2.5,"OVER","UNDER"))</x:f>
      </x:c>
      <x:c r="K54" s="30"/>
      <x:c r="L54" s="30"/>
      <x:c r="M54" s="30"/>
      <x:c r="N54" s="30"/>
      <x:c r="Y54" s="30"/>
      <x:c r="Z54" s="30"/>
      <x:c r="AA54" s="30"/>
      <x:c r="AB54" s="30"/>
    </x:row>
    <x:row r="55">
      <x:c r="B55" s="28"/>
      <x:c r="I55" t="str">
        <x:f>IF(OR(G55="",H55=""),"",G55+H55)</x:f>
      </x:c>
      <x:c r="J55" t="str">
        <x:f>IF(I55="","",IF(I55&gt;2.5,"OVER","UNDER"))</x:f>
      </x:c>
      <x:c r="K55" s="30"/>
      <x:c r="L55" s="30"/>
      <x:c r="M55" s="30"/>
      <x:c r="N55" s="30"/>
      <x:c r="Y55" s="30"/>
      <x:c r="Z55" s="30"/>
      <x:c r="AA55" s="30"/>
      <x:c r="AB55" s="30"/>
    </x:row>
    <x:row r="56">
      <x:c r="B56" s="28"/>
      <x:c r="I56" t="str">
        <x:f>IF(OR(G56="",H56=""),"",G56+H56)</x:f>
      </x:c>
      <x:c r="J56" t="str">
        <x:f>IF(I56="","",IF(I56&gt;2.5,"OVER","UNDER"))</x:f>
      </x:c>
      <x:c r="K56" s="30"/>
      <x:c r="L56" s="30"/>
      <x:c r="M56" s="30"/>
      <x:c r="N56" s="30"/>
      <x:c r="Y56" s="30"/>
      <x:c r="Z56" s="30"/>
      <x:c r="AA56" s="30"/>
      <x:c r="AB56" s="30"/>
    </x:row>
    <x:row r="57">
      <x:c r="B57" s="28"/>
      <x:c r="I57" t="str">
        <x:f>IF(OR(G57="",H57=""),"",G57+H57)</x:f>
      </x:c>
      <x:c r="J57" t="str">
        <x:f>IF(I57="","",IF(I57&gt;2.5,"OVER","UNDER"))</x:f>
      </x:c>
      <x:c r="K57" s="30"/>
      <x:c r="L57" s="30"/>
      <x:c r="M57" s="30"/>
      <x:c r="N57" s="30"/>
      <x:c r="Y57" s="30"/>
      <x:c r="Z57" s="30"/>
      <x:c r="AA57" s="30"/>
      <x:c r="AB57" s="30"/>
    </x:row>
    <x:row r="58">
      <x:c r="B58" s="28"/>
      <x:c r="I58" t="str">
        <x:f>IF(OR(G58="",H58=""),"",G58+H58)</x:f>
      </x:c>
      <x:c r="J58" t="str">
        <x:f>IF(I58="","",IF(I58&gt;2.5,"OVER","UNDER"))</x:f>
      </x:c>
      <x:c r="K58" s="30"/>
      <x:c r="L58" s="30"/>
      <x:c r="M58" s="30"/>
      <x:c r="N58" s="30"/>
      <x:c r="Y58" s="30"/>
      <x:c r="Z58" s="30"/>
      <x:c r="AA58" s="30"/>
      <x:c r="AB58" s="30"/>
    </x:row>
    <x:row r="59">
      <x:c r="B59" s="28"/>
      <x:c r="I59" t="str">
        <x:f>IF(OR(G59="",H59=""),"",G59+H59)</x:f>
      </x:c>
      <x:c r="J59" t="str">
        <x:f>IF(I59="","",IF(I59&gt;2.5,"OVER","UNDER"))</x:f>
      </x:c>
      <x:c r="K59" s="30"/>
      <x:c r="L59" s="30"/>
      <x:c r="M59" s="30"/>
      <x:c r="N59" s="30"/>
      <x:c r="Y59" s="30"/>
      <x:c r="Z59" s="30"/>
      <x:c r="AA59" s="30"/>
      <x:c r="AB59" s="30"/>
    </x:row>
    <x:row r="60">
      <x:c r="B60" s="28"/>
      <x:c r="I60" t="str">
        <x:f>IF(OR(G60="",H60=""),"",G60+H60)</x:f>
      </x:c>
      <x:c r="J60" t="str">
        <x:f>IF(I60="","",IF(I60&gt;2.5,"OVER","UNDER"))</x:f>
      </x:c>
      <x:c r="K60" s="30"/>
      <x:c r="L60" s="30"/>
      <x:c r="M60" s="30"/>
      <x:c r="N60" s="30"/>
      <x:c r="Y60" s="30"/>
      <x:c r="Z60" s="30"/>
      <x:c r="AA60" s="30"/>
      <x:c r="AB60" s="30"/>
    </x:row>
    <x:row r="61">
      <x:c r="B61" s="28"/>
      <x:c r="I61" t="str">
        <x:f>IF(OR(G61="",H61=""),"",G61+H61)</x:f>
      </x:c>
      <x:c r="J61" t="str">
        <x:f>IF(I61="","",IF(I61&gt;2.5,"OVER","UNDER"))</x:f>
      </x:c>
      <x:c r="K61" s="30"/>
      <x:c r="L61" s="30"/>
      <x:c r="M61" s="30"/>
      <x:c r="N61" s="30"/>
      <x:c r="Y61" s="30"/>
      <x:c r="Z61" s="30"/>
      <x:c r="AA61" s="30"/>
      <x:c r="AB61" s="30"/>
    </x:row>
    <x:row r="62">
      <x:c r="B62" s="28"/>
      <x:c r="I62" t="str">
        <x:f>IF(OR(G62="",H62=""),"",G62+H62)</x:f>
      </x:c>
      <x:c r="J62" t="str">
        <x:f>IF(I62="","",IF(I62&gt;2.5,"OVER","UNDER"))</x:f>
      </x:c>
      <x:c r="K62" s="30"/>
      <x:c r="L62" s="30"/>
      <x:c r="M62" s="30"/>
      <x:c r="N62" s="30"/>
      <x:c r="Y62" s="30"/>
      <x:c r="Z62" s="30"/>
      <x:c r="AA62" s="30"/>
      <x:c r="AB62" s="30"/>
    </x:row>
    <x:row r="63">
      <x:c r="B63" s="28"/>
      <x:c r="I63" t="str">
        <x:f>IF(OR(G63="",H63=""),"",G63+H63)</x:f>
      </x:c>
      <x:c r="J63" t="str">
        <x:f>IF(I63="","",IF(I63&gt;2.5,"OVER","UNDER"))</x:f>
      </x:c>
      <x:c r="K63" s="30"/>
      <x:c r="L63" s="30"/>
      <x:c r="M63" s="30"/>
      <x:c r="N63" s="30"/>
      <x:c r="Y63" s="30"/>
      <x:c r="Z63" s="30"/>
      <x:c r="AA63" s="30"/>
      <x:c r="AB63" s="30"/>
    </x:row>
    <x:row r="64">
      <x:c r="B64" s="28"/>
      <x:c r="I64" t="str">
        <x:f>IF(OR(G64="",H64=""),"",G64+H64)</x:f>
      </x:c>
      <x:c r="J64" t="str">
        <x:f>IF(I64="","",IF(I64&gt;2.5,"OVER","UNDER"))</x:f>
      </x:c>
      <x:c r="K64" s="30"/>
      <x:c r="L64" s="30"/>
      <x:c r="M64" s="30"/>
      <x:c r="N64" s="30"/>
      <x:c r="Y64" s="30"/>
      <x:c r="Z64" s="30"/>
      <x:c r="AA64" s="30"/>
      <x:c r="AB64" s="30"/>
    </x:row>
    <x:row r="65">
      <x:c r="B65" s="28"/>
      <x:c r="I65" t="str">
        <x:f>IF(OR(G65="",H65=""),"",G65+H65)</x:f>
      </x:c>
      <x:c r="J65" t="str">
        <x:f>IF(I65="","",IF(I65&gt;2.5,"OVER","UNDER"))</x:f>
      </x:c>
      <x:c r="K65" s="30"/>
      <x:c r="L65" s="30"/>
      <x:c r="M65" s="30"/>
      <x:c r="N65" s="30"/>
      <x:c r="Y65" s="30"/>
      <x:c r="Z65" s="30"/>
      <x:c r="AA65" s="30"/>
      <x:c r="AB65" s="30"/>
    </x:row>
    <x:row r="66">
      <x:c r="B66" s="28"/>
      <x:c r="I66" t="str">
        <x:f>IF(OR(G66="",H66=""),"",G66+H66)</x:f>
      </x:c>
      <x:c r="J66" t="str">
        <x:f>IF(I66="","",IF(I66&gt;2.5,"OVER","UNDER"))</x:f>
      </x:c>
      <x:c r="K66" s="30"/>
      <x:c r="L66" s="30"/>
      <x:c r="M66" s="30"/>
      <x:c r="N66" s="30"/>
      <x:c r="Y66" s="30"/>
      <x:c r="Z66" s="30"/>
      <x:c r="AA66" s="30"/>
      <x:c r="AB66" s="30"/>
    </x:row>
    <x:row r="67">
      <x:c r="B67" s="28"/>
      <x:c r="I67" t="str">
        <x:f>IF(OR(G67="",H67=""),"",G67+H67)</x:f>
      </x:c>
      <x:c r="J67" t="str">
        <x:f>IF(I67="","",IF(I67&gt;2.5,"OVER","UNDER"))</x:f>
      </x:c>
      <x:c r="K67" s="30"/>
      <x:c r="L67" s="30"/>
      <x:c r="M67" s="30"/>
      <x:c r="N67" s="30"/>
      <x:c r="Y67" s="30"/>
      <x:c r="Z67" s="30"/>
      <x:c r="AA67" s="30"/>
      <x:c r="AB67" s="30"/>
    </x:row>
    <x:row r="68">
      <x:c r="B68" s="28"/>
      <x:c r="I68" t="str">
        <x:f>IF(OR(G68="",H68=""),"",G68+H68)</x:f>
      </x:c>
      <x:c r="J68" t="str">
        <x:f>IF(I68="","",IF(I68&gt;2.5,"OVER","UNDER"))</x:f>
      </x:c>
      <x:c r="K68" s="30"/>
      <x:c r="L68" s="30"/>
      <x:c r="M68" s="30"/>
      <x:c r="N68" s="30"/>
      <x:c r="Y68" s="30"/>
      <x:c r="Z68" s="30"/>
      <x:c r="AA68" s="30"/>
      <x:c r="AB68" s="30"/>
    </x:row>
    <x:row r="69">
      <x:c r="B69" s="28"/>
      <x:c r="I69" t="str">
        <x:f>IF(OR(G69="",H69=""),"",G69+H69)</x:f>
      </x:c>
      <x:c r="J69" t="str">
        <x:f>IF(I69="","",IF(I69&gt;2.5,"OVER","UNDER"))</x:f>
      </x:c>
      <x:c r="K69" s="30"/>
      <x:c r="L69" s="30"/>
      <x:c r="M69" s="30"/>
      <x:c r="N69" s="30"/>
      <x:c r="Y69" s="30"/>
      <x:c r="Z69" s="30"/>
      <x:c r="AA69" s="30"/>
      <x:c r="AB69" s="30"/>
    </x:row>
    <x:row r="70">
      <x:c r="B70" s="28"/>
      <x:c r="I70" t="str">
        <x:f>IF(OR(G70="",H70=""),"",G70+H70)</x:f>
      </x:c>
      <x:c r="J70" t="str">
        <x:f>IF(I70="","",IF(I70&gt;2.5,"OVER","UNDER"))</x:f>
      </x:c>
      <x:c r="K70" s="30"/>
      <x:c r="L70" s="30"/>
      <x:c r="M70" s="30"/>
      <x:c r="N70" s="30"/>
      <x:c r="Y70" s="30"/>
      <x:c r="Z70" s="30"/>
      <x:c r="AA70" s="30"/>
      <x:c r="AB70" s="30"/>
    </x:row>
    <x:row r="71">
      <x:c r="B71" s="28"/>
      <x:c r="I71" t="str">
        <x:f>IF(OR(G71="",H71=""),"",G71+H71)</x:f>
      </x:c>
      <x:c r="J71" t="str">
        <x:f>IF(I71="","",IF(I71&gt;2.5,"OVER","UNDER"))</x:f>
      </x:c>
      <x:c r="K71" s="30"/>
      <x:c r="L71" s="30"/>
      <x:c r="M71" s="30"/>
      <x:c r="N71" s="30"/>
      <x:c r="Y71" s="30"/>
      <x:c r="Z71" s="30"/>
      <x:c r="AA71" s="30"/>
      <x:c r="AB71" s="30"/>
    </x:row>
    <x:row r="72">
      <x:c r="B72" s="28"/>
      <x:c r="I72" t="str">
        <x:f>IF(OR(G72="",H72=""),"",G72+H72)</x:f>
      </x:c>
      <x:c r="J72" t="str">
        <x:f>IF(I72="","",IF(I72&gt;2.5,"OVER","UNDER"))</x:f>
      </x:c>
      <x:c r="K72" s="30"/>
      <x:c r="L72" s="30"/>
      <x:c r="M72" s="30"/>
      <x:c r="N72" s="30"/>
      <x:c r="Y72" s="30"/>
      <x:c r="Z72" s="30"/>
      <x:c r="AA72" s="30"/>
      <x:c r="AB72" s="30"/>
    </x:row>
    <x:row r="73">
      <x:c r="B73" s="28"/>
      <x:c r="I73" t="str">
        <x:f>IF(OR(G73="",H73=""),"",G73+H73)</x:f>
      </x:c>
      <x:c r="J73" t="str">
        <x:f>IF(I73="","",IF(I73&gt;2.5,"OVER","UNDER"))</x:f>
      </x:c>
      <x:c r="K73" s="30"/>
      <x:c r="L73" s="30"/>
      <x:c r="M73" s="30"/>
      <x:c r="N73" s="30"/>
      <x:c r="Y73" s="30"/>
      <x:c r="Z73" s="30"/>
      <x:c r="AA73" s="30"/>
      <x:c r="AB73" s="30"/>
    </x:row>
    <x:row r="74">
      <x:c r="B74" s="28"/>
      <x:c r="I74" t="str">
        <x:f>IF(OR(G74="",H74=""),"",G74+H74)</x:f>
      </x:c>
      <x:c r="J74" t="str">
        <x:f>IF(I74="","",IF(I74&gt;2.5,"OVER","UNDER"))</x:f>
      </x:c>
      <x:c r="K74" s="30"/>
      <x:c r="L74" s="30"/>
      <x:c r="M74" s="30"/>
      <x:c r="N74" s="30"/>
      <x:c r="Y74" s="30"/>
      <x:c r="Z74" s="30"/>
      <x:c r="AA74" s="30"/>
      <x:c r="AB74" s="30"/>
    </x:row>
    <x:row r="75">
      <x:c r="B75" s="28"/>
      <x:c r="I75" t="str">
        <x:f>IF(OR(G75="",H75=""),"",G75+H75)</x:f>
      </x:c>
      <x:c r="J75" t="str">
        <x:f>IF(I75="","",IF(I75&gt;2.5,"OVER","UNDER"))</x:f>
      </x:c>
      <x:c r="K75" s="30"/>
      <x:c r="L75" s="30"/>
      <x:c r="M75" s="30"/>
      <x:c r="N75" s="30"/>
      <x:c r="Y75" s="30"/>
      <x:c r="Z75" s="30"/>
      <x:c r="AA75" s="30"/>
      <x:c r="AB75" s="30"/>
    </x:row>
    <x:row r="76">
      <x:c r="B76" s="28"/>
      <x:c r="I76" t="str">
        <x:f>IF(OR(G76="",H76=""),"",G76+H76)</x:f>
      </x:c>
      <x:c r="J76" t="str">
        <x:f>IF(I76="","",IF(I76&gt;2.5,"OVER","UNDER"))</x:f>
      </x:c>
      <x:c r="K76" s="30"/>
      <x:c r="L76" s="30"/>
      <x:c r="M76" s="30"/>
      <x:c r="N76" s="30"/>
      <x:c r="Y76" s="30"/>
      <x:c r="Z76" s="30"/>
      <x:c r="AA76" s="30"/>
      <x:c r="AB76" s="30"/>
    </x:row>
    <x:row r="77">
      <x:c r="B77" s="28"/>
      <x:c r="I77" t="str">
        <x:f>IF(OR(G77="",H77=""),"",G77+H77)</x:f>
      </x:c>
      <x:c r="J77" t="str">
        <x:f>IF(I77="","",IF(I77&gt;2.5,"OVER","UNDER"))</x:f>
      </x:c>
      <x:c r="K77" s="30"/>
      <x:c r="L77" s="30"/>
      <x:c r="M77" s="30"/>
      <x:c r="N77" s="30"/>
      <x:c r="Y77" s="30"/>
      <x:c r="Z77" s="30"/>
      <x:c r="AA77" s="30"/>
      <x:c r="AB77" s="30"/>
    </x:row>
    <x:row r="78">
      <x:c r="B78" s="28"/>
      <x:c r="I78" t="str">
        <x:f>IF(OR(G78="",H78=""),"",G78+H78)</x:f>
      </x:c>
      <x:c r="J78" t="str">
        <x:f>IF(I78="","",IF(I78&gt;2.5,"OVER","UNDER"))</x:f>
      </x:c>
      <x:c r="K78" s="30"/>
      <x:c r="L78" s="30"/>
      <x:c r="M78" s="30"/>
      <x:c r="N78" s="30"/>
      <x:c r="Y78" s="30"/>
      <x:c r="Z78" s="30"/>
      <x:c r="AA78" s="30"/>
      <x:c r="AB78" s="30"/>
    </x:row>
    <x:row r="79">
      <x:c r="B79" s="28"/>
      <x:c r="I79" t="str">
        <x:f>IF(OR(G79="",H79=""),"",G79+H79)</x:f>
      </x:c>
      <x:c r="J79" t="str">
        <x:f>IF(I79="","",IF(I79&gt;2.5,"OVER","UNDER"))</x:f>
      </x:c>
      <x:c r="K79" s="30"/>
      <x:c r="L79" s="30"/>
      <x:c r="M79" s="30"/>
      <x:c r="N79" s="30"/>
      <x:c r="Y79" s="30"/>
      <x:c r="Z79" s="30"/>
      <x:c r="AA79" s="30"/>
      <x:c r="AB79" s="30"/>
    </x:row>
    <x:row r="80">
      <x:c r="B80" s="28"/>
      <x:c r="I80" t="str">
        <x:f>IF(OR(G80="",H80=""),"",G80+H80)</x:f>
      </x:c>
      <x:c r="J80" t="str">
        <x:f>IF(I80="","",IF(I80&gt;2.5,"OVER","UNDER"))</x:f>
      </x:c>
      <x:c r="K80" s="30"/>
      <x:c r="L80" s="30"/>
      <x:c r="M80" s="30"/>
      <x:c r="N80" s="30"/>
      <x:c r="Y80" s="30"/>
      <x:c r="Z80" s="30"/>
      <x:c r="AA80" s="30"/>
      <x:c r="AB80" s="30"/>
    </x:row>
    <x:row r="81">
      <x:c r="B81" s="28"/>
      <x:c r="I81" t="str">
        <x:f>IF(OR(G81="",H81=""),"",G81+H81)</x:f>
      </x:c>
      <x:c r="J81" t="str">
        <x:f>IF(I81="","",IF(I81&gt;2.5,"OVER","UNDER"))</x:f>
      </x:c>
      <x:c r="K81" s="30"/>
      <x:c r="L81" s="30"/>
      <x:c r="M81" s="30"/>
      <x:c r="N81" s="30"/>
      <x:c r="Y81" s="30"/>
      <x:c r="Z81" s="30"/>
      <x:c r="AA81" s="30"/>
      <x:c r="AB81" s="30"/>
    </x:row>
    <x:row r="82">
      <x:c r="B82" s="28"/>
      <x:c r="I82" t="str">
        <x:f>IF(OR(G82="",H82=""),"",G82+H82)</x:f>
      </x:c>
      <x:c r="J82" t="str">
        <x:f>IF(I82="","",IF(I82&gt;2.5,"OVER","UNDER"))</x:f>
      </x:c>
      <x:c r="K82" s="30"/>
      <x:c r="L82" s="30"/>
      <x:c r="M82" s="30"/>
      <x:c r="N82" s="30"/>
      <x:c r="Y82" s="30"/>
      <x:c r="Z82" s="30"/>
      <x:c r="AA82" s="30"/>
      <x:c r="AB82" s="30"/>
    </x:row>
    <x:row r="83">
      <x:c r="B83" s="28"/>
      <x:c r="I83" t="str">
        <x:f>IF(OR(G83="",H83=""),"",G83+H83)</x:f>
      </x:c>
      <x:c r="J83" t="str">
        <x:f>IF(I83="","",IF(I83&gt;2.5,"OVER","UNDER"))</x:f>
      </x:c>
      <x:c r="K83" s="30"/>
      <x:c r="L83" s="30"/>
      <x:c r="M83" s="30"/>
      <x:c r="N83" s="30"/>
      <x:c r="Y83" s="30"/>
      <x:c r="Z83" s="30"/>
      <x:c r="AA83" s="30"/>
      <x:c r="AB83" s="30"/>
    </x:row>
    <x:row r="84">
      <x:c r="B84" s="28"/>
      <x:c r="I84" t="str">
        <x:f>IF(OR(G84="",H84=""),"",G84+H84)</x:f>
      </x:c>
      <x:c r="J84" t="str">
        <x:f>IF(I84="","",IF(I84&gt;2.5,"OVER","UNDER"))</x:f>
      </x:c>
      <x:c r="K84" s="30"/>
      <x:c r="L84" s="30"/>
      <x:c r="M84" s="30"/>
      <x:c r="N84" s="30"/>
      <x:c r="Y84" s="30"/>
      <x:c r="Z84" s="30"/>
      <x:c r="AA84" s="30"/>
      <x:c r="AB84" s="30"/>
    </x:row>
    <x:row r="85">
      <x:c r="B85" s="28"/>
      <x:c r="I85" t="str">
        <x:f>IF(OR(G85="",H85=""),"",G85+H85)</x:f>
      </x:c>
      <x:c r="J85" t="str">
        <x:f>IF(I85="","",IF(I85&gt;2.5,"OVER","UNDER"))</x:f>
      </x:c>
      <x:c r="K85" s="30"/>
      <x:c r="L85" s="30"/>
      <x:c r="M85" s="30"/>
      <x:c r="N85" s="30"/>
      <x:c r="Y85" s="30"/>
      <x:c r="Z85" s="30"/>
      <x:c r="AA85" s="30"/>
      <x:c r="AB85" s="30"/>
    </x:row>
    <x:row r="86">
      <x:c r="B86" s="28"/>
      <x:c r="I86" t="str">
        <x:f>IF(OR(G86="",H86=""),"",G86+H86)</x:f>
      </x:c>
      <x:c r="J86" t="str">
        <x:f>IF(I86="","",IF(I86&gt;2.5,"OVER","UNDER"))</x:f>
      </x:c>
      <x:c r="K86" s="30"/>
      <x:c r="L86" s="30"/>
      <x:c r="M86" s="30"/>
      <x:c r="N86" s="30"/>
      <x:c r="Y86" s="30"/>
      <x:c r="Z86" s="30"/>
      <x:c r="AA86" s="30"/>
      <x:c r="AB86" s="30"/>
    </x:row>
    <x:row r="87">
      <x:c r="B87" s="28"/>
      <x:c r="I87" t="str">
        <x:f>IF(OR(G87="",H87=""),"",G87+H87)</x:f>
      </x:c>
      <x:c r="J87" t="str">
        <x:f>IF(I87="","",IF(I87&gt;2.5,"OVER","UNDER"))</x:f>
      </x:c>
      <x:c r="K87" s="30"/>
      <x:c r="L87" s="30"/>
      <x:c r="M87" s="30"/>
      <x:c r="N87" s="30"/>
      <x:c r="Y87" s="30"/>
      <x:c r="Z87" s="30"/>
      <x:c r="AA87" s="30"/>
      <x:c r="AB87" s="30"/>
    </x:row>
    <x:row r="88">
      <x:c r="B88" s="28"/>
      <x:c r="I88" t="str">
        <x:f>IF(OR(G88="",H88=""),"",G88+H88)</x:f>
      </x:c>
      <x:c r="J88" t="str">
        <x:f>IF(I88="","",IF(I88&gt;2.5,"OVER","UNDER"))</x:f>
      </x:c>
      <x:c r="K88" s="30"/>
      <x:c r="L88" s="30"/>
      <x:c r="M88" s="30"/>
      <x:c r="N88" s="30"/>
      <x:c r="Y88" s="30"/>
      <x:c r="Z88" s="30"/>
      <x:c r="AA88" s="30"/>
      <x:c r="AB88" s="30"/>
    </x:row>
    <x:row r="89">
      <x:c r="B89" s="28"/>
      <x:c r="I89" t="str">
        <x:f>IF(OR(G89="",H89=""),"",G89+H89)</x:f>
      </x:c>
      <x:c r="J89" t="str">
        <x:f>IF(I89="","",IF(I89&gt;2.5,"OVER","UNDER"))</x:f>
      </x:c>
      <x:c r="K89" s="30"/>
      <x:c r="L89" s="30"/>
      <x:c r="M89" s="30"/>
      <x:c r="N89" s="30"/>
      <x:c r="Y89" s="30"/>
      <x:c r="Z89" s="30"/>
      <x:c r="AA89" s="30"/>
      <x:c r="AB89" s="30"/>
    </x:row>
    <x:row r="90">
      <x:c r="B90" s="28"/>
      <x:c r="I90" t="str">
        <x:f>IF(OR(G90="",H90=""),"",G90+H90)</x:f>
      </x:c>
      <x:c r="J90" t="str">
        <x:f>IF(I90="","",IF(I90&gt;2.5,"OVER","UNDER"))</x:f>
      </x:c>
      <x:c r="K90" s="30"/>
      <x:c r="L90" s="30"/>
      <x:c r="M90" s="30"/>
      <x:c r="N90" s="30"/>
      <x:c r="Y90" s="30"/>
      <x:c r="Z90" s="30"/>
      <x:c r="AA90" s="30"/>
      <x:c r="AB90" s="30"/>
    </x:row>
    <x:row r="91">
      <x:c r="B91" s="28"/>
      <x:c r="I91" t="str">
        <x:f>IF(OR(G91="",H91=""),"",G91+H91)</x:f>
      </x:c>
      <x:c r="J91" t="str">
        <x:f>IF(I91="","",IF(I91&gt;2.5,"OVER","UNDER"))</x:f>
      </x:c>
      <x:c r="K91" s="30"/>
      <x:c r="L91" s="30"/>
      <x:c r="M91" s="30"/>
      <x:c r="N91" s="30"/>
      <x:c r="Y91" s="30"/>
      <x:c r="Z91" s="30"/>
      <x:c r="AA91" s="30"/>
      <x:c r="AB91" s="30"/>
    </x:row>
    <x:row r="92">
      <x:c r="B92" s="28"/>
      <x:c r="I92" t="str">
        <x:f>IF(OR(G92="",H92=""),"",G92+H92)</x:f>
      </x:c>
      <x:c r="J92" t="str">
        <x:f>IF(I92="","",IF(I92&gt;2.5,"OVER","UNDER"))</x:f>
      </x:c>
      <x:c r="K92" s="30"/>
      <x:c r="L92" s="30"/>
      <x:c r="M92" s="30"/>
      <x:c r="N92" s="30"/>
      <x:c r="Y92" s="30"/>
      <x:c r="Z92" s="30"/>
      <x:c r="AA92" s="30"/>
      <x:c r="AB92" s="30"/>
    </x:row>
    <x:row r="93">
      <x:c r="B93" s="28"/>
      <x:c r="I93" t="str">
        <x:f>IF(OR(G93="",H93=""),"",G93+H93)</x:f>
      </x:c>
      <x:c r="J93" t="str">
        <x:f>IF(I93="","",IF(I93&gt;2.5,"OVER","UNDER"))</x:f>
      </x:c>
      <x:c r="K93" s="30"/>
      <x:c r="L93" s="30"/>
      <x:c r="M93" s="30"/>
      <x:c r="N93" s="30"/>
      <x:c r="Y93" s="30"/>
      <x:c r="Z93" s="30"/>
      <x:c r="AA93" s="30"/>
      <x:c r="AB93" s="30"/>
    </x:row>
    <x:row r="94">
      <x:c r="B94" s="28"/>
      <x:c r="I94" t="str">
        <x:f>IF(OR(G94="",H94=""),"",G94+H94)</x:f>
      </x:c>
      <x:c r="J94" t="str">
        <x:f>IF(I94="","",IF(I94&gt;2.5,"OVER","UNDER"))</x:f>
      </x:c>
      <x:c r="K94" s="30"/>
      <x:c r="L94" s="30"/>
      <x:c r="M94" s="30"/>
      <x:c r="N94" s="30"/>
      <x:c r="Y94" s="30"/>
      <x:c r="Z94" s="30"/>
      <x:c r="AA94" s="30"/>
      <x:c r="AB94" s="30"/>
    </x:row>
    <x:row r="95">
      <x:c r="B95" s="28"/>
      <x:c r="I95" t="str">
        <x:f>IF(OR(G95="",H95=""),"",G95+H95)</x:f>
      </x:c>
      <x:c r="J95" t="str">
        <x:f>IF(I95="","",IF(I95&gt;2.5,"OVER","UNDER"))</x:f>
      </x:c>
      <x:c r="K95" s="30"/>
      <x:c r="L95" s="30"/>
      <x:c r="M95" s="30"/>
      <x:c r="N95" s="30"/>
      <x:c r="Y95" s="30"/>
      <x:c r="Z95" s="30"/>
      <x:c r="AA95" s="30"/>
      <x:c r="AB95" s="30"/>
    </x:row>
    <x:row r="96">
      <x:c r="B96" s="28"/>
      <x:c r="I96" t="str">
        <x:f>IF(OR(G96="",H96=""),"",G96+H96)</x:f>
      </x:c>
      <x:c r="J96" t="str">
        <x:f>IF(I96="","",IF(I96&gt;2.5,"OVER","UNDER"))</x:f>
      </x:c>
      <x:c r="K96" s="30"/>
      <x:c r="L96" s="30"/>
      <x:c r="M96" s="30"/>
      <x:c r="N96" s="30"/>
      <x:c r="Y96" s="30"/>
      <x:c r="Z96" s="30"/>
      <x:c r="AA96" s="30"/>
      <x:c r="AB96" s="30"/>
    </x:row>
    <x:row r="97">
      <x:c r="B97" s="28"/>
      <x:c r="I97" t="str">
        <x:f>IF(OR(G97="",H97=""),"",G97+H97)</x:f>
      </x:c>
      <x:c r="J97" t="str">
        <x:f>IF(I97="","",IF(I97&gt;2.5,"OVER","UNDER"))</x:f>
      </x:c>
      <x:c r="K97" s="30"/>
      <x:c r="L97" s="30"/>
      <x:c r="M97" s="30"/>
      <x:c r="N97" s="30"/>
      <x:c r="Y97" s="30"/>
      <x:c r="Z97" s="30"/>
      <x:c r="AA97" s="30"/>
      <x:c r="AB97" s="30"/>
    </x:row>
    <x:row r="98">
      <x:c r="B98" s="28"/>
      <x:c r="I98" t="str">
        <x:f>IF(OR(G98="",H98=""),"",G98+H98)</x:f>
      </x:c>
      <x:c r="J98" t="str">
        <x:f>IF(I98="","",IF(I98&gt;2.5,"OVER","UNDER"))</x:f>
      </x:c>
      <x:c r="K98" s="30"/>
      <x:c r="L98" s="30"/>
      <x:c r="M98" s="30"/>
      <x:c r="N98" s="30"/>
      <x:c r="Y98" s="30"/>
      <x:c r="Z98" s="30"/>
      <x:c r="AA98" s="30"/>
      <x:c r="AB98" s="30"/>
    </x:row>
    <x:row r="99">
      <x:c r="B99" s="28"/>
      <x:c r="I99" t="str">
        <x:f>IF(OR(G99="",H99=""),"",G99+H99)</x:f>
      </x:c>
      <x:c r="J99" t="str">
        <x:f>IF(I99="","",IF(I99&gt;2.5,"OVER","UNDER"))</x:f>
      </x:c>
      <x:c r="K99" s="30"/>
      <x:c r="L99" s="30"/>
      <x:c r="M99" s="30"/>
      <x:c r="N99" s="30"/>
      <x:c r="Y99" s="30"/>
      <x:c r="Z99" s="30"/>
      <x:c r="AA99" s="30"/>
      <x:c r="AB99" s="30"/>
    </x:row>
    <x:row r="100">
      <x:c r="B100" s="28"/>
      <x:c r="I100" t="str">
        <x:f>IF(OR(G100="",H100=""),"",G100+H100)</x:f>
      </x:c>
      <x:c r="J100" t="str">
        <x:f>IF(I100="","",IF(I100&gt;2.5,"OVER","UNDER"))</x:f>
      </x:c>
      <x:c r="K100" s="30"/>
      <x:c r="L100" s="30"/>
      <x:c r="M100" s="30"/>
      <x:c r="N100" s="30"/>
      <x:c r="Y100" s="30"/>
      <x:c r="Z100" s="30"/>
      <x:c r="AA100" s="30"/>
      <x:c r="AB100" s="30"/>
    </x:row>
    <x:row r="101">
      <x:c r="B101" s="28"/>
      <x:c r="I101" t="str">
        <x:f>IF(OR(G101="",H101=""),"",G101+H101)</x:f>
      </x:c>
      <x:c r="J101" t="str">
        <x:f>IF(I101="","",IF(I101&gt;2.5,"OVER","UNDER"))</x:f>
      </x:c>
      <x:c r="K101" s="30"/>
      <x:c r="L101" s="30"/>
      <x:c r="M101" s="30"/>
      <x:c r="N101" s="30"/>
      <x:c r="Y101" s="30"/>
      <x:c r="Z101" s="30"/>
      <x:c r="AA101" s="30"/>
      <x:c r="AB101" s="30"/>
    </x:row>
    <x:row r="102">
      <x:c r="B102" s="28"/>
      <x:c r="I102" t="str">
        <x:f>IF(OR(G102="",H102=""),"",G102+H102)</x:f>
      </x:c>
      <x:c r="J102" t="str">
        <x:f>IF(I102="","",IF(I102&gt;2.5,"OVER","UNDER"))</x:f>
      </x:c>
      <x:c r="K102" s="30"/>
      <x:c r="L102" s="30"/>
      <x:c r="M102" s="30"/>
      <x:c r="N102" s="30"/>
      <x:c r="Y102" s="30"/>
      <x:c r="Z102" s="30"/>
      <x:c r="AA102" s="30"/>
      <x:c r="AB102" s="30"/>
    </x:row>
    <x:row r="103">
      <x:c r="B103" s="28"/>
      <x:c r="I103" t="str">
        <x:f>IF(OR(G103="",H103=""),"",G103+H103)</x:f>
      </x:c>
      <x:c r="J103" t="str">
        <x:f>IF(I103="","",IF(I103&gt;2.5,"OVER","UNDER"))</x:f>
      </x:c>
      <x:c r="K103" s="30"/>
      <x:c r="L103" s="30"/>
      <x:c r="M103" s="30"/>
      <x:c r="N103" s="30"/>
      <x:c r="Y103" s="30"/>
      <x:c r="Z103" s="30"/>
      <x:c r="AA103" s="30"/>
      <x:c r="AB103" s="30"/>
    </x:row>
    <x:row r="104">
      <x:c r="B104" s="28"/>
      <x:c r="I104" t="str">
        <x:f>IF(OR(G104="",H104=""),"",G104+H104)</x:f>
      </x:c>
      <x:c r="J104" t="str">
        <x:f>IF(I104="","",IF(I104&gt;2.5,"OVER","UNDER"))</x:f>
      </x:c>
      <x:c r="K104" s="30"/>
      <x:c r="L104" s="30"/>
      <x:c r="M104" s="30"/>
      <x:c r="N104" s="30"/>
      <x:c r="Y104" s="30"/>
      <x:c r="Z104" s="30"/>
      <x:c r="AA104" s="30"/>
      <x:c r="AB104" s="30"/>
    </x:row>
    <x:row r="105">
      <x:c r="B105" s="28"/>
      <x:c r="I105" t="str">
        <x:f>IF(OR(G105="",H105=""),"",G105+H105)</x:f>
      </x:c>
      <x:c r="J105" t="str">
        <x:f>IF(I105="","",IF(I105&gt;2.5,"OVER","UNDER"))</x:f>
      </x:c>
      <x:c r="K105" s="30"/>
      <x:c r="L105" s="30"/>
      <x:c r="M105" s="30"/>
      <x:c r="N105" s="30"/>
      <x:c r="Y105" s="30"/>
      <x:c r="Z105" s="30"/>
      <x:c r="AA105" s="30"/>
      <x:c r="AB105" s="30"/>
    </x:row>
    <x:row r="106">
      <x:c r="B106" s="28"/>
      <x:c r="I106" t="str">
        <x:f>IF(OR(G106="",H106=""),"",G106+H106)</x:f>
      </x:c>
      <x:c r="J106" t="str">
        <x:f>IF(I106="","",IF(I106&gt;2.5,"OVER","UNDER"))</x:f>
      </x:c>
      <x:c r="K106" s="30"/>
      <x:c r="L106" s="30"/>
      <x:c r="M106" s="30"/>
      <x:c r="N106" s="30"/>
      <x:c r="Y106" s="30"/>
      <x:c r="Z106" s="30"/>
      <x:c r="AA106" s="30"/>
      <x:c r="AB106" s="30"/>
    </x:row>
    <x:row r="107">
      <x:c r="B107" s="28"/>
      <x:c r="I107" t="str">
        <x:f>IF(OR(G107="",H107=""),"",G107+H107)</x:f>
      </x:c>
      <x:c r="J107" t="str">
        <x:f>IF(I107="","",IF(I107&gt;2.5,"OVER","UNDER"))</x:f>
      </x:c>
      <x:c r="K107" s="30"/>
      <x:c r="L107" s="30"/>
      <x:c r="M107" s="30"/>
      <x:c r="N107" s="30"/>
      <x:c r="Y107" s="30"/>
      <x:c r="Z107" s="30"/>
      <x:c r="AA107" s="30"/>
      <x:c r="AB107" s="30"/>
    </x:row>
    <x:row r="108">
      <x:c r="B108" s="28"/>
      <x:c r="I108" t="str">
        <x:f>IF(OR(G108="",H108=""),"",G108+H108)</x:f>
      </x:c>
      <x:c r="J108" t="str">
        <x:f>IF(I108="","",IF(I108&gt;2.5,"OVER","UNDER"))</x:f>
      </x:c>
      <x:c r="K108" s="30"/>
      <x:c r="L108" s="30"/>
      <x:c r="M108" s="30"/>
      <x:c r="N108" s="30"/>
      <x:c r="Y108" s="30"/>
      <x:c r="Z108" s="30"/>
      <x:c r="AA108" s="30"/>
      <x:c r="AB108" s="30"/>
    </x:row>
    <x:row r="109">
      <x:c r="B109" s="28"/>
      <x:c r="I109" t="str">
        <x:f>IF(OR(G109="",H109=""),"",G109+H109)</x:f>
      </x:c>
      <x:c r="J109" t="str">
        <x:f>IF(I109="","",IF(I109&gt;2.5,"OVER","UNDER"))</x:f>
      </x:c>
      <x:c r="K109" s="30"/>
      <x:c r="L109" s="30"/>
      <x:c r="M109" s="30"/>
      <x:c r="N109" s="30"/>
      <x:c r="Y109" s="30"/>
      <x:c r="Z109" s="30"/>
      <x:c r="AA109" s="30"/>
      <x:c r="AB109" s="30"/>
    </x:row>
    <x:row r="110">
      <x:c r="B110" s="28"/>
      <x:c r="I110" t="str">
        <x:f>IF(OR(G110="",H110=""),"",G110+H110)</x:f>
      </x:c>
      <x:c r="J110" t="str">
        <x:f>IF(I110="","",IF(I110&gt;2.5,"OVER","UNDER"))</x:f>
      </x:c>
      <x:c r="K110" s="30"/>
      <x:c r="L110" s="30"/>
      <x:c r="M110" s="30"/>
      <x:c r="N110" s="30"/>
      <x:c r="Y110" s="30"/>
      <x:c r="Z110" s="30"/>
      <x:c r="AA110" s="30"/>
      <x:c r="AB110" s="30"/>
    </x:row>
    <x:row r="111">
      <x:c r="B111" s="28"/>
      <x:c r="I111" t="str">
        <x:f>IF(OR(G111="",H111=""),"",G111+H111)</x:f>
      </x:c>
      <x:c r="J111" t="str">
        <x:f>IF(I111="","",IF(I111&gt;2.5,"OVER","UNDER"))</x:f>
      </x:c>
      <x:c r="K111" s="30"/>
      <x:c r="L111" s="30"/>
      <x:c r="M111" s="30"/>
      <x:c r="N111" s="30"/>
      <x:c r="Y111" s="30"/>
      <x:c r="Z111" s="30"/>
      <x:c r="AA111" s="30"/>
      <x:c r="AB111" s="30"/>
    </x:row>
    <x:row r="112">
      <x:c r="B112" s="28"/>
      <x:c r="I112" t="str">
        <x:f>IF(OR(G112="",H112=""),"",G112+H112)</x:f>
      </x:c>
      <x:c r="J112" t="str">
        <x:f>IF(I112="","",IF(I112&gt;2.5,"OVER","UNDER"))</x:f>
      </x:c>
      <x:c r="K112" s="30"/>
      <x:c r="L112" s="30"/>
      <x:c r="M112" s="30"/>
      <x:c r="N112" s="30"/>
      <x:c r="Y112" s="30"/>
      <x:c r="Z112" s="30"/>
      <x:c r="AA112" s="30"/>
      <x:c r="AB112" s="30"/>
    </x:row>
    <x:row r="113">
      <x:c r="B113" s="28"/>
      <x:c r="I113" t="str">
        <x:f>IF(OR(G113="",H113=""),"",G113+H113)</x:f>
      </x:c>
      <x:c r="J113" t="str">
        <x:f>IF(I113="","",IF(I113&gt;2.5,"OVER","UNDER"))</x:f>
      </x:c>
      <x:c r="K113" s="30"/>
      <x:c r="L113" s="30"/>
      <x:c r="M113" s="30"/>
      <x:c r="N113" s="30"/>
      <x:c r="Y113" s="30"/>
      <x:c r="Z113" s="30"/>
      <x:c r="AA113" s="30"/>
      <x:c r="AB113" s="30"/>
    </x:row>
    <x:row r="114">
      <x:c r="B114" s="28"/>
      <x:c r="I114" t="str">
        <x:f>IF(OR(G114="",H114=""),"",G114+H114)</x:f>
      </x:c>
      <x:c r="J114" t="str">
        <x:f>IF(I114="","",IF(I114&gt;2.5,"OVER","UNDER"))</x:f>
      </x:c>
      <x:c r="K114" s="30"/>
      <x:c r="L114" s="30"/>
      <x:c r="M114" s="30"/>
      <x:c r="N114" s="30"/>
      <x:c r="Y114" s="30"/>
      <x:c r="Z114" s="30"/>
      <x:c r="AA114" s="30"/>
      <x:c r="AB114" s="30"/>
    </x:row>
    <x:row r="115">
      <x:c r="B115" s="28"/>
      <x:c r="I115" t="str">
        <x:f>IF(OR(G115="",H115=""),"",G115+H115)</x:f>
      </x:c>
      <x:c r="J115" t="str">
        <x:f>IF(I115="","",IF(I115&gt;2.5,"OVER","UNDER"))</x:f>
      </x:c>
      <x:c r="K115" s="30"/>
      <x:c r="L115" s="30"/>
      <x:c r="M115" s="30"/>
      <x:c r="N115" s="30"/>
      <x:c r="Y115" s="30"/>
      <x:c r="Z115" s="30"/>
      <x:c r="AA115" s="30"/>
      <x:c r="AB115" s="30"/>
    </x:row>
    <x:row r="116">
      <x:c r="B116" s="28"/>
      <x:c r="I116" t="str">
        <x:f>IF(OR(G116="",H116=""),"",G116+H116)</x:f>
      </x:c>
      <x:c r="J116" t="str">
        <x:f>IF(I116="","",IF(I116&gt;2.5,"OVER","UNDER"))</x:f>
      </x:c>
      <x:c r="K116" s="30"/>
      <x:c r="L116" s="30"/>
      <x:c r="M116" s="30"/>
      <x:c r="N116" s="30"/>
      <x:c r="Y116" s="30"/>
      <x:c r="Z116" s="30"/>
      <x:c r="AA116" s="30"/>
      <x:c r="AB116" s="30"/>
    </x:row>
    <x:row r="117">
      <x:c r="B117" s="28"/>
      <x:c r="I117" t="str">
        <x:f>IF(OR(G117="",H117=""),"",G117+H117)</x:f>
      </x:c>
      <x:c r="J117" t="str">
        <x:f>IF(I117="","",IF(I117&gt;2.5,"OVER","UNDER"))</x:f>
      </x:c>
      <x:c r="K117" s="30"/>
      <x:c r="L117" s="30"/>
      <x:c r="M117" s="30"/>
      <x:c r="N117" s="30"/>
      <x:c r="Y117" s="30"/>
      <x:c r="Z117" s="30"/>
      <x:c r="AA117" s="30"/>
      <x:c r="AB117" s="30"/>
    </x:row>
    <x:row r="118">
      <x:c r="B118" s="28"/>
      <x:c r="I118" t="str">
        <x:f>IF(OR(G118="",H118=""),"",G118+H118)</x:f>
      </x:c>
      <x:c r="J118" t="str">
        <x:f>IF(I118="","",IF(I118&gt;2.5,"OVER","UNDER"))</x:f>
      </x:c>
      <x:c r="K118" s="30"/>
      <x:c r="L118" s="30"/>
      <x:c r="M118" s="30"/>
      <x:c r="N118" s="30"/>
      <x:c r="Y118" s="30"/>
      <x:c r="Z118" s="30"/>
      <x:c r="AA118" s="30"/>
      <x:c r="AB118" s="30"/>
    </x:row>
    <x:row r="119">
      <x:c r="B119" s="28"/>
      <x:c r="I119" t="str">
        <x:f>IF(OR(G119="",H119=""),"",G119+H119)</x:f>
      </x:c>
      <x:c r="J119" t="str">
        <x:f>IF(I119="","",IF(I119&gt;2.5,"OVER","UNDER"))</x:f>
      </x:c>
      <x:c r="K119" s="30"/>
      <x:c r="L119" s="30"/>
      <x:c r="M119" s="30"/>
      <x:c r="N119" s="30"/>
      <x:c r="Y119" s="30"/>
      <x:c r="Z119" s="30"/>
      <x:c r="AA119" s="30"/>
      <x:c r="AB119" s="30"/>
    </x:row>
    <x:row r="120">
      <x:c r="B120" s="28"/>
      <x:c r="I120" t="str">
        <x:f>IF(OR(G120="",H120=""),"",G120+H120)</x:f>
      </x:c>
      <x:c r="J120" t="str">
        <x:f>IF(I120="","",IF(I120&gt;2.5,"OVER","UNDER"))</x:f>
      </x:c>
      <x:c r="K120" s="30"/>
      <x:c r="L120" s="30"/>
      <x:c r="M120" s="30"/>
      <x:c r="N120" s="30"/>
      <x:c r="Y120" s="30"/>
      <x:c r="Z120" s="30"/>
      <x:c r="AA120" s="30"/>
      <x:c r="AB120" s="30"/>
    </x:row>
    <x:row r="121">
      <x:c r="B121" s="28"/>
      <x:c r="I121" t="str">
        <x:f>IF(OR(G121="",H121=""),"",G121+H121)</x:f>
      </x:c>
      <x:c r="J121" t="str">
        <x:f>IF(I121="","",IF(I121&gt;2.5,"OVER","UNDER"))</x:f>
      </x:c>
      <x:c r="K121" s="30"/>
      <x:c r="L121" s="30"/>
      <x:c r="M121" s="30"/>
      <x:c r="N121" s="30"/>
      <x:c r="Y121" s="30"/>
      <x:c r="Z121" s="30"/>
      <x:c r="AA121" s="30"/>
      <x:c r="AB121" s="30"/>
    </x:row>
    <x:row r="122">
      <x:c r="B122" s="28"/>
      <x:c r="I122" t="str">
        <x:f>IF(OR(G122="",H122=""),"",G122+H122)</x:f>
      </x:c>
      <x:c r="J122" t="str">
        <x:f>IF(I122="","",IF(I122&gt;2.5,"OVER","UNDER"))</x:f>
      </x:c>
      <x:c r="K122" s="30"/>
      <x:c r="L122" s="30"/>
      <x:c r="M122" s="30"/>
      <x:c r="N122" s="30"/>
      <x:c r="Y122" s="30"/>
      <x:c r="Z122" s="30"/>
      <x:c r="AA122" s="30"/>
      <x:c r="AB122" s="30"/>
    </x:row>
    <x:row r="123">
      <x:c r="B123" s="28"/>
      <x:c r="I123" t="str">
        <x:f>IF(OR(G123="",H123=""),"",G123+H123)</x:f>
      </x:c>
      <x:c r="J123" t="str">
        <x:f>IF(I123="","",IF(I123&gt;2.5,"OVER","UNDER"))</x:f>
      </x:c>
      <x:c r="K123" s="30"/>
      <x:c r="L123" s="30"/>
      <x:c r="M123" s="30"/>
      <x:c r="N123" s="30"/>
      <x:c r="Y123" s="30"/>
      <x:c r="Z123" s="30"/>
      <x:c r="AA123" s="30"/>
      <x:c r="AB123" s="30"/>
    </x:row>
    <x:row r="124">
      <x:c r="B124" s="28"/>
      <x:c r="I124" t="str">
        <x:f>IF(OR(G124="",H124=""),"",G124+H124)</x:f>
      </x:c>
      <x:c r="J124" t="str">
        <x:f>IF(I124="","",IF(I124&gt;2.5,"OVER","UNDER"))</x:f>
      </x:c>
      <x:c r="K124" s="30"/>
      <x:c r="L124" s="30"/>
      <x:c r="M124" s="30"/>
      <x:c r="N124" s="30"/>
      <x:c r="Y124" s="30"/>
      <x:c r="Z124" s="30"/>
      <x:c r="AA124" s="30"/>
      <x:c r="AB124" s="30"/>
    </x:row>
    <x:row r="125">
      <x:c r="B125" s="28"/>
      <x:c r="I125" t="str">
        <x:f>IF(OR(G125="",H125=""),"",G125+H125)</x:f>
      </x:c>
      <x:c r="J125" t="str">
        <x:f>IF(I125="","",IF(I125&gt;2.5,"OVER","UNDER"))</x:f>
      </x:c>
      <x:c r="K125" s="30"/>
      <x:c r="L125" s="30"/>
      <x:c r="M125" s="30"/>
      <x:c r="N125" s="30"/>
      <x:c r="Y125" s="30"/>
      <x:c r="Z125" s="30"/>
      <x:c r="AA125" s="30"/>
      <x:c r="AB125" s="30"/>
    </x:row>
    <x:row r="126">
      <x:c r="B126" s="28"/>
      <x:c r="I126" t="str">
        <x:f>IF(OR(G126="",H126=""),"",G126+H126)</x:f>
      </x:c>
      <x:c r="J126" t="str">
        <x:f>IF(I126="","",IF(I126&gt;2.5,"OVER","UNDER"))</x:f>
      </x:c>
      <x:c r="K126" s="30"/>
      <x:c r="L126" s="30"/>
      <x:c r="M126" s="30"/>
      <x:c r="N126" s="30"/>
      <x:c r="Y126" s="30"/>
      <x:c r="Z126" s="30"/>
      <x:c r="AA126" s="30"/>
      <x:c r="AB126" s="30"/>
    </x:row>
    <x:row r="127">
      <x:c r="B127" s="28"/>
      <x:c r="I127" t="str">
        <x:f>IF(OR(G127="",H127=""),"",G127+H127)</x:f>
      </x:c>
      <x:c r="J127" t="str">
        <x:f>IF(I127="","",IF(I127&gt;2.5,"OVER","UNDER"))</x:f>
      </x:c>
      <x:c r="K127" s="30"/>
      <x:c r="L127" s="30"/>
      <x:c r="M127" s="30"/>
      <x:c r="N127" s="30"/>
      <x:c r="Y127" s="30"/>
      <x:c r="Z127" s="30"/>
      <x:c r="AA127" s="30"/>
      <x:c r="AB127" s="30"/>
    </x:row>
    <x:row r="128">
      <x:c r="B128" s="28"/>
      <x:c r="I128" t="str">
        <x:f>IF(OR(G128="",H128=""),"",G128+H128)</x:f>
      </x:c>
      <x:c r="J128" t="str">
        <x:f>IF(I128="","",IF(I128&gt;2.5,"OVER","UNDER"))</x:f>
      </x:c>
      <x:c r="K128" s="30"/>
      <x:c r="L128" s="30"/>
      <x:c r="M128" s="30"/>
      <x:c r="N128" s="30"/>
      <x:c r="Y128" s="30"/>
      <x:c r="Z128" s="30"/>
      <x:c r="AA128" s="30"/>
      <x:c r="AB128" s="30"/>
    </x:row>
    <x:row r="129">
      <x:c r="B129" s="28"/>
      <x:c r="I129" t="str">
        <x:f>IF(OR(G129="",H129=""),"",G129+H129)</x:f>
      </x:c>
      <x:c r="J129" t="str">
        <x:f>IF(I129="","",IF(I129&gt;2.5,"OVER","UNDER"))</x:f>
      </x:c>
      <x:c r="K129" s="30"/>
      <x:c r="L129" s="30"/>
      <x:c r="M129" s="30"/>
      <x:c r="N129" s="30"/>
      <x:c r="Y129" s="30"/>
      <x:c r="Z129" s="30"/>
      <x:c r="AA129" s="30"/>
      <x:c r="AB129" s="30"/>
    </x:row>
    <x:row r="130">
      <x:c r="B130" s="28"/>
      <x:c r="I130" t="str">
        <x:f>IF(OR(G130="",H130=""),"",G130+H130)</x:f>
      </x:c>
      <x:c r="J130" t="str">
        <x:f>IF(I130="","",IF(I130&gt;2.5,"OVER","UNDER"))</x:f>
      </x:c>
      <x:c r="K130" s="30"/>
      <x:c r="L130" s="30"/>
      <x:c r="M130" s="30"/>
      <x:c r="N130" s="30"/>
      <x:c r="Y130" s="30"/>
      <x:c r="Z130" s="30"/>
      <x:c r="AA130" s="30"/>
      <x:c r="AB130" s="30"/>
    </x:row>
    <x:row r="131">
      <x:c r="B131" s="28"/>
      <x:c r="I131" t="str">
        <x:f>IF(OR(G131="",H131=""),"",G131+H131)</x:f>
      </x:c>
      <x:c r="J131" t="str">
        <x:f>IF(I131="","",IF(I131&gt;2.5,"OVER","UNDER"))</x:f>
      </x:c>
      <x:c r="K131" s="30"/>
      <x:c r="L131" s="30"/>
      <x:c r="M131" s="30"/>
      <x:c r="N131" s="30"/>
      <x:c r="Y131" s="30"/>
      <x:c r="Z131" s="30"/>
      <x:c r="AA131" s="30"/>
      <x:c r="AB131" s="30"/>
    </x:row>
    <x:row r="132">
      <x:c r="B132" s="28"/>
      <x:c r="I132" t="str">
        <x:f>IF(OR(G132="",H132=""),"",G132+H132)</x:f>
      </x:c>
      <x:c r="J132" t="str">
        <x:f>IF(I132="","",IF(I132&gt;2.5,"OVER","UNDER"))</x:f>
      </x:c>
      <x:c r="K132" s="30"/>
      <x:c r="L132" s="30"/>
      <x:c r="M132" s="30"/>
      <x:c r="N132" s="30"/>
      <x:c r="Y132" s="30"/>
      <x:c r="Z132" s="30"/>
      <x:c r="AA132" s="30"/>
      <x:c r="AB132" s="30"/>
    </x:row>
    <x:row r="133">
      <x:c r="B133" s="28"/>
      <x:c r="I133" t="str">
        <x:f>IF(OR(G133="",H133=""),"",G133+H133)</x:f>
      </x:c>
      <x:c r="J133" t="str">
        <x:f>IF(I133="","",IF(I133&gt;2.5,"OVER","UNDER"))</x:f>
      </x:c>
      <x:c r="K133" s="30"/>
      <x:c r="L133" s="30"/>
      <x:c r="M133" s="30"/>
      <x:c r="N133" s="30"/>
      <x:c r="Y133" s="30"/>
      <x:c r="Z133" s="30"/>
      <x:c r="AA133" s="30"/>
      <x:c r="AB133" s="30"/>
    </x:row>
    <x:row r="134">
      <x:c r="B134" s="28"/>
      <x:c r="I134" t="str">
        <x:f>IF(OR(G134="",H134=""),"",G134+H134)</x:f>
      </x:c>
      <x:c r="J134" t="str">
        <x:f>IF(I134="","",IF(I134&gt;2.5,"OVER","UNDER"))</x:f>
      </x:c>
      <x:c r="K134" s="30"/>
      <x:c r="L134" s="30"/>
      <x:c r="M134" s="30"/>
      <x:c r="N134" s="30"/>
      <x:c r="Y134" s="30"/>
      <x:c r="Z134" s="30"/>
      <x:c r="AA134" s="30"/>
      <x:c r="AB134" s="30"/>
    </x:row>
    <x:row r="135">
      <x:c r="B135" s="28"/>
      <x:c r="I135" t="str">
        <x:f>IF(OR(G135="",H135=""),"",G135+H135)</x:f>
      </x:c>
      <x:c r="J135" t="str">
        <x:f>IF(I135="","",IF(I135&gt;2.5,"OVER","UNDER"))</x:f>
      </x:c>
      <x:c r="K135" s="30"/>
      <x:c r="L135" s="30"/>
      <x:c r="M135" s="30"/>
      <x:c r="N135" s="30"/>
      <x:c r="Y135" s="30"/>
      <x:c r="Z135" s="30"/>
      <x:c r="AA135" s="30"/>
      <x:c r="AB135" s="30"/>
    </x:row>
    <x:row r="136">
      <x:c r="B136" s="28"/>
      <x:c r="I136" t="str">
        <x:f>IF(OR(G136="",H136=""),"",G136+H136)</x:f>
      </x:c>
      <x:c r="J136" t="str">
        <x:f>IF(I136="","",IF(I136&gt;2.5,"OVER","UNDER"))</x:f>
      </x:c>
      <x:c r="K136" s="30"/>
      <x:c r="L136" s="30"/>
      <x:c r="M136" s="30"/>
      <x:c r="N136" s="30"/>
      <x:c r="Y136" s="30"/>
      <x:c r="Z136" s="30"/>
      <x:c r="AA136" s="30"/>
      <x:c r="AB136" s="30"/>
    </x:row>
    <x:row r="137">
      <x:c r="B137" s="28"/>
      <x:c r="I137" t="str">
        <x:f>IF(OR(G137="",H137=""),"",G137+H137)</x:f>
      </x:c>
      <x:c r="J137" t="str">
        <x:f>IF(I137="","",IF(I137&gt;2.5,"OVER","UNDER"))</x:f>
      </x:c>
      <x:c r="K137" s="30"/>
      <x:c r="L137" s="30"/>
      <x:c r="M137" s="30"/>
      <x:c r="N137" s="30"/>
      <x:c r="Y137" s="30"/>
      <x:c r="Z137" s="30"/>
      <x:c r="AA137" s="30"/>
      <x:c r="AB137" s="30"/>
    </x:row>
    <x:row r="138">
      <x:c r="B138" s="28"/>
      <x:c r="I138" t="str">
        <x:f>IF(OR(G138="",H138=""),"",G138+H138)</x:f>
      </x:c>
      <x:c r="J138" t="str">
        <x:f>IF(I138="","",IF(I138&gt;2.5,"OVER","UNDER"))</x:f>
      </x:c>
      <x:c r="K138" s="30"/>
      <x:c r="L138" s="30"/>
      <x:c r="M138" s="30"/>
      <x:c r="N138" s="30"/>
      <x:c r="Y138" s="30"/>
      <x:c r="Z138" s="30"/>
      <x:c r="AA138" s="30"/>
      <x:c r="AB138" s="30"/>
    </x:row>
    <x:row r="139">
      <x:c r="B139" s="28"/>
      <x:c r="I139" t="str">
        <x:f>IF(OR(G139="",H139=""),"",G139+H139)</x:f>
      </x:c>
      <x:c r="J139" t="str">
        <x:f>IF(I139="","",IF(I139&gt;2.5,"OVER","UNDER"))</x:f>
      </x:c>
      <x:c r="K139" s="30"/>
      <x:c r="L139" s="30"/>
      <x:c r="M139" s="30"/>
      <x:c r="N139" s="30"/>
      <x:c r="Y139" s="30"/>
      <x:c r="Z139" s="30"/>
      <x:c r="AA139" s="30"/>
      <x:c r="AB139" s="30"/>
    </x:row>
    <x:row r="140">
      <x:c r="B140" s="28"/>
      <x:c r="I140" t="str">
        <x:f>IF(OR(G140="",H140=""),"",G140+H140)</x:f>
      </x:c>
      <x:c r="J140" t="str">
        <x:f>IF(I140="","",IF(I140&gt;2.5,"OVER","UNDER"))</x:f>
      </x:c>
      <x:c r="K140" s="30"/>
      <x:c r="L140" s="30"/>
      <x:c r="M140" s="30"/>
      <x:c r="N140" s="30"/>
      <x:c r="Y140" s="30"/>
      <x:c r="Z140" s="30"/>
      <x:c r="AA140" s="30"/>
      <x:c r="AB140" s="30"/>
    </x:row>
    <x:row r="141">
      <x:c r="B141" s="28"/>
      <x:c r="I141" t="str">
        <x:f>IF(OR(G141="",H141=""),"",G141+H141)</x:f>
      </x:c>
      <x:c r="J141" t="str">
        <x:f>IF(I141="","",IF(I141&gt;2.5,"OVER","UNDER"))</x:f>
      </x:c>
      <x:c r="K141" s="30"/>
      <x:c r="L141" s="30"/>
      <x:c r="M141" s="30"/>
      <x:c r="N141" s="30"/>
      <x:c r="Y141" s="30"/>
      <x:c r="Z141" s="30"/>
      <x:c r="AA141" s="30"/>
      <x:c r="AB141" s="30"/>
    </x:row>
    <x:row r="142">
      <x:c r="B142" s="28"/>
      <x:c r="I142" t="str">
        <x:f>IF(OR(G142="",H142=""),"",G142+H142)</x:f>
      </x:c>
      <x:c r="J142" t="str">
        <x:f>IF(I142="","",IF(I142&gt;2.5,"OVER","UNDER"))</x:f>
      </x:c>
      <x:c r="K142" s="30"/>
      <x:c r="L142" s="30"/>
      <x:c r="M142" s="30"/>
      <x:c r="N142" s="30"/>
      <x:c r="Y142" s="30"/>
      <x:c r="Z142" s="30"/>
      <x:c r="AA142" s="30"/>
      <x:c r="AB142" s="30"/>
    </x:row>
    <x:row r="143">
      <x:c r="B143" s="28"/>
      <x:c r="I143" t="str">
        <x:f>IF(OR(G143="",H143=""),"",G143+H143)</x:f>
      </x:c>
      <x:c r="J143" t="str">
        <x:f>IF(I143="","",IF(I143&gt;2.5,"OVER","UNDER"))</x:f>
      </x:c>
      <x:c r="K143" s="30"/>
      <x:c r="L143" s="30"/>
      <x:c r="M143" s="30"/>
      <x:c r="N143" s="30"/>
      <x:c r="Y143" s="30"/>
      <x:c r="Z143" s="30"/>
      <x:c r="AA143" s="30"/>
      <x:c r="AB143" s="30"/>
    </x:row>
    <x:row r="144">
      <x:c r="B144" s="28"/>
      <x:c r="I144" t="str">
        <x:f>IF(OR(G144="",H144=""),"",G144+H144)</x:f>
      </x:c>
      <x:c r="J144" t="str">
        <x:f>IF(I144="","",IF(I144&gt;2.5,"OVER","UNDER"))</x:f>
      </x:c>
      <x:c r="K144" s="30"/>
      <x:c r="L144" s="30"/>
      <x:c r="M144" s="30"/>
      <x:c r="N144" s="30"/>
      <x:c r="Y144" s="30"/>
      <x:c r="Z144" s="30"/>
      <x:c r="AA144" s="30"/>
      <x:c r="AB144" s="30"/>
    </x:row>
    <x:row r="145">
      <x:c r="B145" s="28"/>
      <x:c r="I145" t="str">
        <x:f>IF(OR(G145="",H145=""),"",G145+H145)</x:f>
      </x:c>
      <x:c r="J145" t="str">
        <x:f>IF(I145="","",IF(I145&gt;2.5,"OVER","UNDER"))</x:f>
      </x:c>
      <x:c r="K145" s="30"/>
      <x:c r="L145" s="30"/>
      <x:c r="M145" s="30"/>
      <x:c r="N145" s="30"/>
      <x:c r="Y145" s="30"/>
      <x:c r="Z145" s="30"/>
      <x:c r="AA145" s="30"/>
      <x:c r="AB145" s="30"/>
    </x:row>
    <x:row r="146">
      <x:c r="B146" s="28"/>
      <x:c r="I146" t="str">
        <x:f>IF(OR(G146="",H146=""),"",G146+H146)</x:f>
      </x:c>
      <x:c r="J146" t="str">
        <x:f>IF(I146="","",IF(I146&gt;2.5,"OVER","UNDER"))</x:f>
      </x:c>
      <x:c r="K146" s="30"/>
      <x:c r="L146" s="30"/>
      <x:c r="M146" s="30"/>
      <x:c r="N146" s="30"/>
      <x:c r="Y146" s="30"/>
      <x:c r="Z146" s="30"/>
      <x:c r="AA146" s="30"/>
      <x:c r="AB146" s="30"/>
    </x:row>
    <x:row r="147">
      <x:c r="B147" s="28"/>
      <x:c r="I147" t="str">
        <x:f>IF(OR(G147="",H147=""),"",G147+H147)</x:f>
      </x:c>
      <x:c r="J147" t="str">
        <x:f>IF(I147="","",IF(I147&gt;2.5,"OVER","UNDER"))</x:f>
      </x:c>
      <x:c r="K147" s="30"/>
      <x:c r="L147" s="30"/>
      <x:c r="M147" s="30"/>
      <x:c r="N147" s="30"/>
      <x:c r="Y147" s="30"/>
      <x:c r="Z147" s="30"/>
      <x:c r="AA147" s="30"/>
      <x:c r="AB147" s="30"/>
    </x:row>
    <x:row r="148">
      <x:c r="B148" s="28"/>
      <x:c r="I148" t="str">
        <x:f>IF(OR(G148="",H148=""),"",G148+H148)</x:f>
      </x:c>
      <x:c r="J148" t="str">
        <x:f>IF(I148="","",IF(I148&gt;2.5,"OVER","UNDER"))</x:f>
      </x:c>
      <x:c r="K148" s="30"/>
      <x:c r="L148" s="30"/>
      <x:c r="M148" s="30"/>
      <x:c r="N148" s="30"/>
      <x:c r="Y148" s="30"/>
      <x:c r="Z148" s="30"/>
      <x:c r="AA148" s="30"/>
      <x:c r="AB148" s="30"/>
    </x:row>
    <x:row r="149">
      <x:c r="B149" s="28"/>
      <x:c r="I149" t="str">
        <x:f>IF(OR(G149="",H149=""),"",G149+H149)</x:f>
      </x:c>
      <x:c r="J149" t="str">
        <x:f>IF(I149="","",IF(I149&gt;2.5,"OVER","UNDER"))</x:f>
      </x:c>
      <x:c r="K149" s="30"/>
      <x:c r="L149" s="30"/>
      <x:c r="M149" s="30"/>
      <x:c r="N149" s="30"/>
      <x:c r="Y149" s="30"/>
      <x:c r="Z149" s="30"/>
      <x:c r="AA149" s="30"/>
      <x:c r="AB149" s="30"/>
    </x:row>
    <x:row r="150">
      <x:c r="B150" s="28"/>
      <x:c r="I150" t="str">
        <x:f>IF(OR(G150="",H150=""),"",G150+H150)</x:f>
      </x:c>
      <x:c r="J150" t="str">
        <x:f>IF(I150="","",IF(I150&gt;2.5,"OVER","UNDER"))</x:f>
      </x:c>
      <x:c r="K150" s="30"/>
      <x:c r="L150" s="30"/>
      <x:c r="M150" s="30"/>
      <x:c r="N150" s="30"/>
      <x:c r="Y150" s="30"/>
      <x:c r="Z150" s="30"/>
      <x:c r="AA150" s="30"/>
      <x:c r="AB150" s="30"/>
    </x:row>
    <x:row r="151">
      <x:c r="B151" s="28"/>
      <x:c r="I151" t="str">
        <x:f>IF(OR(G151="",H151=""),"",G151+H151)</x:f>
      </x:c>
      <x:c r="J151" t="str">
        <x:f>IF(I151="","",IF(I151&gt;2.5,"OVER","UNDER"))</x:f>
      </x:c>
      <x:c r="K151" s="30"/>
      <x:c r="L151" s="30"/>
      <x:c r="M151" s="30"/>
      <x:c r="N151" s="30"/>
      <x:c r="Y151" s="30"/>
      <x:c r="Z151" s="30"/>
      <x:c r="AA151" s="30"/>
      <x:c r="AB151" s="30"/>
    </x:row>
    <x:row r="152">
      <x:c r="B152" s="28"/>
      <x:c r="I152" t="str">
        <x:f>IF(OR(G152="",H152=""),"",G152+H152)</x:f>
      </x:c>
      <x:c r="J152" t="str">
        <x:f>IF(I152="","",IF(I152&gt;2.5,"OVER","UNDER"))</x:f>
      </x:c>
      <x:c r="K152" s="30"/>
      <x:c r="L152" s="30"/>
      <x:c r="M152" s="30"/>
      <x:c r="N152" s="30"/>
      <x:c r="Y152" s="30"/>
      <x:c r="Z152" s="30"/>
      <x:c r="AA152" s="30"/>
      <x:c r="AB152" s="30"/>
    </x:row>
    <x:row r="153">
      <x:c r="B153" s="28"/>
      <x:c r="I153" t="str">
        <x:f>IF(OR(G153="",H153=""),"",G153+H153)</x:f>
      </x:c>
      <x:c r="J153" t="str">
        <x:f>IF(I153="","",IF(I153&gt;2.5,"OVER","UNDER"))</x:f>
      </x:c>
      <x:c r="K153" s="30"/>
      <x:c r="L153" s="30"/>
      <x:c r="M153" s="30"/>
      <x:c r="N153" s="30"/>
      <x:c r="Y153" s="30"/>
      <x:c r="Z153" s="30"/>
      <x:c r="AA153" s="30"/>
      <x:c r="AB153" s="30"/>
    </x:row>
    <x:row r="154">
      <x:c r="B154" s="28"/>
      <x:c r="I154" t="str">
        <x:f>IF(OR(G154="",H154=""),"",G154+H154)</x:f>
      </x:c>
      <x:c r="J154" t="str">
        <x:f>IF(I154="","",IF(I154&gt;2.5,"OVER","UNDER"))</x:f>
      </x:c>
      <x:c r="K154" s="30"/>
      <x:c r="L154" s="30"/>
      <x:c r="M154" s="30"/>
      <x:c r="N154" s="30"/>
      <x:c r="Y154" s="30"/>
      <x:c r="Z154" s="30"/>
      <x:c r="AA154" s="30"/>
      <x:c r="AB154" s="30"/>
    </x:row>
    <x:row r="155">
      <x:c r="B155" s="28"/>
      <x:c r="I155" t="str">
        <x:f>IF(OR(G155="",H155=""),"",G155+H155)</x:f>
      </x:c>
      <x:c r="J155" t="str">
        <x:f>IF(I155="","",IF(I155&gt;2.5,"OVER","UNDER"))</x:f>
      </x:c>
      <x:c r="K155" s="30"/>
      <x:c r="L155" s="30"/>
      <x:c r="M155" s="30"/>
      <x:c r="N155" s="30"/>
      <x:c r="Y155" s="30"/>
      <x:c r="Z155" s="30"/>
      <x:c r="AA155" s="30"/>
      <x:c r="AB155" s="30"/>
    </x:row>
    <x:row r="156">
      <x:c r="B156" s="28"/>
      <x:c r="I156" t="str">
        <x:f>IF(OR(G156="",H156=""),"",G156+H156)</x:f>
      </x:c>
      <x:c r="J156" t="str">
        <x:f>IF(I156="","",IF(I156&gt;2.5,"OVER","UNDER"))</x:f>
      </x:c>
      <x:c r="K156" s="30"/>
      <x:c r="L156" s="30"/>
      <x:c r="M156" s="30"/>
      <x:c r="N156" s="30"/>
      <x:c r="Y156" s="30"/>
      <x:c r="Z156" s="30"/>
      <x:c r="AA156" s="30"/>
      <x:c r="AB156" s="30"/>
    </x:row>
    <x:row r="157">
      <x:c r="B157" s="28"/>
      <x:c r="I157" t="str">
        <x:f>IF(OR(G157="",H157=""),"",G157+H157)</x:f>
      </x:c>
      <x:c r="J157" t="str">
        <x:f>IF(I157="","",IF(I157&gt;2.5,"OVER","UNDER"))</x:f>
      </x:c>
      <x:c r="K157" s="30"/>
      <x:c r="L157" s="30"/>
      <x:c r="M157" s="30"/>
      <x:c r="N157" s="30"/>
      <x:c r="Y157" s="30"/>
      <x:c r="Z157" s="30"/>
      <x:c r="AA157" s="30"/>
      <x:c r="AB157" s="30"/>
    </x:row>
    <x:row r="158">
      <x:c r="B158" s="28"/>
      <x:c r="I158" t="str">
        <x:f>IF(OR(G158="",H158=""),"",G158+H158)</x:f>
      </x:c>
      <x:c r="J158" t="str">
        <x:f>IF(I158="","",IF(I158&gt;2.5,"OVER","UNDER"))</x:f>
      </x:c>
      <x:c r="K158" s="30"/>
      <x:c r="L158" s="30"/>
      <x:c r="M158" s="30"/>
      <x:c r="N158" s="30"/>
      <x:c r="Y158" s="30"/>
      <x:c r="Z158" s="30"/>
      <x:c r="AA158" s="30"/>
      <x:c r="AB158" s="30"/>
    </x:row>
    <x:row r="159">
      <x:c r="B159" s="28"/>
      <x:c r="I159" t="str">
        <x:f>IF(OR(G159="",H159=""),"",G159+H159)</x:f>
      </x:c>
      <x:c r="J159" t="str">
        <x:f>IF(I159="","",IF(I159&gt;2.5,"OVER","UNDER"))</x:f>
      </x:c>
      <x:c r="K159" s="30"/>
      <x:c r="L159" s="30"/>
      <x:c r="M159" s="30"/>
      <x:c r="N159" s="30"/>
      <x:c r="Y159" s="30"/>
      <x:c r="Z159" s="30"/>
      <x:c r="AA159" s="30"/>
      <x:c r="AB159" s="30"/>
    </x:row>
    <x:row r="160">
      <x:c r="B160" s="28"/>
      <x:c r="I160" t="str">
        <x:f>IF(OR(G160="",H160=""),"",G160+H160)</x:f>
      </x:c>
      <x:c r="J160" t="str">
        <x:f>IF(I160="","",IF(I160&gt;2.5,"OVER","UNDER"))</x:f>
      </x:c>
      <x:c r="K160" s="30"/>
      <x:c r="L160" s="30"/>
      <x:c r="M160" s="30"/>
      <x:c r="N160" s="30"/>
      <x:c r="Y160" s="30"/>
      <x:c r="Z160" s="30"/>
      <x:c r="AA160" s="30"/>
      <x:c r="AB160" s="30"/>
    </x:row>
    <x:row r="161">
      <x:c r="B161" s="28"/>
      <x:c r="I161" t="str">
        <x:f>IF(OR(G161="",H161=""),"",G161+H161)</x:f>
      </x:c>
      <x:c r="J161" t="str">
        <x:f>IF(I161="","",IF(I161&gt;2.5,"OVER","UNDER"))</x:f>
      </x:c>
      <x:c r="K161" s="30"/>
      <x:c r="L161" s="30"/>
      <x:c r="M161" s="30"/>
      <x:c r="N161" s="30"/>
      <x:c r="Y161" s="30"/>
      <x:c r="Z161" s="30"/>
      <x:c r="AA161" s="30"/>
      <x:c r="AB161" s="30"/>
    </x:row>
    <x:row r="162">
      <x:c r="B162" s="28"/>
      <x:c r="I162" t="str">
        <x:f>IF(OR(G162="",H162=""),"",G162+H162)</x:f>
      </x:c>
      <x:c r="J162" t="str">
        <x:f>IF(I162="","",IF(I162&gt;2.5,"OVER","UNDER"))</x:f>
      </x:c>
      <x:c r="K162" s="30"/>
      <x:c r="L162" s="30"/>
      <x:c r="M162" s="30"/>
      <x:c r="N162" s="30"/>
      <x:c r="Y162" s="30"/>
      <x:c r="Z162" s="30"/>
      <x:c r="AA162" s="30"/>
      <x:c r="AB162" s="30"/>
    </x:row>
    <x:row r="163">
      <x:c r="B163" s="28"/>
      <x:c r="I163" t="str">
        <x:f>IF(OR(G163="",H163=""),"",G163+H163)</x:f>
      </x:c>
      <x:c r="J163" t="str">
        <x:f>IF(I163="","",IF(I163&gt;2.5,"OVER","UNDER"))</x:f>
      </x:c>
      <x:c r="K163" s="30"/>
      <x:c r="L163" s="30"/>
      <x:c r="M163" s="30"/>
      <x:c r="N163" s="30"/>
      <x:c r="Y163" s="30"/>
      <x:c r="Z163" s="30"/>
      <x:c r="AA163" s="30"/>
      <x:c r="AB163" s="30"/>
    </x:row>
    <x:row r="164">
      <x:c r="B164" s="28"/>
      <x:c r="I164" t="str">
        <x:f>IF(OR(G164="",H164=""),"",G164+H164)</x:f>
      </x:c>
      <x:c r="J164" t="str">
        <x:f>IF(I164="","",IF(I164&gt;2.5,"OVER","UNDER"))</x:f>
      </x:c>
      <x:c r="K164" s="30"/>
      <x:c r="L164" s="30"/>
      <x:c r="M164" s="30"/>
      <x:c r="N164" s="30"/>
      <x:c r="Y164" s="30"/>
      <x:c r="Z164" s="30"/>
      <x:c r="AA164" s="30"/>
      <x:c r="AB164" s="30"/>
    </x:row>
    <x:row r="165">
      <x:c r="B165" s="28"/>
      <x:c r="I165" t="str">
        <x:f>IF(OR(G165="",H165=""),"",G165+H165)</x:f>
      </x:c>
      <x:c r="J165" t="str">
        <x:f>IF(I165="","",IF(I165&gt;2.5,"OVER","UNDER"))</x:f>
      </x:c>
      <x:c r="K165" s="30"/>
      <x:c r="L165" s="30"/>
      <x:c r="M165" s="30"/>
      <x:c r="N165" s="30"/>
      <x:c r="Y165" s="30"/>
      <x:c r="Z165" s="30"/>
      <x:c r="AA165" s="30"/>
      <x:c r="AB165" s="30"/>
    </x:row>
    <x:row r="166">
      <x:c r="B166" s="28"/>
      <x:c r="I166" t="str">
        <x:f>IF(OR(G166="",H166=""),"",G166+H166)</x:f>
      </x:c>
      <x:c r="J166" t="str">
        <x:f>IF(I166="","",IF(I166&gt;2.5,"OVER","UNDER"))</x:f>
      </x:c>
      <x:c r="K166" s="30"/>
      <x:c r="L166" s="30"/>
      <x:c r="M166" s="30"/>
      <x:c r="N166" s="30"/>
      <x:c r="Y166" s="30"/>
      <x:c r="Z166" s="30"/>
      <x:c r="AA166" s="30"/>
      <x:c r="AB166" s="30"/>
    </x:row>
    <x:row r="167">
      <x:c r="B167" s="28"/>
      <x:c r="I167" t="str">
        <x:f>IF(OR(G167="",H167=""),"",G167+H167)</x:f>
      </x:c>
      <x:c r="J167" t="str">
        <x:f>IF(I167="","",IF(I167&gt;2.5,"OVER","UNDER"))</x:f>
      </x:c>
      <x:c r="K167" s="30"/>
      <x:c r="L167" s="30"/>
      <x:c r="M167" s="30"/>
      <x:c r="N167" s="30"/>
      <x:c r="Y167" s="30"/>
      <x:c r="Z167" s="30"/>
      <x:c r="AA167" s="30"/>
      <x:c r="AB167" s="30"/>
    </x:row>
    <x:row r="168">
      <x:c r="B168" s="28"/>
      <x:c r="I168" t="str">
        <x:f>IF(OR(G168="",H168=""),"",G168+H168)</x:f>
      </x:c>
      <x:c r="J168" t="str">
        <x:f>IF(I168="","",IF(I168&gt;2.5,"OVER","UNDER"))</x:f>
      </x:c>
      <x:c r="K168" s="30"/>
      <x:c r="L168" s="30"/>
      <x:c r="M168" s="30"/>
      <x:c r="N168" s="30"/>
      <x:c r="Y168" s="30"/>
      <x:c r="Z168" s="30"/>
      <x:c r="AA168" s="30"/>
      <x:c r="AB168" s="30"/>
    </x:row>
    <x:row r="169">
      <x:c r="B169" s="28"/>
      <x:c r="I169" t="str">
        <x:f>IF(OR(G169="",H169=""),"",G169+H169)</x:f>
      </x:c>
      <x:c r="J169" t="str">
        <x:f>IF(I169="","",IF(I169&gt;2.5,"OVER","UNDER"))</x:f>
      </x:c>
      <x:c r="K169" s="30"/>
      <x:c r="L169" s="30"/>
      <x:c r="M169" s="30"/>
      <x:c r="N169" s="30"/>
      <x:c r="Y169" s="30"/>
      <x:c r="Z169" s="30"/>
      <x:c r="AA169" s="30"/>
      <x:c r="AB169" s="30"/>
    </x:row>
    <x:row r="170">
      <x:c r="B170" s="28"/>
      <x:c r="I170" t="str">
        <x:f>IF(OR(G170="",H170=""),"",G170+H170)</x:f>
      </x:c>
      <x:c r="J170" t="str">
        <x:f>IF(I170="","",IF(I170&gt;2.5,"OVER","UNDER"))</x:f>
      </x:c>
      <x:c r="K170" s="30"/>
      <x:c r="L170" s="30"/>
      <x:c r="M170" s="30"/>
      <x:c r="N170" s="30"/>
      <x:c r="Y170" s="30"/>
      <x:c r="Z170" s="30"/>
      <x:c r="AA170" s="30"/>
      <x:c r="AB170" s="30"/>
    </x:row>
    <x:row r="171">
      <x:c r="B171" s="28"/>
      <x:c r="I171" t="str">
        <x:f>IF(OR(G171="",H171=""),"",G171+H171)</x:f>
      </x:c>
      <x:c r="J171" t="str">
        <x:f>IF(I171="","",IF(I171&gt;2.5,"OVER","UNDER"))</x:f>
      </x:c>
      <x:c r="K171" s="30"/>
      <x:c r="L171" s="30"/>
      <x:c r="M171" s="30"/>
      <x:c r="N171" s="30"/>
      <x:c r="Y171" s="30"/>
      <x:c r="Z171" s="30"/>
      <x:c r="AA171" s="30"/>
      <x:c r="AB171" s="30"/>
    </x:row>
    <x:row r="172">
      <x:c r="B172" s="28"/>
      <x:c r="I172" t="str">
        <x:f>IF(OR(G172="",H172=""),"",G172+H172)</x:f>
      </x:c>
      <x:c r="J172" t="str">
        <x:f>IF(I172="","",IF(I172&gt;2.5,"OVER","UNDER"))</x:f>
      </x:c>
      <x:c r="K172" s="30"/>
      <x:c r="L172" s="30"/>
      <x:c r="M172" s="30"/>
      <x:c r="N172" s="30"/>
      <x:c r="Y172" s="30"/>
      <x:c r="Z172" s="30"/>
      <x:c r="AA172" s="30"/>
      <x:c r="AB172" s="30"/>
    </x:row>
    <x:row r="173">
      <x:c r="B173" s="28"/>
      <x:c r="I173" t="str">
        <x:f>IF(OR(G173="",H173=""),"",G173+H173)</x:f>
      </x:c>
      <x:c r="J173" t="str">
        <x:f>IF(I173="","",IF(I173&gt;2.5,"OVER","UNDER"))</x:f>
      </x:c>
      <x:c r="K173" s="30"/>
      <x:c r="L173" s="30"/>
      <x:c r="M173" s="30"/>
      <x:c r="N173" s="30"/>
      <x:c r="Y173" s="30"/>
      <x:c r="Z173" s="30"/>
      <x:c r="AA173" s="30"/>
      <x:c r="AB173" s="30"/>
    </x:row>
    <x:row r="174">
      <x:c r="B174" s="28"/>
      <x:c r="I174" t="str">
        <x:f>IF(OR(G174="",H174=""),"",G174+H174)</x:f>
      </x:c>
      <x:c r="J174" t="str">
        <x:f>IF(I174="","",IF(I174&gt;2.5,"OVER","UNDER"))</x:f>
      </x:c>
      <x:c r="K174" s="30"/>
      <x:c r="L174" s="30"/>
      <x:c r="M174" s="30"/>
      <x:c r="N174" s="30"/>
      <x:c r="Y174" s="30"/>
      <x:c r="Z174" s="30"/>
      <x:c r="AA174" s="30"/>
      <x:c r="AB174" s="30"/>
    </x:row>
    <x:row r="175">
      <x:c r="B175" s="28"/>
      <x:c r="I175" t="str">
        <x:f>IF(OR(G175="",H175=""),"",G175+H175)</x:f>
      </x:c>
      <x:c r="J175" t="str">
        <x:f>IF(I175="","",IF(I175&gt;2.5,"OVER","UNDER"))</x:f>
      </x:c>
      <x:c r="K175" s="30"/>
      <x:c r="L175" s="30"/>
      <x:c r="M175" s="30"/>
      <x:c r="N175" s="30"/>
      <x:c r="Y175" s="30"/>
      <x:c r="Z175" s="30"/>
      <x:c r="AA175" s="30"/>
      <x:c r="AB175" s="30"/>
    </x:row>
    <x:row r="176">
      <x:c r="B176" s="28"/>
      <x:c r="I176" t="str">
        <x:f>IF(OR(G176="",H176=""),"",G176+H176)</x:f>
      </x:c>
      <x:c r="J176" t="str">
        <x:f>IF(I176="","",IF(I176&gt;2.5,"OVER","UNDER"))</x:f>
      </x:c>
      <x:c r="K176" s="30"/>
      <x:c r="L176" s="30"/>
      <x:c r="M176" s="30"/>
      <x:c r="N176" s="30"/>
      <x:c r="Y176" s="30"/>
      <x:c r="Z176" s="30"/>
      <x:c r="AA176" s="30"/>
      <x:c r="AB176" s="30"/>
    </x:row>
    <x:row r="177">
      <x:c r="B177" s="28"/>
      <x:c r="I177" t="str">
        <x:f>IF(OR(G177="",H177=""),"",G177+H177)</x:f>
      </x:c>
      <x:c r="J177" t="str">
        <x:f>IF(I177="","",IF(I177&gt;2.5,"OVER","UNDER"))</x:f>
      </x:c>
      <x:c r="K177" s="30"/>
      <x:c r="L177" s="30"/>
      <x:c r="M177" s="30"/>
      <x:c r="N177" s="30"/>
      <x:c r="Y177" s="30"/>
      <x:c r="Z177" s="30"/>
      <x:c r="AA177" s="30"/>
      <x:c r="AB177" s="30"/>
    </x:row>
    <x:row r="178">
      <x:c r="B178" s="28"/>
      <x:c r="I178" t="str">
        <x:f>IF(OR(G178="",H178=""),"",G178+H178)</x:f>
      </x:c>
      <x:c r="J178" t="str">
        <x:f>IF(I178="","",IF(I178&gt;2.5,"OVER","UNDER"))</x:f>
      </x:c>
      <x:c r="K178" s="30"/>
      <x:c r="L178" s="30"/>
      <x:c r="M178" s="30"/>
      <x:c r="N178" s="30"/>
      <x:c r="Y178" s="30"/>
      <x:c r="Z178" s="30"/>
      <x:c r="AA178" s="30"/>
      <x:c r="AB178" s="30"/>
    </x:row>
    <x:row r="179">
      <x:c r="B179" s="28"/>
      <x:c r="I179" t="str">
        <x:f>IF(OR(G179="",H179=""),"",G179+H179)</x:f>
      </x:c>
      <x:c r="J179" t="str">
        <x:f>IF(I179="","",IF(I179&gt;2.5,"OVER","UNDER"))</x:f>
      </x:c>
      <x:c r="K179" s="30"/>
      <x:c r="L179" s="30"/>
      <x:c r="M179" s="30"/>
      <x:c r="N179" s="30"/>
      <x:c r="Y179" s="30"/>
      <x:c r="Z179" s="30"/>
      <x:c r="AA179" s="30"/>
      <x:c r="AB179" s="30"/>
    </x:row>
    <x:row r="180">
      <x:c r="B180" s="28"/>
      <x:c r="I180" t="str">
        <x:f>IF(OR(G180="",H180=""),"",G180+H180)</x:f>
      </x:c>
      <x:c r="J180" t="str">
        <x:f>IF(I180="","",IF(I180&gt;2.5,"OVER","UNDER"))</x:f>
      </x:c>
      <x:c r="K180" s="30"/>
      <x:c r="L180" s="30"/>
      <x:c r="M180" s="30"/>
      <x:c r="N180" s="30"/>
      <x:c r="Y180" s="30"/>
      <x:c r="Z180" s="30"/>
      <x:c r="AA180" s="30"/>
      <x:c r="AB180" s="30"/>
    </x:row>
    <x:row r="181">
      <x:c r="B181" s="28"/>
      <x:c r="I181" t="str">
        <x:f>IF(OR(G181="",H181=""),"",G181+H181)</x:f>
      </x:c>
      <x:c r="J181" t="str">
        <x:f>IF(I181="","",IF(I181&gt;2.5,"OVER","UNDER"))</x:f>
      </x:c>
      <x:c r="K181" s="30"/>
      <x:c r="L181" s="30"/>
      <x:c r="M181" s="30"/>
      <x:c r="N181" s="30"/>
      <x:c r="Y181" s="30"/>
      <x:c r="Z181" s="30"/>
      <x:c r="AA181" s="30"/>
      <x:c r="AB181" s="30"/>
    </x:row>
    <x:row r="182">
      <x:c r="B182" s="28"/>
      <x:c r="I182" t="str">
        <x:f>IF(OR(G182="",H182=""),"",G182+H182)</x:f>
      </x:c>
      <x:c r="J182" t="str">
        <x:f>IF(I182="","",IF(I182&gt;2.5,"OVER","UNDER"))</x:f>
      </x:c>
      <x:c r="K182" s="30"/>
      <x:c r="L182" s="30"/>
      <x:c r="M182" s="30"/>
      <x:c r="N182" s="30"/>
      <x:c r="Y182" s="30"/>
      <x:c r="Z182" s="30"/>
      <x:c r="AA182" s="30"/>
      <x:c r="AB182" s="30"/>
    </x:row>
    <x:row r="183">
      <x:c r="B183" s="28"/>
      <x:c r="I183" t="str">
        <x:f>IF(OR(G183="",H183=""),"",G183+H183)</x:f>
      </x:c>
      <x:c r="J183" t="str">
        <x:f>IF(I183="","",IF(I183&gt;2.5,"OVER","UNDER"))</x:f>
      </x:c>
      <x:c r="K183" s="30"/>
      <x:c r="L183" s="30"/>
      <x:c r="M183" s="30"/>
      <x:c r="N183" s="30"/>
      <x:c r="Y183" s="30"/>
      <x:c r="Z183" s="30"/>
      <x:c r="AA183" s="30"/>
      <x:c r="AB183" s="30"/>
    </x:row>
    <x:row r="184">
      <x:c r="B184" s="28"/>
      <x:c r="I184" t="str">
        <x:f>IF(OR(G184="",H184=""),"",G184+H184)</x:f>
      </x:c>
      <x:c r="J184" t="str">
        <x:f>IF(I184="","",IF(I184&gt;2.5,"OVER","UNDER"))</x:f>
      </x:c>
      <x:c r="K184" s="30"/>
      <x:c r="L184" s="30"/>
      <x:c r="M184" s="30"/>
      <x:c r="N184" s="30"/>
      <x:c r="Y184" s="30"/>
      <x:c r="Z184" s="30"/>
      <x:c r="AA184" s="30"/>
      <x:c r="AB184" s="30"/>
    </x:row>
    <x:row r="185">
      <x:c r="B185" s="28"/>
      <x:c r="I185" t="str">
        <x:f>IF(OR(G185="",H185=""),"",G185+H185)</x:f>
      </x:c>
      <x:c r="J185" t="str">
        <x:f>IF(I185="","",IF(I185&gt;2.5,"OVER","UNDER"))</x:f>
      </x:c>
      <x:c r="K185" s="30"/>
      <x:c r="L185" s="30"/>
      <x:c r="M185" s="30"/>
      <x:c r="N185" s="30"/>
      <x:c r="Y185" s="30"/>
      <x:c r="Z185" s="30"/>
      <x:c r="AA185" s="30"/>
      <x:c r="AB185" s="30"/>
    </x:row>
    <x:row r="186">
      <x:c r="B186" s="28"/>
      <x:c r="I186" t="str">
        <x:f>IF(OR(G186="",H186=""),"",G186+H186)</x:f>
      </x:c>
      <x:c r="J186" t="str">
        <x:f>IF(I186="","",IF(I186&gt;2.5,"OVER","UNDER"))</x:f>
      </x:c>
      <x:c r="K186" s="30"/>
      <x:c r="L186" s="30"/>
      <x:c r="M186" s="30"/>
      <x:c r="N186" s="30"/>
      <x:c r="Y186" s="30"/>
      <x:c r="Z186" s="30"/>
      <x:c r="AA186" s="30"/>
      <x:c r="AB186" s="30"/>
    </x:row>
    <x:row r="187">
      <x:c r="B187" s="28"/>
      <x:c r="I187" t="str">
        <x:f>IF(OR(G187="",H187=""),"",G187+H187)</x:f>
      </x:c>
      <x:c r="J187" t="str">
        <x:f>IF(I187="","",IF(I187&gt;2.5,"OVER","UNDER"))</x:f>
      </x:c>
      <x:c r="K187" s="30"/>
      <x:c r="L187" s="30"/>
      <x:c r="M187" s="30"/>
      <x:c r="N187" s="30"/>
      <x:c r="Y187" s="30"/>
      <x:c r="Z187" s="30"/>
      <x:c r="AA187" s="30"/>
      <x:c r="AB187" s="30"/>
    </x:row>
    <x:row r="188">
      <x:c r="B188" s="28"/>
      <x:c r="I188" t="str">
        <x:f>IF(OR(G188="",H188=""),"",G188+H188)</x:f>
      </x:c>
      <x:c r="J188" t="str">
        <x:f>IF(I188="","",IF(I188&gt;2.5,"OVER","UNDER"))</x:f>
      </x:c>
      <x:c r="K188" s="30"/>
      <x:c r="L188" s="30"/>
      <x:c r="M188" s="30"/>
      <x:c r="N188" s="30"/>
      <x:c r="Y188" s="30"/>
      <x:c r="Z188" s="30"/>
      <x:c r="AA188" s="30"/>
      <x:c r="AB188" s="30"/>
    </x:row>
    <x:row r="189">
      <x:c r="B189" s="28"/>
      <x:c r="I189" t="str">
        <x:f>IF(OR(G189="",H189=""),"",G189+H189)</x:f>
      </x:c>
      <x:c r="J189" t="str">
        <x:f>IF(I189="","",IF(I189&gt;2.5,"OVER","UNDER"))</x:f>
      </x:c>
      <x:c r="K189" s="30"/>
      <x:c r="L189" s="30"/>
      <x:c r="M189" s="30"/>
      <x:c r="N189" s="30"/>
      <x:c r="Y189" s="30"/>
      <x:c r="Z189" s="30"/>
      <x:c r="AA189" s="30"/>
      <x:c r="AB189" s="30"/>
    </x:row>
    <x:row r="190">
      <x:c r="B190" s="28"/>
      <x:c r="I190" t="str">
        <x:f>IF(OR(G190="",H190=""),"",G190+H190)</x:f>
      </x:c>
      <x:c r="J190" t="str">
        <x:f>IF(I190="","",IF(I190&gt;2.5,"OVER","UNDER"))</x:f>
      </x:c>
      <x:c r="K190" s="30"/>
      <x:c r="L190" s="30"/>
      <x:c r="M190" s="30"/>
      <x:c r="N190" s="30"/>
      <x:c r="Y190" s="30"/>
      <x:c r="Z190" s="30"/>
      <x:c r="AA190" s="30"/>
      <x:c r="AB190" s="30"/>
    </x:row>
    <x:row r="191">
      <x:c r="B191" s="28"/>
      <x:c r="I191" t="str">
        <x:f>IF(OR(G191="",H191=""),"",G191+H191)</x:f>
      </x:c>
      <x:c r="J191" t="str">
        <x:f>IF(I191="","",IF(I191&gt;2.5,"OVER","UNDER"))</x:f>
      </x:c>
      <x:c r="K191" s="30"/>
      <x:c r="L191" s="30"/>
      <x:c r="M191" s="30"/>
      <x:c r="N191" s="30"/>
      <x:c r="Y191" s="30"/>
      <x:c r="Z191" s="30"/>
      <x:c r="AA191" s="30"/>
      <x:c r="AB191" s="30"/>
    </x:row>
    <x:row r="192">
      <x:c r="B192" s="28"/>
      <x:c r="I192" t="str">
        <x:f>IF(OR(G192="",H192=""),"",G192+H192)</x:f>
      </x:c>
      <x:c r="J192" t="str">
        <x:f>IF(I192="","",IF(I192&gt;2.5,"OVER","UNDER"))</x:f>
      </x:c>
      <x:c r="K192" s="30"/>
      <x:c r="L192" s="30"/>
      <x:c r="M192" s="30"/>
      <x:c r="N192" s="30"/>
      <x:c r="Y192" s="30"/>
      <x:c r="Z192" s="30"/>
      <x:c r="AA192" s="30"/>
      <x:c r="AB192" s="30"/>
    </x:row>
    <x:row r="193">
      <x:c r="B193" s="28"/>
      <x:c r="I193" t="str">
        <x:f>IF(OR(G193="",H193=""),"",G193+H193)</x:f>
      </x:c>
      <x:c r="J193" t="str">
        <x:f>IF(I193="","",IF(I193&gt;2.5,"OVER","UNDER"))</x:f>
      </x:c>
      <x:c r="K193" s="30"/>
      <x:c r="L193" s="30"/>
      <x:c r="M193" s="30"/>
      <x:c r="N193" s="30"/>
      <x:c r="Y193" s="30"/>
      <x:c r="Z193" s="30"/>
      <x:c r="AA193" s="30"/>
      <x:c r="AB193" s="30"/>
    </x:row>
    <x:row r="194">
      <x:c r="B194" s="28"/>
      <x:c r="I194" t="str">
        <x:f>IF(OR(G194="",H194=""),"",G194+H194)</x:f>
      </x:c>
      <x:c r="J194" t="str">
        <x:f>IF(I194="","",IF(I194&gt;2.5,"OVER","UNDER"))</x:f>
      </x:c>
      <x:c r="K194" s="30"/>
      <x:c r="L194" s="30"/>
      <x:c r="M194" s="30"/>
      <x:c r="N194" s="30"/>
      <x:c r="Y194" s="30"/>
      <x:c r="Z194" s="30"/>
      <x:c r="AA194" s="30"/>
      <x:c r="AB194" s="30"/>
    </x:row>
    <x:row r="195">
      <x:c r="B195" s="28"/>
      <x:c r="I195" t="str">
        <x:f>IF(OR(G195="",H195=""),"",G195+H195)</x:f>
      </x:c>
      <x:c r="J195" t="str">
        <x:f>IF(I195="","",IF(I195&gt;2.5,"OVER","UNDER"))</x:f>
      </x:c>
      <x:c r="K195" s="30"/>
      <x:c r="L195" s="30"/>
      <x:c r="M195" s="30"/>
      <x:c r="N195" s="30"/>
      <x:c r="Y195" s="30"/>
      <x:c r="Z195" s="30"/>
      <x:c r="AA195" s="30"/>
      <x:c r="AB195" s="30"/>
    </x:row>
    <x:row r="196">
      <x:c r="B196" s="28"/>
      <x:c r="I196" t="str">
        <x:f>IF(OR(G196="",H196=""),"",G196+H196)</x:f>
      </x:c>
      <x:c r="J196" t="str">
        <x:f>IF(I196="","",IF(I196&gt;2.5,"OVER","UNDER"))</x:f>
      </x:c>
      <x:c r="K196" s="30"/>
      <x:c r="L196" s="30"/>
      <x:c r="M196" s="30"/>
      <x:c r="N196" s="30"/>
      <x:c r="Y196" s="30"/>
      <x:c r="Z196" s="30"/>
      <x:c r="AA196" s="30"/>
      <x:c r="AB196" s="30"/>
    </x:row>
    <x:row r="197">
      <x:c r="B197" s="28"/>
      <x:c r="I197" t="str">
        <x:f>IF(OR(G197="",H197=""),"",G197+H197)</x:f>
      </x:c>
      <x:c r="J197" t="str">
        <x:f>IF(I197="","",IF(I197&gt;2.5,"OVER","UNDER"))</x:f>
      </x:c>
      <x:c r="K197" s="30"/>
      <x:c r="L197" s="30"/>
      <x:c r="M197" s="30"/>
      <x:c r="N197" s="30"/>
      <x:c r="Y197" s="30"/>
      <x:c r="Z197" s="30"/>
      <x:c r="AA197" s="30"/>
      <x:c r="AB197" s="30"/>
    </x:row>
    <x:row r="198">
      <x:c r="B198" s="28"/>
      <x:c r="I198" t="str">
        <x:f>IF(OR(G198="",H198=""),"",G198+H198)</x:f>
      </x:c>
      <x:c r="J198" t="str">
        <x:f>IF(I198="","",IF(I198&gt;2.5,"OVER","UNDER"))</x:f>
      </x:c>
      <x:c r="K198" s="30"/>
      <x:c r="L198" s="30"/>
      <x:c r="M198" s="30"/>
      <x:c r="N198" s="30"/>
      <x:c r="Y198" s="30"/>
      <x:c r="Z198" s="30"/>
      <x:c r="AA198" s="30"/>
      <x:c r="AB198" s="30"/>
    </x:row>
    <x:row r="199">
      <x:c r="B199" s="28"/>
      <x:c r="I199" t="str">
        <x:f>IF(OR(G199="",H199=""),"",G199+H199)</x:f>
      </x:c>
      <x:c r="J199" t="str">
        <x:f>IF(I199="","",IF(I199&gt;2.5,"OVER","UNDER"))</x:f>
      </x:c>
      <x:c r="K199" s="30"/>
      <x:c r="L199" s="30"/>
      <x:c r="M199" s="30"/>
      <x:c r="N199" s="30"/>
      <x:c r="Y199" s="30"/>
      <x:c r="Z199" s="30"/>
      <x:c r="AA199" s="30"/>
      <x:c r="AB199" s="30"/>
    </x:row>
    <x:row r="200">
      <x:c r="B200" s="28"/>
      <x:c r="I200" t="str">
        <x:f>IF(OR(G200="",H200=""),"",G200+H200)</x:f>
      </x:c>
      <x:c r="J200" t="str">
        <x:f>IF(I200="","",IF(I200&gt;2.5,"OVER","UNDER"))</x:f>
      </x:c>
      <x:c r="K200" s="30"/>
      <x:c r="L200" s="30"/>
      <x:c r="M200" s="30"/>
      <x:c r="N200" s="30"/>
      <x:c r="Y200" s="30"/>
      <x:c r="Z200" s="30"/>
      <x:c r="AA200" s="30"/>
      <x:c r="AB200" s="30"/>
    </x:row>
    <x:row r="201">
      <x:c r="B201" s="28"/>
      <x:c r="I201" t="str">
        <x:f>IF(OR(G201="",H201=""),"",G201+H201)</x:f>
      </x:c>
      <x:c r="J201" t="str">
        <x:f>IF(I201="","",IF(I201&gt;2.5,"OVER","UNDER"))</x:f>
      </x:c>
      <x:c r="K201" s="30"/>
      <x:c r="L201" s="30"/>
      <x:c r="M201" s="30"/>
      <x:c r="N201" s="30"/>
      <x:c r="Y201" s="30"/>
      <x:c r="Z201" s="30"/>
      <x:c r="AA201" s="30"/>
      <x:c r="AB201" s="30"/>
    </x:row>
    <x:row r="202">
      <x:c r="B202" s="28"/>
      <x:c r="I202" t="str">
        <x:f>IF(OR(G202="",H202=""),"",G202+H202)</x:f>
      </x:c>
      <x:c r="J202" t="str">
        <x:f>IF(I202="","",IF(I202&gt;2.5,"OVER","UNDER"))</x:f>
      </x:c>
      <x:c r="K202" s="30"/>
      <x:c r="L202" s="30"/>
      <x:c r="M202" s="30"/>
      <x:c r="N202" s="30"/>
      <x:c r="Y202" s="30"/>
      <x:c r="Z202" s="30"/>
      <x:c r="AA202" s="30"/>
      <x:c r="AB202" s="30"/>
    </x:row>
    <x:row r="203">
      <x:c r="B203" s="28"/>
      <x:c r="I203" t="str">
        <x:f>IF(OR(G203="",H203=""),"",G203+H203)</x:f>
      </x:c>
      <x:c r="J203" t="str">
        <x:f>IF(I203="","",IF(I203&gt;2.5,"OVER","UNDER"))</x:f>
      </x:c>
      <x:c r="K203" s="30"/>
      <x:c r="L203" s="30"/>
      <x:c r="M203" s="30"/>
      <x:c r="N203" s="30"/>
      <x:c r="Y203" s="30"/>
      <x:c r="Z203" s="30"/>
      <x:c r="AA203" s="30"/>
      <x:c r="AB203" s="30"/>
    </x:row>
    <x:row r="204">
      <x:c r="B204" s="28"/>
      <x:c r="I204" t="str">
        <x:f>IF(OR(G204="",H204=""),"",G204+H204)</x:f>
      </x:c>
      <x:c r="J204" t="str">
        <x:f>IF(I204="","",IF(I204&gt;2.5,"OVER","UNDER"))</x:f>
      </x:c>
      <x:c r="K204" s="30"/>
      <x:c r="L204" s="30"/>
      <x:c r="M204" s="30"/>
      <x:c r="N204" s="30"/>
      <x:c r="Y204" s="30"/>
      <x:c r="Z204" s="30"/>
      <x:c r="AA204" s="30"/>
      <x:c r="AB204" s="30"/>
    </x:row>
    <x:row r="205">
      <x:c r="B205" s="28"/>
      <x:c r="I205" t="str">
        <x:f>IF(OR(G205="",H205=""),"",G205+H205)</x:f>
      </x:c>
      <x:c r="J205" t="str">
        <x:f>IF(I205="","",IF(I205&gt;2.5,"OVER","UNDER"))</x:f>
      </x:c>
      <x:c r="K205" s="30"/>
      <x:c r="L205" s="30"/>
      <x:c r="M205" s="30"/>
      <x:c r="N205" s="30"/>
      <x:c r="Y205" s="30"/>
      <x:c r="Z205" s="30"/>
      <x:c r="AA205" s="30"/>
      <x:c r="AB205" s="30"/>
    </x:row>
    <x:row r="206">
      <x:c r="B206" s="28"/>
      <x:c r="I206" t="str">
        <x:f>IF(OR(G206="",H206=""),"",G206+H206)</x:f>
      </x:c>
      <x:c r="J206" t="str">
        <x:f>IF(I206="","",IF(I206&gt;2.5,"OVER","UNDER"))</x:f>
      </x:c>
      <x:c r="K206" s="30"/>
      <x:c r="L206" s="30"/>
      <x:c r="M206" s="30"/>
      <x:c r="N206" s="30"/>
      <x:c r="Y206" s="30"/>
      <x:c r="Z206" s="30"/>
      <x:c r="AA206" s="30"/>
      <x:c r="AB206" s="30"/>
    </x:row>
    <x:row r="207">
      <x:c r="B207" s="28"/>
      <x:c r="I207" t="str">
        <x:f>IF(OR(G207="",H207=""),"",G207+H207)</x:f>
      </x:c>
      <x:c r="J207" t="str">
        <x:f>IF(I207="","",IF(I207&gt;2.5,"OVER","UNDER"))</x:f>
      </x:c>
      <x:c r="K207" s="30"/>
      <x:c r="L207" s="30"/>
      <x:c r="M207" s="30"/>
      <x:c r="N207" s="30"/>
      <x:c r="Y207" s="30"/>
      <x:c r="Z207" s="30"/>
      <x:c r="AA207" s="30"/>
      <x:c r="AB207" s="30"/>
    </x:row>
    <x:row r="208">
      <x:c r="B208" s="28"/>
      <x:c r="I208" t="str">
        <x:f>IF(OR(G208="",H208=""),"",G208+H208)</x:f>
      </x:c>
      <x:c r="J208" t="str">
        <x:f>IF(I208="","",IF(I208&gt;2.5,"OVER","UNDER"))</x:f>
      </x:c>
      <x:c r="K208" s="30"/>
      <x:c r="L208" s="30"/>
      <x:c r="M208" s="30"/>
      <x:c r="N208" s="30"/>
      <x:c r="Y208" s="30"/>
      <x:c r="Z208" s="30"/>
      <x:c r="AA208" s="30"/>
      <x:c r="AB208" s="30"/>
    </x:row>
    <x:row r="209">
      <x:c r="B209" s="28"/>
      <x:c r="I209" t="str">
        <x:f>IF(OR(G209="",H209=""),"",G209+H209)</x:f>
      </x:c>
      <x:c r="J209" t="str">
        <x:f>IF(I209="","",IF(I209&gt;2.5,"OVER","UNDER"))</x:f>
      </x:c>
      <x:c r="K209" s="30"/>
      <x:c r="L209" s="30"/>
      <x:c r="M209" s="30"/>
      <x:c r="N209" s="30"/>
      <x:c r="Y209" s="30"/>
      <x:c r="Z209" s="30"/>
      <x:c r="AA209" s="30"/>
      <x:c r="AB209" s="30"/>
    </x:row>
    <x:row r="210">
      <x:c r="B210" s="28"/>
      <x:c r="I210" t="str">
        <x:f>IF(OR(G210="",H210=""),"",G210+H210)</x:f>
      </x:c>
      <x:c r="J210" t="str">
        <x:f>IF(I210="","",IF(I210&gt;2.5,"OVER","UNDER"))</x:f>
      </x:c>
      <x:c r="K210" s="30"/>
      <x:c r="L210" s="30"/>
      <x:c r="M210" s="30"/>
      <x:c r="N210" s="30"/>
      <x:c r="Y210" s="30"/>
      <x:c r="Z210" s="30"/>
      <x:c r="AA210" s="30"/>
      <x:c r="AB210" s="30"/>
    </x:row>
    <x:row r="211">
      <x:c r="B211" s="28"/>
      <x:c r="I211" t="str">
        <x:f>IF(OR(G211="",H211=""),"",G211+H211)</x:f>
      </x:c>
      <x:c r="J211" t="str">
        <x:f>IF(I211="","",IF(I211&gt;2.5,"OVER","UNDER"))</x:f>
      </x:c>
      <x:c r="K211" s="30"/>
      <x:c r="L211" s="30"/>
      <x:c r="M211" s="30"/>
      <x:c r="N211" s="30"/>
      <x:c r="Y211" s="30"/>
      <x:c r="Z211" s="30"/>
      <x:c r="AA211" s="30"/>
      <x:c r="AB211" s="30"/>
    </x:row>
    <x:row r="212">
      <x:c r="B212" s="28"/>
      <x:c r="I212" t="str">
        <x:f>IF(OR(G212="",H212=""),"",G212+H212)</x:f>
      </x:c>
      <x:c r="J212" t="str">
        <x:f>IF(I212="","",IF(I212&gt;2.5,"OVER","UNDER"))</x:f>
      </x:c>
      <x:c r="K212" s="30"/>
      <x:c r="L212" s="30"/>
      <x:c r="M212" s="30"/>
      <x:c r="N212" s="30"/>
      <x:c r="Y212" s="30"/>
      <x:c r="Z212" s="30"/>
      <x:c r="AA212" s="30"/>
      <x:c r="AB212" s="30"/>
    </x:row>
    <x:row r="213">
      <x:c r="B213" s="28"/>
      <x:c r="I213" t="str">
        <x:f>IF(OR(G213="",H213=""),"",G213+H213)</x:f>
      </x:c>
      <x:c r="J213" t="str">
        <x:f>IF(I213="","",IF(I213&gt;2.5,"OVER","UNDER"))</x:f>
      </x:c>
      <x:c r="K213" s="30"/>
      <x:c r="L213" s="30"/>
      <x:c r="M213" s="30"/>
      <x:c r="N213" s="30"/>
      <x:c r="Y213" s="30"/>
      <x:c r="Z213" s="30"/>
      <x:c r="AA213" s="30"/>
      <x:c r="AB213" s="30"/>
    </x:row>
    <x:row r="214">
      <x:c r="B214" s="28"/>
      <x:c r="I214" t="str">
        <x:f>IF(OR(G214="",H214=""),"",G214+H214)</x:f>
      </x:c>
      <x:c r="J214" t="str">
        <x:f>IF(I214="","",IF(I214&gt;2.5,"OVER","UNDER"))</x:f>
      </x:c>
      <x:c r="K214" s="30"/>
      <x:c r="L214" s="30"/>
      <x:c r="M214" s="30"/>
      <x:c r="N214" s="30"/>
      <x:c r="Y214" s="30"/>
      <x:c r="Z214" s="30"/>
      <x:c r="AA214" s="30"/>
      <x:c r="AB214" s="30"/>
    </x:row>
    <x:row r="215">
      <x:c r="B215" s="28"/>
      <x:c r="I215" t="str">
        <x:f>IF(OR(G215="",H215=""),"",G215+H215)</x:f>
      </x:c>
      <x:c r="J215" t="str">
        <x:f>IF(I215="","",IF(I215&gt;2.5,"OVER","UNDER"))</x:f>
      </x:c>
      <x:c r="K215" s="30"/>
      <x:c r="L215" s="30"/>
      <x:c r="M215" s="30"/>
      <x:c r="N215" s="30"/>
      <x:c r="Y215" s="30"/>
      <x:c r="Z215" s="30"/>
      <x:c r="AA215" s="30"/>
      <x:c r="AB215" s="30"/>
    </x:row>
    <x:row r="216">
      <x:c r="B216" s="28"/>
      <x:c r="I216" t="str">
        <x:f>IF(OR(G216="",H216=""),"",G216+H216)</x:f>
      </x:c>
      <x:c r="J216" t="str">
        <x:f>IF(I216="","",IF(I216&gt;2.5,"OVER","UNDER"))</x:f>
      </x:c>
      <x:c r="K216" s="30"/>
      <x:c r="L216" s="30"/>
      <x:c r="M216" s="30"/>
      <x:c r="N216" s="30"/>
      <x:c r="Y216" s="30"/>
      <x:c r="Z216" s="30"/>
      <x:c r="AA216" s="30"/>
      <x:c r="AB216" s="30"/>
    </x:row>
    <x:row r="217">
      <x:c r="B217" s="28"/>
      <x:c r="I217" t="str">
        <x:f>IF(OR(G217="",H217=""),"",G217+H217)</x:f>
      </x:c>
      <x:c r="J217" t="str">
        <x:f>IF(I217="","",IF(I217&gt;2.5,"OVER","UNDER"))</x:f>
      </x:c>
      <x:c r="K217" s="30"/>
      <x:c r="L217" s="30"/>
      <x:c r="M217" s="30"/>
      <x:c r="N217" s="30"/>
      <x:c r="Y217" s="30"/>
      <x:c r="Z217" s="30"/>
      <x:c r="AA217" s="30"/>
      <x:c r="AB217" s="30"/>
    </x:row>
    <x:row r="218">
      <x:c r="B218" s="28"/>
      <x:c r="I218" t="str">
        <x:f>IF(OR(G218="",H218=""),"",G218+H218)</x:f>
      </x:c>
      <x:c r="J218" t="str">
        <x:f>IF(I218="","",IF(I218&gt;2.5,"OVER","UNDER"))</x:f>
      </x:c>
      <x:c r="K218" s="30"/>
      <x:c r="L218" s="30"/>
      <x:c r="M218" s="30"/>
      <x:c r="N218" s="30"/>
      <x:c r="Y218" s="30"/>
      <x:c r="Z218" s="30"/>
      <x:c r="AA218" s="30"/>
      <x:c r="AB218" s="30"/>
    </x:row>
    <x:row r="219">
      <x:c r="B219" s="28"/>
      <x:c r="I219" t="str">
        <x:f>IF(OR(G219="",H219=""),"",G219+H219)</x:f>
      </x:c>
      <x:c r="J219" t="str">
        <x:f>IF(I219="","",IF(I219&gt;2.5,"OVER","UNDER"))</x:f>
      </x:c>
      <x:c r="K219" s="30"/>
      <x:c r="L219" s="30"/>
      <x:c r="M219" s="30"/>
      <x:c r="N219" s="30"/>
      <x:c r="Y219" s="30"/>
      <x:c r="Z219" s="30"/>
      <x:c r="AA219" s="30"/>
      <x:c r="AB219" s="30"/>
    </x:row>
    <x:row r="220">
      <x:c r="B220" s="28"/>
      <x:c r="I220" t="str">
        <x:f>IF(OR(G220="",H220=""),"",G220+H220)</x:f>
      </x:c>
      <x:c r="J220" t="str">
        <x:f>IF(I220="","",IF(I220&gt;2.5,"OVER","UNDER"))</x:f>
      </x:c>
      <x:c r="K220" s="30"/>
      <x:c r="L220" s="30"/>
      <x:c r="M220" s="30"/>
      <x:c r="N220" s="30"/>
      <x:c r="Y220" s="30"/>
      <x:c r="Z220" s="30"/>
      <x:c r="AA220" s="30"/>
      <x:c r="AB220" s="30"/>
    </x:row>
    <x:row r="221">
      <x:c r="B221" s="28"/>
      <x:c r="I221" t="str">
        <x:f>IF(OR(G221="",H221=""),"",G221+H221)</x:f>
      </x:c>
      <x:c r="J221" t="str">
        <x:f>IF(I221="","",IF(I221&gt;2.5,"OVER","UNDER"))</x:f>
      </x:c>
      <x:c r="K221" s="30"/>
      <x:c r="L221" s="30"/>
      <x:c r="M221" s="30"/>
      <x:c r="N221" s="30"/>
      <x:c r="Y221" s="30"/>
      <x:c r="Z221" s="30"/>
      <x:c r="AA221" s="30"/>
      <x:c r="AB221" s="30"/>
    </x:row>
    <x:row r="222">
      <x:c r="B222" s="28"/>
      <x:c r="I222" t="str">
        <x:f>IF(OR(G222="",H222=""),"",G222+H222)</x:f>
      </x:c>
      <x:c r="J222" t="str">
        <x:f>IF(I222="","",IF(I222&gt;2.5,"OVER","UNDER"))</x:f>
      </x:c>
      <x:c r="K222" s="30"/>
      <x:c r="L222" s="30"/>
      <x:c r="M222" s="30"/>
      <x:c r="N222" s="30"/>
      <x:c r="Y222" s="30"/>
      <x:c r="Z222" s="30"/>
      <x:c r="AA222" s="30"/>
      <x:c r="AB222" s="30"/>
    </x:row>
    <x:row r="223">
      <x:c r="B223" s="28"/>
      <x:c r="I223" t="str">
        <x:f>IF(OR(G223="",H223=""),"",G223+H223)</x:f>
      </x:c>
      <x:c r="J223" t="str">
        <x:f>IF(I223="","",IF(I223&gt;2.5,"OVER","UNDER"))</x:f>
      </x:c>
      <x:c r="K223" s="30"/>
      <x:c r="L223" s="30"/>
      <x:c r="M223" s="30"/>
      <x:c r="N223" s="30"/>
      <x:c r="Y223" s="30"/>
      <x:c r="Z223" s="30"/>
      <x:c r="AA223" s="30"/>
      <x:c r="AB223" s="30"/>
    </x:row>
    <x:row r="224">
      <x:c r="B224" s="28"/>
      <x:c r="I224" t="str">
        <x:f>IF(OR(G224="",H224=""),"",G224+H224)</x:f>
      </x:c>
      <x:c r="J224" t="str">
        <x:f>IF(I224="","",IF(I224&gt;2.5,"OVER","UNDER"))</x:f>
      </x:c>
      <x:c r="K224" s="30"/>
      <x:c r="L224" s="30"/>
      <x:c r="M224" s="30"/>
      <x:c r="N224" s="30"/>
      <x:c r="Y224" s="30"/>
      <x:c r="Z224" s="30"/>
      <x:c r="AA224" s="30"/>
      <x:c r="AB224" s="30"/>
    </x:row>
    <x:row r="225">
      <x:c r="B225" s="28"/>
      <x:c r="I225" t="str">
        <x:f>IF(OR(G225="",H225=""),"",G225+H225)</x:f>
      </x:c>
      <x:c r="J225" t="str">
        <x:f>IF(I225="","",IF(I225&gt;2.5,"OVER","UNDER"))</x:f>
      </x:c>
      <x:c r="K225" s="30"/>
      <x:c r="L225" s="30"/>
      <x:c r="M225" s="30"/>
      <x:c r="N225" s="30"/>
      <x:c r="Y225" s="30"/>
      <x:c r="Z225" s="30"/>
      <x:c r="AA225" s="30"/>
      <x:c r="AB225" s="30"/>
    </x:row>
    <x:row r="226">
      <x:c r="B226" s="28"/>
      <x:c r="I226" t="str">
        <x:f>IF(OR(G226="",H226=""),"",G226+H226)</x:f>
      </x:c>
      <x:c r="J226" t="str">
        <x:f>IF(I226="","",IF(I226&gt;2.5,"OVER","UNDER"))</x:f>
      </x:c>
      <x:c r="K226" s="30"/>
      <x:c r="L226" s="30"/>
      <x:c r="M226" s="30"/>
      <x:c r="N226" s="30"/>
      <x:c r="Y226" s="30"/>
      <x:c r="Z226" s="30"/>
      <x:c r="AA226" s="30"/>
      <x:c r="AB226" s="30"/>
    </x:row>
    <x:row r="227">
      <x:c r="B227" s="28"/>
      <x:c r="I227" t="str">
        <x:f>IF(OR(G227="",H227=""),"",G227+H227)</x:f>
      </x:c>
      <x:c r="J227" t="str">
        <x:f>IF(I227="","",IF(I227&gt;2.5,"OVER","UNDER"))</x:f>
      </x:c>
      <x:c r="K227" s="30"/>
      <x:c r="L227" s="30"/>
      <x:c r="M227" s="30"/>
      <x:c r="N227" s="30"/>
      <x:c r="Y227" s="30"/>
      <x:c r="Z227" s="30"/>
      <x:c r="AA227" s="30"/>
      <x:c r="AB227" s="30"/>
    </x:row>
    <x:row r="228">
      <x:c r="B228" s="28"/>
      <x:c r="I228" t="str">
        <x:f>IF(OR(G228="",H228=""),"",G228+H228)</x:f>
      </x:c>
      <x:c r="J228" t="str">
        <x:f>IF(I228="","",IF(I228&gt;2.5,"OVER","UNDER"))</x:f>
      </x:c>
      <x:c r="K228" s="30"/>
      <x:c r="L228" s="30"/>
      <x:c r="M228" s="30"/>
      <x:c r="N228" s="30"/>
      <x:c r="Y228" s="30"/>
      <x:c r="Z228" s="30"/>
      <x:c r="AA228" s="30"/>
      <x:c r="AB228" s="30"/>
    </x:row>
    <x:row r="229">
      <x:c r="B229" s="28"/>
      <x:c r="I229" t="str">
        <x:f>IF(OR(G229="",H229=""),"",G229+H229)</x:f>
      </x:c>
      <x:c r="J229" t="str">
        <x:f>IF(I229="","",IF(I229&gt;2.5,"OVER","UNDER"))</x:f>
      </x:c>
      <x:c r="K229" s="30"/>
      <x:c r="L229" s="30"/>
      <x:c r="M229" s="30"/>
      <x:c r="N229" s="30"/>
      <x:c r="Y229" s="30"/>
      <x:c r="Z229" s="30"/>
      <x:c r="AA229" s="30"/>
      <x:c r="AB229" s="30"/>
    </x:row>
    <x:row r="230">
      <x:c r="B230" s="28"/>
      <x:c r="I230" t="str">
        <x:f>IF(OR(G230="",H230=""),"",G230+H230)</x:f>
      </x:c>
      <x:c r="J230" t="str">
        <x:f>IF(I230="","",IF(I230&gt;2.5,"OVER","UNDER"))</x:f>
      </x:c>
      <x:c r="K230" s="30"/>
      <x:c r="L230" s="30"/>
      <x:c r="M230" s="30"/>
      <x:c r="N230" s="30"/>
      <x:c r="Y230" s="30"/>
      <x:c r="Z230" s="30"/>
      <x:c r="AA230" s="30"/>
      <x:c r="AB230" s="30"/>
    </x:row>
    <x:row r="231">
      <x:c r="B231" s="28"/>
      <x:c r="I231" t="str">
        <x:f>IF(OR(G231="",H231=""),"",G231+H231)</x:f>
      </x:c>
      <x:c r="J231" t="str">
        <x:f>IF(I231="","",IF(I231&gt;2.5,"OVER","UNDER"))</x:f>
      </x:c>
      <x:c r="K231" s="30"/>
      <x:c r="L231" s="30"/>
      <x:c r="M231" s="30"/>
      <x:c r="N231" s="30"/>
      <x:c r="Y231" s="30"/>
      <x:c r="Z231" s="30"/>
      <x:c r="AA231" s="30"/>
      <x:c r="AB231" s="30"/>
    </x:row>
    <x:row r="232">
      <x:c r="B232" s="28"/>
      <x:c r="I232" t="str">
        <x:f>IF(OR(G232="",H232=""),"",G232+H232)</x:f>
      </x:c>
      <x:c r="J232" t="str">
        <x:f>IF(I232="","",IF(I232&gt;2.5,"OVER","UNDER"))</x:f>
      </x:c>
      <x:c r="K232" s="30"/>
      <x:c r="L232" s="30"/>
      <x:c r="M232" s="30"/>
      <x:c r="N232" s="30"/>
      <x:c r="Y232" s="30"/>
      <x:c r="Z232" s="30"/>
      <x:c r="AA232" s="30"/>
      <x:c r="AB232" s="30"/>
    </x:row>
    <x:row r="233">
      <x:c r="B233" s="28"/>
      <x:c r="I233" t="str">
        <x:f>IF(OR(G233="",H233=""),"",G233+H233)</x:f>
      </x:c>
      <x:c r="J233" t="str">
        <x:f>IF(I233="","",IF(I233&gt;2.5,"OVER","UNDER"))</x:f>
      </x:c>
      <x:c r="K233" s="30"/>
      <x:c r="L233" s="30"/>
      <x:c r="M233" s="30"/>
      <x:c r="N233" s="30"/>
      <x:c r="Y233" s="30"/>
      <x:c r="Z233" s="30"/>
      <x:c r="AA233" s="30"/>
      <x:c r="AB233" s="30"/>
    </x:row>
    <x:row r="234">
      <x:c r="B234" s="28"/>
      <x:c r="I234" t="str">
        <x:f>IF(OR(G234="",H234=""),"",G234+H234)</x:f>
      </x:c>
      <x:c r="J234" t="str">
        <x:f>IF(I234="","",IF(I234&gt;2.5,"OVER","UNDER"))</x:f>
      </x:c>
      <x:c r="K234" s="30"/>
      <x:c r="L234" s="30"/>
      <x:c r="M234" s="30"/>
      <x:c r="N234" s="30"/>
      <x:c r="Y234" s="30"/>
      <x:c r="Z234" s="30"/>
      <x:c r="AA234" s="30"/>
      <x:c r="AB234" s="30"/>
    </x:row>
    <x:row r="235">
      <x:c r="B235" s="28"/>
      <x:c r="I235" t="str">
        <x:f>IF(OR(G235="",H235=""),"",G235+H235)</x:f>
      </x:c>
      <x:c r="J235" t="str">
        <x:f>IF(I235="","",IF(I235&gt;2.5,"OVER","UNDER"))</x:f>
      </x:c>
      <x:c r="K235" s="30"/>
      <x:c r="L235" s="30"/>
      <x:c r="M235" s="30"/>
      <x:c r="N235" s="30"/>
      <x:c r="Y235" s="30"/>
      <x:c r="Z235" s="30"/>
      <x:c r="AA235" s="30"/>
      <x:c r="AB235" s="30"/>
    </x:row>
    <x:row r="236">
      <x:c r="B236" s="28"/>
      <x:c r="I236" t="str">
        <x:f>IF(OR(G236="",H236=""),"",G236+H236)</x:f>
      </x:c>
      <x:c r="J236" t="str">
        <x:f>IF(I236="","",IF(I236&gt;2.5,"OVER","UNDER"))</x:f>
      </x:c>
      <x:c r="K236" s="30"/>
      <x:c r="L236" s="30"/>
      <x:c r="M236" s="30"/>
      <x:c r="N236" s="30"/>
      <x:c r="Y236" s="30"/>
      <x:c r="Z236" s="30"/>
      <x:c r="AA236" s="30"/>
      <x:c r="AB236" s="30"/>
    </x:row>
    <x:row r="237">
      <x:c r="B237" s="28"/>
      <x:c r="I237" t="str">
        <x:f>IF(OR(G237="",H237=""),"",G237+H237)</x:f>
      </x:c>
      <x:c r="J237" t="str">
        <x:f>IF(I237="","",IF(I237&gt;2.5,"OVER","UNDER"))</x:f>
      </x:c>
      <x:c r="K237" s="30"/>
      <x:c r="L237" s="30"/>
      <x:c r="M237" s="30"/>
      <x:c r="N237" s="30"/>
      <x:c r="Y237" s="30"/>
      <x:c r="Z237" s="30"/>
      <x:c r="AA237" s="30"/>
      <x:c r="AB237" s="30"/>
    </x:row>
    <x:row r="238">
      <x:c r="B238" s="28"/>
      <x:c r="I238" t="str">
        <x:f>IF(OR(G238="",H238=""),"",G238+H238)</x:f>
      </x:c>
      <x:c r="J238" t="str">
        <x:f>IF(I238="","",IF(I238&gt;2.5,"OVER","UNDER"))</x:f>
      </x:c>
      <x:c r="K238" s="30"/>
      <x:c r="L238" s="30"/>
      <x:c r="M238" s="30"/>
      <x:c r="N238" s="30"/>
      <x:c r="Y238" s="30"/>
      <x:c r="Z238" s="30"/>
      <x:c r="AA238" s="30"/>
      <x:c r="AB238" s="30"/>
    </x:row>
    <x:row r="239">
      <x:c r="B239" s="28"/>
      <x:c r="I239" t="str">
        <x:f>IF(OR(G239="",H239=""),"",G239+H239)</x:f>
      </x:c>
      <x:c r="J239" t="str">
        <x:f>IF(I239="","",IF(I239&gt;2.5,"OVER","UNDER"))</x:f>
      </x:c>
      <x:c r="K239" s="30"/>
      <x:c r="L239" s="30"/>
      <x:c r="M239" s="30"/>
      <x:c r="N239" s="30"/>
      <x:c r="Y239" s="30"/>
      <x:c r="Z239" s="30"/>
      <x:c r="AA239" s="30"/>
      <x:c r="AB239" s="30"/>
    </x:row>
    <x:row r="240">
      <x:c r="B240" s="28"/>
      <x:c r="I240" t="str">
        <x:f>IF(OR(G240="",H240=""),"",G240+H240)</x:f>
      </x:c>
      <x:c r="J240" t="str">
        <x:f>IF(I240="","",IF(I240&gt;2.5,"OVER","UNDER"))</x:f>
      </x:c>
      <x:c r="K240" s="30"/>
      <x:c r="L240" s="30"/>
      <x:c r="M240" s="30"/>
      <x:c r="N240" s="30"/>
      <x:c r="Y240" s="30"/>
      <x:c r="Z240" s="30"/>
      <x:c r="AA240" s="30"/>
      <x:c r="AB240" s="30"/>
    </x:row>
    <x:row r="241">
      <x:c r="B241" s="28"/>
      <x:c r="I241" t="str">
        <x:f>IF(OR(G241="",H241=""),"",G241+H241)</x:f>
      </x:c>
      <x:c r="J241" t="str">
        <x:f>IF(I241="","",IF(I241&gt;2.5,"OVER","UNDER"))</x:f>
      </x:c>
      <x:c r="K241" s="30"/>
      <x:c r="L241" s="30"/>
      <x:c r="M241" s="30"/>
      <x:c r="N241" s="30"/>
      <x:c r="Y241" s="30"/>
      <x:c r="Z241" s="30"/>
      <x:c r="AA241" s="30"/>
      <x:c r="AB241" s="30"/>
    </x:row>
    <x:row r="242">
      <x:c r="B242" s="28"/>
      <x:c r="I242" t="str">
        <x:f>IF(OR(G242="",H242=""),"",G242+H242)</x:f>
      </x:c>
      <x:c r="J242" t="str">
        <x:f>IF(I242="","",IF(I242&gt;2.5,"OVER","UNDER"))</x:f>
      </x:c>
      <x:c r="K242" s="30"/>
      <x:c r="L242" s="30"/>
      <x:c r="M242" s="30"/>
      <x:c r="N242" s="30"/>
      <x:c r="Y242" s="30"/>
      <x:c r="Z242" s="30"/>
      <x:c r="AA242" s="30"/>
      <x:c r="AB242" s="30"/>
    </x:row>
    <x:row r="243">
      <x:c r="B243" s="28"/>
      <x:c r="I243" t="str">
        <x:f>IF(OR(G243="",H243=""),"",G243+H243)</x:f>
      </x:c>
      <x:c r="J243" t="str">
        <x:f>IF(I243="","",IF(I243&gt;2.5,"OVER","UNDER"))</x:f>
      </x:c>
      <x:c r="K243" s="30"/>
      <x:c r="L243" s="30"/>
      <x:c r="M243" s="30"/>
      <x:c r="N243" s="30"/>
      <x:c r="Y243" s="30"/>
      <x:c r="Z243" s="30"/>
      <x:c r="AA243" s="30"/>
      <x:c r="AB243" s="30"/>
    </x:row>
    <x:row r="244">
      <x:c r="B244" s="28"/>
      <x:c r="I244" t="str">
        <x:f>IF(OR(G244="",H244=""),"",G244+H244)</x:f>
      </x:c>
      <x:c r="J244" t="str">
        <x:f>IF(I244="","",IF(I244&gt;2.5,"OVER","UNDER"))</x:f>
      </x:c>
      <x:c r="K244" s="30"/>
      <x:c r="L244" s="30"/>
      <x:c r="M244" s="30"/>
      <x:c r="N244" s="30"/>
      <x:c r="Y244" s="30"/>
      <x:c r="Z244" s="30"/>
      <x:c r="AA244" s="30"/>
      <x:c r="AB244" s="30"/>
    </x:row>
    <x:row r="245">
      <x:c r="B245" s="28"/>
      <x:c r="I245" t="str">
        <x:f>IF(OR(G245="",H245=""),"",G245+H245)</x:f>
      </x:c>
      <x:c r="J245" t="str">
        <x:f>IF(I245="","",IF(I245&gt;2.5,"OVER","UNDER"))</x:f>
      </x:c>
      <x:c r="K245" s="30"/>
      <x:c r="L245" s="30"/>
      <x:c r="M245" s="30"/>
      <x:c r="N245" s="30"/>
      <x:c r="Y245" s="30"/>
      <x:c r="Z245" s="30"/>
      <x:c r="AA245" s="30"/>
      <x:c r="AB245" s="30"/>
    </x:row>
    <x:row r="246">
      <x:c r="B246" s="28"/>
      <x:c r="I246" t="str">
        <x:f>IF(OR(G246="",H246=""),"",G246+H246)</x:f>
      </x:c>
      <x:c r="J246" t="str">
        <x:f>IF(I246="","",IF(I246&gt;2.5,"OVER","UNDER"))</x:f>
      </x:c>
      <x:c r="K246" s="30"/>
      <x:c r="L246" s="30"/>
      <x:c r="M246" s="30"/>
      <x:c r="N246" s="30"/>
      <x:c r="Y246" s="30"/>
      <x:c r="Z246" s="30"/>
      <x:c r="AA246" s="30"/>
      <x:c r="AB246" s="30"/>
    </x:row>
    <x:row r="247">
      <x:c r="B247" s="28"/>
      <x:c r="I247" t="str">
        <x:f>IF(OR(G247="",H247=""),"",G247+H247)</x:f>
      </x:c>
      <x:c r="J247" t="str">
        <x:f>IF(I247="","",IF(I247&gt;2.5,"OVER","UNDER"))</x:f>
      </x:c>
      <x:c r="K247" s="30"/>
      <x:c r="L247" s="30"/>
      <x:c r="M247" s="30"/>
      <x:c r="N247" s="30"/>
      <x:c r="Y247" s="30"/>
      <x:c r="Z247" s="30"/>
      <x:c r="AA247" s="30"/>
      <x:c r="AB247" s="30"/>
    </x:row>
    <x:row r="248">
      <x:c r="B248" s="28"/>
      <x:c r="I248" t="str">
        <x:f>IF(OR(G248="",H248=""),"",G248+H248)</x:f>
      </x:c>
      <x:c r="J248" t="str">
        <x:f>IF(I248="","",IF(I248&gt;2.5,"OVER","UNDER"))</x:f>
      </x:c>
      <x:c r="K248" s="30"/>
      <x:c r="L248" s="30"/>
      <x:c r="M248" s="30"/>
      <x:c r="N248" s="30"/>
      <x:c r="Y248" s="30"/>
      <x:c r="Z248" s="30"/>
      <x:c r="AA248" s="30"/>
      <x:c r="AB248" s="30"/>
    </x:row>
    <x:row r="249">
      <x:c r="B249" s="28"/>
      <x:c r="I249" t="str">
        <x:f>IF(OR(G249="",H249=""),"",G249+H249)</x:f>
      </x:c>
      <x:c r="J249" t="str">
        <x:f>IF(I249="","",IF(I249&gt;2.5,"OVER","UNDER"))</x:f>
      </x:c>
      <x:c r="K249" s="30"/>
      <x:c r="L249" s="30"/>
      <x:c r="M249" s="30"/>
      <x:c r="N249" s="30"/>
      <x:c r="Y249" s="30"/>
      <x:c r="Z249" s="30"/>
      <x:c r="AA249" s="30"/>
      <x:c r="AB249" s="30"/>
    </x:row>
    <x:row r="250">
      <x:c r="B250" s="28"/>
      <x:c r="I250" t="str">
        <x:f>IF(OR(G250="",H250=""),"",G250+H250)</x:f>
      </x:c>
      <x:c r="J250" t="str">
        <x:f>IF(I250="","",IF(I250&gt;2.5,"OVER","UNDER"))</x:f>
      </x:c>
      <x:c r="K250" s="30"/>
      <x:c r="L250" s="30"/>
      <x:c r="M250" s="30"/>
      <x:c r="N250" s="30"/>
      <x:c r="Y250" s="30"/>
      <x:c r="Z250" s="30"/>
      <x:c r="AA250" s="30"/>
      <x:c r="AB250" s="30"/>
    </x:row>
    <x:row r="251">
      <x:c r="B251" s="28"/>
      <x:c r="I251" t="str">
        <x:f>IF(OR(G251="",H251=""),"",G251+H251)</x:f>
      </x:c>
      <x:c r="J251" t="str">
        <x:f>IF(I251="","",IF(I251&gt;2.5,"OVER","UNDER"))</x:f>
      </x:c>
      <x:c r="K251" s="30"/>
      <x:c r="L251" s="30"/>
      <x:c r="M251" s="30"/>
      <x:c r="N251" s="30"/>
      <x:c r="Y251" s="30"/>
      <x:c r="Z251" s="30"/>
      <x:c r="AA251" s="30"/>
      <x:c r="AB251" s="30"/>
    </x:row>
    <x:row r="252">
      <x:c r="B252" s="28"/>
      <x:c r="I252" t="str">
        <x:f>IF(OR(G252="",H252=""),"",G252+H252)</x:f>
      </x:c>
      <x:c r="J252" t="str">
        <x:f>IF(I252="","",IF(I252&gt;2.5,"OVER","UNDER"))</x:f>
      </x:c>
      <x:c r="K252" s="30"/>
      <x:c r="L252" s="30"/>
      <x:c r="M252" s="30"/>
      <x:c r="N252" s="30"/>
      <x:c r="Y252" s="30"/>
      <x:c r="Z252" s="30"/>
      <x:c r="AA252" s="30"/>
      <x:c r="AB252" s="30"/>
    </x:row>
    <x:row r="253">
      <x:c r="B253" s="28"/>
      <x:c r="I253" t="str">
        <x:f>IF(OR(G253="",H253=""),"",G253+H253)</x:f>
      </x:c>
      <x:c r="J253" t="str">
        <x:f>IF(I253="","",IF(I253&gt;2.5,"OVER","UNDER"))</x:f>
      </x:c>
      <x:c r="K253" s="30"/>
      <x:c r="L253" s="30"/>
      <x:c r="M253" s="30"/>
      <x:c r="N253" s="30"/>
      <x:c r="Y253" s="30"/>
      <x:c r="Z253" s="30"/>
      <x:c r="AA253" s="30"/>
      <x:c r="AB253" s="30"/>
    </x:row>
    <x:row r="254">
      <x:c r="B254" s="28"/>
      <x:c r="I254" t="str">
        <x:f>IF(OR(G254="",H254=""),"",G254+H254)</x:f>
      </x:c>
      <x:c r="J254" t="str">
        <x:f>IF(I254="","",IF(I254&gt;2.5,"OVER","UNDER"))</x:f>
      </x:c>
      <x:c r="K254" s="30"/>
      <x:c r="L254" s="30"/>
      <x:c r="M254" s="30"/>
      <x:c r="N254" s="30"/>
      <x:c r="Y254" s="30"/>
      <x:c r="Z254" s="30"/>
      <x:c r="AA254" s="30"/>
      <x:c r="AB254" s="30"/>
    </x:row>
    <x:row r="255">
      <x:c r="B255" s="28"/>
      <x:c r="I255" t="str">
        <x:f>IF(OR(G255="",H255=""),"",G255+H255)</x:f>
      </x:c>
      <x:c r="J255" t="str">
        <x:f>IF(I255="","",IF(I255&gt;2.5,"OVER","UNDER"))</x:f>
      </x:c>
      <x:c r="K255" s="30"/>
      <x:c r="L255" s="30"/>
      <x:c r="M255" s="30"/>
      <x:c r="N255" s="30"/>
      <x:c r="Y255" s="30"/>
      <x:c r="Z255" s="30"/>
      <x:c r="AA255" s="30"/>
      <x:c r="AB255" s="30"/>
    </x:row>
    <x:row r="256">
      <x:c r="B256" s="28"/>
      <x:c r="I256" t="str">
        <x:f>IF(OR(G256="",H256=""),"",G256+H256)</x:f>
      </x:c>
      <x:c r="J256" t="str">
        <x:f>IF(I256="","",IF(I256&gt;2.5,"OVER","UNDER"))</x:f>
      </x:c>
      <x:c r="K256" s="30"/>
      <x:c r="L256" s="30"/>
      <x:c r="M256" s="30"/>
      <x:c r="N256" s="30"/>
      <x:c r="Y256" s="30"/>
      <x:c r="Z256" s="30"/>
      <x:c r="AA256" s="30"/>
      <x:c r="AB256" s="30"/>
    </x:row>
    <x:row r="257">
      <x:c r="B257" s="28"/>
      <x:c r="I257" t="str">
        <x:f>IF(OR(G257="",H257=""),"",G257+H257)</x:f>
      </x:c>
      <x:c r="J257" t="str">
        <x:f>IF(I257="","",IF(I257&gt;2.5,"OVER","UNDER"))</x:f>
      </x:c>
      <x:c r="K257" s="30"/>
      <x:c r="L257" s="30"/>
      <x:c r="M257" s="30"/>
      <x:c r="N257" s="30"/>
      <x:c r="Y257" s="30"/>
      <x:c r="Z257" s="30"/>
      <x:c r="AA257" s="30"/>
      <x:c r="AB257" s="30"/>
    </x:row>
    <x:row r="258">
      <x:c r="B258" s="28"/>
      <x:c r="I258" t="str">
        <x:f>IF(OR(G258="",H258=""),"",G258+H258)</x:f>
      </x:c>
      <x:c r="J258" t="str">
        <x:f>IF(I258="","",IF(I258&gt;2.5,"OVER","UNDER"))</x:f>
      </x:c>
      <x:c r="K258" s="30"/>
      <x:c r="L258" s="30"/>
      <x:c r="M258" s="30"/>
      <x:c r="N258" s="30"/>
      <x:c r="Y258" s="30"/>
      <x:c r="Z258" s="30"/>
      <x:c r="AA258" s="30"/>
      <x:c r="AB258" s="30"/>
    </x:row>
    <x:row r="259">
      <x:c r="B259" s="28"/>
      <x:c r="I259" t="str">
        <x:f>IF(OR(G259="",H259=""),"",G259+H259)</x:f>
      </x:c>
      <x:c r="J259" t="str">
        <x:f>IF(I259="","",IF(I259&gt;2.5,"OVER","UNDER"))</x:f>
      </x:c>
      <x:c r="K259" s="30"/>
      <x:c r="L259" s="30"/>
      <x:c r="M259" s="30"/>
      <x:c r="N259" s="30"/>
      <x:c r="Y259" s="30"/>
      <x:c r="Z259" s="30"/>
      <x:c r="AA259" s="30"/>
      <x:c r="AB259" s="30"/>
    </x:row>
    <x:row r="260">
      <x:c r="B260" s="28"/>
      <x:c r="I260" t="str">
        <x:f>IF(OR(G260="",H260=""),"",G260+H260)</x:f>
      </x:c>
      <x:c r="J260" t="str">
        <x:f>IF(I260="","",IF(I260&gt;2.5,"OVER","UNDER"))</x:f>
      </x:c>
      <x:c r="K260" s="30"/>
      <x:c r="L260" s="30"/>
      <x:c r="M260" s="30"/>
      <x:c r="N260" s="30"/>
      <x:c r="Y260" s="30"/>
      <x:c r="Z260" s="30"/>
      <x:c r="AA260" s="30"/>
      <x:c r="AB260" s="30"/>
    </x:row>
    <x:row r="261">
      <x:c r="B261" s="28"/>
      <x:c r="I261" t="str">
        <x:f>IF(OR(G261="",H261=""),"",G261+H261)</x:f>
      </x:c>
      <x:c r="J261" t="str">
        <x:f>IF(I261="","",IF(I261&gt;2.5,"OVER","UNDER"))</x:f>
      </x:c>
      <x:c r="K261" s="30"/>
      <x:c r="L261" s="30"/>
      <x:c r="M261" s="30"/>
      <x:c r="N261" s="30"/>
      <x:c r="Y261" s="30"/>
      <x:c r="Z261" s="30"/>
      <x:c r="AA261" s="30"/>
      <x:c r="AB261" s="30"/>
    </x:row>
    <x:row r="262">
      <x:c r="B262" s="28"/>
      <x:c r="I262" t="str">
        <x:f>IF(OR(G262="",H262=""),"",G262+H262)</x:f>
      </x:c>
      <x:c r="J262" t="str">
        <x:f>IF(I262="","",IF(I262&gt;2.5,"OVER","UNDER"))</x:f>
      </x:c>
      <x:c r="K262" s="30"/>
      <x:c r="L262" s="30"/>
      <x:c r="M262" s="30"/>
      <x:c r="N262" s="30"/>
      <x:c r="Y262" s="30"/>
      <x:c r="Z262" s="30"/>
      <x:c r="AA262" s="30"/>
      <x:c r="AB262" s="30"/>
    </x:row>
    <x:row r="263">
      <x:c r="B263" s="28"/>
      <x:c r="I263" t="str">
        <x:f>IF(OR(G263="",H263=""),"",G263+H263)</x:f>
      </x:c>
      <x:c r="J263" t="str">
        <x:f>IF(I263="","",IF(I263&gt;2.5,"OVER","UNDER"))</x:f>
      </x:c>
      <x:c r="K263" s="30"/>
      <x:c r="L263" s="30"/>
      <x:c r="M263" s="30"/>
      <x:c r="N263" s="30"/>
      <x:c r="Y263" s="30"/>
      <x:c r="Z263" s="30"/>
      <x:c r="AA263" s="30"/>
      <x:c r="AB263" s="30"/>
    </x:row>
    <x:row r="264">
      <x:c r="B264" s="28"/>
      <x:c r="I264" t="str">
        <x:f>IF(OR(G264="",H264=""),"",G264+H264)</x:f>
      </x:c>
      <x:c r="J264" t="str">
        <x:f>IF(I264="","",IF(I264&gt;2.5,"OVER","UNDER"))</x:f>
      </x:c>
      <x:c r="K264" s="30"/>
      <x:c r="L264" s="30"/>
      <x:c r="M264" s="30"/>
      <x:c r="N264" s="30"/>
      <x:c r="Y264" s="30"/>
      <x:c r="Z264" s="30"/>
      <x:c r="AA264" s="30"/>
      <x:c r="AB264" s="30"/>
    </x:row>
    <x:row r="265">
      <x:c r="B265" s="28"/>
      <x:c r="I265" t="str">
        <x:f>IF(OR(G265="",H265=""),"",G265+H265)</x:f>
      </x:c>
      <x:c r="J265" t="str">
        <x:f>IF(I265="","",IF(I265&gt;2.5,"OVER","UNDER"))</x:f>
      </x:c>
      <x:c r="K265" s="30"/>
      <x:c r="L265" s="30"/>
      <x:c r="M265" s="30"/>
      <x:c r="N265" s="30"/>
      <x:c r="Y265" s="30"/>
      <x:c r="Z265" s="30"/>
      <x:c r="AA265" s="30"/>
      <x:c r="AB265" s="30"/>
    </x:row>
    <x:row r="266">
      <x:c r="B266" s="28"/>
      <x:c r="I266" t="str">
        <x:f>IF(OR(G266="",H266=""),"",G266+H266)</x:f>
      </x:c>
      <x:c r="J266" t="str">
        <x:f>IF(I266="","",IF(I266&gt;2.5,"OVER","UNDER"))</x:f>
      </x:c>
      <x:c r="K266" s="30"/>
      <x:c r="L266" s="30"/>
      <x:c r="M266" s="30"/>
      <x:c r="N266" s="30"/>
      <x:c r="Y266" s="30"/>
      <x:c r="Z266" s="30"/>
      <x:c r="AA266" s="30"/>
      <x:c r="AB266" s="30"/>
    </x:row>
    <x:row r="267">
      <x:c r="B267" s="28"/>
      <x:c r="I267" t="str">
        <x:f>IF(OR(G267="",H267=""),"",G267+H267)</x:f>
      </x:c>
      <x:c r="J267" t="str">
        <x:f>IF(I267="","",IF(I267&gt;2.5,"OVER","UNDER"))</x:f>
      </x:c>
      <x:c r="K267" s="30"/>
      <x:c r="L267" s="30"/>
      <x:c r="M267" s="30"/>
      <x:c r="N267" s="30"/>
      <x:c r="Y267" s="30"/>
      <x:c r="Z267" s="30"/>
      <x:c r="AA267" s="30"/>
      <x:c r="AB267" s="30"/>
    </x:row>
    <x:row r="268">
      <x:c r="B268" s="28"/>
      <x:c r="I268" t="str">
        <x:f>IF(OR(G268="",H268=""),"",G268+H268)</x:f>
      </x:c>
      <x:c r="J268" t="str">
        <x:f>IF(I268="","",IF(I268&gt;2.5,"OVER","UNDER"))</x:f>
      </x:c>
      <x:c r="K268" s="30"/>
      <x:c r="L268" s="30"/>
      <x:c r="M268" s="30"/>
      <x:c r="N268" s="30"/>
      <x:c r="Y268" s="30"/>
      <x:c r="Z268" s="30"/>
      <x:c r="AA268" s="30"/>
      <x:c r="AB268" s="30"/>
    </x:row>
    <x:row r="269">
      <x:c r="B269" s="28"/>
      <x:c r="I269" t="str">
        <x:f>IF(OR(G269="",H269=""),"",G269+H269)</x:f>
      </x:c>
      <x:c r="J269" t="str">
        <x:f>IF(I269="","",IF(I269&gt;2.5,"OVER","UNDER"))</x:f>
      </x:c>
      <x:c r="K269" s="30"/>
      <x:c r="L269" s="30"/>
      <x:c r="M269" s="30"/>
      <x:c r="N269" s="30"/>
      <x:c r="Y269" s="30"/>
      <x:c r="Z269" s="30"/>
      <x:c r="AA269" s="30"/>
      <x:c r="AB269" s="30"/>
    </x:row>
    <x:row r="270">
      <x:c r="B270" s="28"/>
      <x:c r="I270" t="str">
        <x:f>IF(OR(G270="",H270=""),"",G270+H270)</x:f>
      </x:c>
      <x:c r="J270" t="str">
        <x:f>IF(I270="","",IF(I270&gt;2.5,"OVER","UNDER"))</x:f>
      </x:c>
      <x:c r="K270" s="30"/>
      <x:c r="L270" s="30"/>
      <x:c r="M270" s="30"/>
      <x:c r="N270" s="30"/>
      <x:c r="Y270" s="30"/>
      <x:c r="Z270" s="30"/>
      <x:c r="AA270" s="30"/>
      <x:c r="AB270" s="30"/>
    </x:row>
    <x:row r="271">
      <x:c r="B271" s="28"/>
      <x:c r="I271" t="str">
        <x:f>IF(OR(G271="",H271=""),"",G271+H271)</x:f>
      </x:c>
      <x:c r="J271" t="str">
        <x:f>IF(I271="","",IF(I271&gt;2.5,"OVER","UNDER"))</x:f>
      </x:c>
      <x:c r="K271" s="30"/>
      <x:c r="L271" s="30"/>
      <x:c r="M271" s="30"/>
      <x:c r="N271" s="30"/>
      <x:c r="Y271" s="30"/>
      <x:c r="Z271" s="30"/>
      <x:c r="AA271" s="30"/>
      <x:c r="AB271" s="30"/>
    </x:row>
    <x:row r="272">
      <x:c r="B272" s="28"/>
      <x:c r="I272" t="str">
        <x:f>IF(OR(G272="",H272=""),"",G272+H272)</x:f>
      </x:c>
      <x:c r="J272" t="str">
        <x:f>IF(I272="","",IF(I272&gt;2.5,"OVER","UNDER"))</x:f>
      </x:c>
      <x:c r="K272" s="30"/>
      <x:c r="L272" s="30"/>
      <x:c r="M272" s="30"/>
      <x:c r="N272" s="30"/>
      <x:c r="Y272" s="30"/>
      <x:c r="Z272" s="30"/>
      <x:c r="AA272" s="30"/>
      <x:c r="AB272" s="30"/>
    </x:row>
    <x:row r="273">
      <x:c r="B273" s="28"/>
      <x:c r="I273" t="str">
        <x:f>IF(OR(G273="",H273=""),"",G273+H273)</x:f>
      </x:c>
      <x:c r="J273" t="str">
        <x:f>IF(I273="","",IF(I273&gt;2.5,"OVER","UNDER"))</x:f>
      </x:c>
      <x:c r="K273" s="30"/>
      <x:c r="L273" s="30"/>
      <x:c r="M273" s="30"/>
      <x:c r="N273" s="30"/>
      <x:c r="Y273" s="30"/>
      <x:c r="Z273" s="30"/>
      <x:c r="AA273" s="30"/>
      <x:c r="AB273" s="30"/>
    </x:row>
    <x:row r="274">
      <x:c r="B274" s="28"/>
      <x:c r="I274" t="str">
        <x:f>IF(OR(G274="",H274=""),"",G274+H274)</x:f>
      </x:c>
      <x:c r="J274" t="str">
        <x:f>IF(I274="","",IF(I274&gt;2.5,"OVER","UNDER"))</x:f>
      </x:c>
      <x:c r="K274" s="30"/>
      <x:c r="L274" s="30"/>
      <x:c r="M274" s="30"/>
      <x:c r="N274" s="30"/>
      <x:c r="Y274" s="30"/>
      <x:c r="Z274" s="30"/>
      <x:c r="AA274" s="30"/>
      <x:c r="AB274" s="30"/>
    </x:row>
    <x:row r="275">
      <x:c r="B275" s="28"/>
      <x:c r="I275" t="str">
        <x:f>IF(OR(G275="",H275=""),"",G275+H275)</x:f>
      </x:c>
      <x:c r="J275" t="str">
        <x:f>IF(I275="","",IF(I275&gt;2.5,"OVER","UNDER"))</x:f>
      </x:c>
      <x:c r="K275" s="30"/>
      <x:c r="L275" s="30"/>
      <x:c r="M275" s="30"/>
      <x:c r="N275" s="30"/>
      <x:c r="Y275" s="30"/>
      <x:c r="Z275" s="30"/>
      <x:c r="AA275" s="30"/>
      <x:c r="AB275" s="30"/>
    </x:row>
    <x:row r="276">
      <x:c r="B276" s="28"/>
      <x:c r="I276" t="str">
        <x:f>IF(OR(G276="",H276=""),"",G276+H276)</x:f>
      </x:c>
      <x:c r="J276" t="str">
        <x:f>IF(I276="","",IF(I276&gt;2.5,"OVER","UNDER"))</x:f>
      </x:c>
      <x:c r="K276" s="30"/>
      <x:c r="L276" s="30"/>
      <x:c r="M276" s="30"/>
      <x:c r="N276" s="30"/>
      <x:c r="Y276" s="30"/>
      <x:c r="Z276" s="30"/>
      <x:c r="AA276" s="30"/>
      <x:c r="AB276" s="30"/>
    </x:row>
    <x:row r="277">
      <x:c r="B277" s="28"/>
      <x:c r="I277" t="str">
        <x:f>IF(OR(G277="",H277=""),"",G277+H277)</x:f>
      </x:c>
      <x:c r="J277" t="str">
        <x:f>IF(I277="","",IF(I277&gt;2.5,"OVER","UNDER"))</x:f>
      </x:c>
      <x:c r="K277" s="30"/>
      <x:c r="L277" s="30"/>
      <x:c r="M277" s="30"/>
      <x:c r="N277" s="30"/>
      <x:c r="Y277" s="30"/>
      <x:c r="Z277" s="30"/>
      <x:c r="AA277" s="30"/>
      <x:c r="AB277" s="30"/>
    </x:row>
    <x:row r="278">
      <x:c r="B278" s="28"/>
      <x:c r="I278" t="str">
        <x:f>IF(OR(G278="",H278=""),"",G278+H278)</x:f>
      </x:c>
      <x:c r="J278" t="str">
        <x:f>IF(I278="","",IF(I278&gt;2.5,"OVER","UNDER"))</x:f>
      </x:c>
      <x:c r="K278" s="30"/>
      <x:c r="L278" s="30"/>
      <x:c r="M278" s="30"/>
      <x:c r="N278" s="30"/>
      <x:c r="Y278" s="30"/>
      <x:c r="Z278" s="30"/>
      <x:c r="AA278" s="30"/>
      <x:c r="AB278" s="30"/>
    </x:row>
    <x:row r="279">
      <x:c r="B279" s="28"/>
      <x:c r="I279" t="str">
        <x:f>IF(OR(G279="",H279=""),"",G279+H279)</x:f>
      </x:c>
      <x:c r="J279" t="str">
        <x:f>IF(I279="","",IF(I279&gt;2.5,"OVER","UNDER"))</x:f>
      </x:c>
      <x:c r="K279" s="30"/>
      <x:c r="L279" s="30"/>
      <x:c r="M279" s="30"/>
      <x:c r="N279" s="30"/>
      <x:c r="Y279" s="30"/>
      <x:c r="Z279" s="30"/>
      <x:c r="AA279" s="30"/>
      <x:c r="AB279" s="30"/>
    </x:row>
    <x:row r="280">
      <x:c r="B280" s="28"/>
      <x:c r="I280" t="str">
        <x:f>IF(OR(G280="",H280=""),"",G280+H280)</x:f>
      </x:c>
      <x:c r="J280" t="str">
        <x:f>IF(I280="","",IF(I280&gt;2.5,"OVER","UNDER"))</x:f>
      </x:c>
      <x:c r="K280" s="30"/>
      <x:c r="L280" s="30"/>
      <x:c r="M280" s="30"/>
      <x:c r="N280" s="30"/>
      <x:c r="Y280" s="30"/>
      <x:c r="Z280" s="30"/>
      <x:c r="AA280" s="30"/>
      <x:c r="AB280" s="30"/>
    </x:row>
    <x:row r="281">
      <x:c r="B281" s="28"/>
      <x:c r="I281" t="str">
        <x:f>IF(OR(G281="",H281=""),"",G281+H281)</x:f>
      </x:c>
      <x:c r="J281" t="str">
        <x:f>IF(I281="","",IF(I281&gt;2.5,"OVER","UNDER"))</x:f>
      </x:c>
      <x:c r="K281" s="30"/>
      <x:c r="L281" s="30"/>
      <x:c r="M281" s="30"/>
      <x:c r="N281" s="30"/>
      <x:c r="Y281" s="30"/>
      <x:c r="Z281" s="30"/>
      <x:c r="AA281" s="30"/>
      <x:c r="AB281" s="30"/>
    </x:row>
    <x:row r="282">
      <x:c r="B282" s="28"/>
      <x:c r="I282" t="str">
        <x:f>IF(OR(G282="",H282=""),"",G282+H282)</x:f>
      </x:c>
      <x:c r="J282" t="str">
        <x:f>IF(I282="","",IF(I282&gt;2.5,"OVER","UNDER"))</x:f>
      </x:c>
      <x:c r="K282" s="30"/>
      <x:c r="L282" s="30"/>
      <x:c r="M282" s="30"/>
      <x:c r="N282" s="30"/>
      <x:c r="Y282" s="30"/>
      <x:c r="Z282" s="30"/>
      <x:c r="AA282" s="30"/>
      <x:c r="AB282" s="30"/>
    </x:row>
    <x:row r="283">
      <x:c r="B283" s="28"/>
      <x:c r="I283" t="str">
        <x:f>IF(OR(G283="",H283=""),"",G283+H283)</x:f>
      </x:c>
      <x:c r="J283" t="str">
        <x:f>IF(I283="","",IF(I283&gt;2.5,"OVER","UNDER"))</x:f>
      </x:c>
      <x:c r="K283" s="30"/>
      <x:c r="L283" s="30"/>
      <x:c r="M283" s="30"/>
      <x:c r="N283" s="30"/>
      <x:c r="Y283" s="30"/>
      <x:c r="Z283" s="30"/>
      <x:c r="AA283" s="30"/>
      <x:c r="AB283" s="30"/>
    </x:row>
    <x:row r="284">
      <x:c r="B284" s="28"/>
      <x:c r="I284" t="str">
        <x:f>IF(OR(G284="",H284=""),"",G284+H284)</x:f>
      </x:c>
      <x:c r="J284" t="str">
        <x:f>IF(I284="","",IF(I284&gt;2.5,"OVER","UNDER"))</x:f>
      </x:c>
      <x:c r="K284" s="30"/>
      <x:c r="L284" s="30"/>
      <x:c r="M284" s="30"/>
      <x:c r="N284" s="30"/>
      <x:c r="Y284" s="30"/>
      <x:c r="Z284" s="30"/>
      <x:c r="AA284" s="30"/>
      <x:c r="AB284" s="30"/>
    </x:row>
    <x:row r="285">
      <x:c r="B285" s="28"/>
      <x:c r="I285" t="str">
        <x:f>IF(OR(G285="",H285=""),"",G285+H285)</x:f>
      </x:c>
      <x:c r="J285" t="str">
        <x:f>IF(I285="","",IF(I285&gt;2.5,"OVER","UNDER"))</x:f>
      </x:c>
      <x:c r="K285" s="30"/>
      <x:c r="L285" s="30"/>
      <x:c r="M285" s="30"/>
      <x:c r="N285" s="30"/>
      <x:c r="Y285" s="30"/>
      <x:c r="Z285" s="30"/>
      <x:c r="AA285" s="30"/>
      <x:c r="AB285" s="30"/>
    </x:row>
    <x:row r="286">
      <x:c r="B286" s="28"/>
      <x:c r="I286" t="str">
        <x:f>IF(OR(G286="",H286=""),"",G286+H286)</x:f>
      </x:c>
      <x:c r="J286" t="str">
        <x:f>IF(I286="","",IF(I286&gt;2.5,"OVER","UNDER"))</x:f>
      </x:c>
      <x:c r="K286" s="30"/>
      <x:c r="L286" s="30"/>
      <x:c r="M286" s="30"/>
      <x:c r="N286" s="30"/>
      <x:c r="Y286" s="30"/>
      <x:c r="Z286" s="30"/>
      <x:c r="AA286" s="30"/>
      <x:c r="AB286" s="30"/>
    </x:row>
    <x:row r="287">
      <x:c r="B287" s="28"/>
      <x:c r="I287" t="str">
        <x:f>IF(OR(G287="",H287=""),"",G287+H287)</x:f>
      </x:c>
      <x:c r="J287" t="str">
        <x:f>IF(I287="","",IF(I287&gt;2.5,"OVER","UNDER"))</x:f>
      </x:c>
      <x:c r="K287" s="30"/>
      <x:c r="L287" s="30"/>
      <x:c r="M287" s="30"/>
      <x:c r="N287" s="30"/>
      <x:c r="Y287" s="30"/>
      <x:c r="Z287" s="30"/>
      <x:c r="AA287" s="30"/>
      <x:c r="AB287" s="30"/>
    </x:row>
    <x:row r="288">
      <x:c r="B288" s="28"/>
      <x:c r="I288" t="str">
        <x:f>IF(OR(G288="",H288=""),"",G288+H288)</x:f>
      </x:c>
      <x:c r="J288" t="str">
        <x:f>IF(I288="","",IF(I288&gt;2.5,"OVER","UNDER"))</x:f>
      </x:c>
      <x:c r="K288" s="30"/>
      <x:c r="L288" s="30"/>
      <x:c r="M288" s="30"/>
      <x:c r="N288" s="30"/>
      <x:c r="Y288" s="30"/>
      <x:c r="Z288" s="30"/>
      <x:c r="AA288" s="30"/>
      <x:c r="AB288" s="30"/>
    </x:row>
    <x:row r="289">
      <x:c r="B289" s="28"/>
      <x:c r="I289" t="str">
        <x:f>IF(OR(G289="",H289=""),"",G289+H289)</x:f>
      </x:c>
      <x:c r="J289" t="str">
        <x:f>IF(I289="","",IF(I289&gt;2.5,"OVER","UNDER"))</x:f>
      </x:c>
      <x:c r="K289" s="30"/>
      <x:c r="L289" s="30"/>
      <x:c r="M289" s="30"/>
      <x:c r="N289" s="30"/>
      <x:c r="Y289" s="30"/>
      <x:c r="Z289" s="30"/>
      <x:c r="AA289" s="30"/>
      <x:c r="AB289" s="30"/>
    </x:row>
    <x:row r="290">
      <x:c r="B290" s="28"/>
      <x:c r="I290" t="str">
        <x:f>IF(OR(G290="",H290=""),"",G290+H290)</x:f>
      </x:c>
      <x:c r="J290" t="str">
        <x:f>IF(I290="","",IF(I290&gt;2.5,"OVER","UNDER"))</x:f>
      </x:c>
      <x:c r="K290" s="30"/>
      <x:c r="L290" s="30"/>
      <x:c r="M290" s="30"/>
      <x:c r="N290" s="30"/>
      <x:c r="Y290" s="30"/>
      <x:c r="Z290" s="30"/>
      <x:c r="AA290" s="30"/>
      <x:c r="AB290" s="30"/>
    </x:row>
    <x:row r="291">
      <x:c r="B291" s="28"/>
      <x:c r="I291" t="str">
        <x:f>IF(OR(G291="",H291=""),"",G291+H291)</x:f>
      </x:c>
      <x:c r="J291" t="str">
        <x:f>IF(I291="","",IF(I291&gt;2.5,"OVER","UNDER"))</x:f>
      </x:c>
      <x:c r="K291" s="30"/>
      <x:c r="L291" s="30"/>
      <x:c r="M291" s="30"/>
      <x:c r="N291" s="30"/>
      <x:c r="Y291" s="30"/>
      <x:c r="Z291" s="30"/>
      <x:c r="AA291" s="30"/>
      <x:c r="AB291" s="30"/>
    </x:row>
    <x:row r="292">
      <x:c r="B292" s="28"/>
      <x:c r="I292" t="str">
        <x:f>IF(OR(G292="",H292=""),"",G292+H292)</x:f>
      </x:c>
      <x:c r="J292" t="str">
        <x:f>IF(I292="","",IF(I292&gt;2.5,"OVER","UNDER"))</x:f>
      </x:c>
      <x:c r="K292" s="30"/>
      <x:c r="L292" s="30"/>
      <x:c r="M292" s="30"/>
      <x:c r="N292" s="30"/>
      <x:c r="Y292" s="30"/>
      <x:c r="Z292" s="30"/>
      <x:c r="AA292" s="30"/>
      <x:c r="AB292" s="30"/>
    </x:row>
    <x:row r="293">
      <x:c r="B293" s="28"/>
      <x:c r="I293" t="str">
        <x:f>IF(OR(G293="",H293=""),"",G293+H293)</x:f>
      </x:c>
      <x:c r="J293" t="str">
        <x:f>IF(I293="","",IF(I293&gt;2.5,"OVER","UNDER"))</x:f>
      </x:c>
      <x:c r="K293" s="30"/>
      <x:c r="L293" s="30"/>
      <x:c r="M293" s="30"/>
      <x:c r="N293" s="30"/>
      <x:c r="Y293" s="30"/>
      <x:c r="Z293" s="30"/>
      <x:c r="AA293" s="30"/>
      <x:c r="AB293" s="30"/>
    </x:row>
    <x:row r="294">
      <x:c r="B294" s="28"/>
      <x:c r="I294" t="str">
        <x:f>IF(OR(G294="",H294=""),"",G294+H294)</x:f>
      </x:c>
      <x:c r="J294" t="str">
        <x:f>IF(I294="","",IF(I294&gt;2.5,"OVER","UNDER"))</x:f>
      </x:c>
      <x:c r="K294" s="30"/>
      <x:c r="L294" s="30"/>
      <x:c r="M294" s="30"/>
      <x:c r="N294" s="30"/>
      <x:c r="Y294" s="30"/>
      <x:c r="Z294" s="30"/>
      <x:c r="AA294" s="30"/>
      <x:c r="AB294" s="30"/>
    </x:row>
    <x:row r="295">
      <x:c r="B295" s="28"/>
      <x:c r="I295" t="str">
        <x:f>IF(OR(G295="",H295=""),"",G295+H295)</x:f>
      </x:c>
      <x:c r="J295" t="str">
        <x:f>IF(I295="","",IF(I295&gt;2.5,"OVER","UNDER"))</x:f>
      </x:c>
      <x:c r="K295" s="30"/>
      <x:c r="L295" s="30"/>
      <x:c r="M295" s="30"/>
      <x:c r="N295" s="30"/>
      <x:c r="Y295" s="30"/>
      <x:c r="Z295" s="30"/>
      <x:c r="AA295" s="30"/>
      <x:c r="AB295" s="30"/>
    </x:row>
    <x:row r="296">
      <x:c r="B296" s="28"/>
      <x:c r="I296" t="str">
        <x:f>IF(OR(G296="",H296=""),"",G296+H296)</x:f>
      </x:c>
      <x:c r="J296" t="str">
        <x:f>IF(I296="","",IF(I296&gt;2.5,"OVER","UNDER"))</x:f>
      </x:c>
      <x:c r="K296" s="30"/>
      <x:c r="L296" s="30"/>
      <x:c r="M296" s="30"/>
      <x:c r="N296" s="30"/>
      <x:c r="Y296" s="30"/>
      <x:c r="Z296" s="30"/>
      <x:c r="AA296" s="30"/>
      <x:c r="AB296" s="30"/>
    </x:row>
    <x:row r="297">
      <x:c r="B297" s="28"/>
      <x:c r="I297" t="str">
        <x:f>IF(OR(G297="",H297=""),"",G297+H297)</x:f>
      </x:c>
      <x:c r="J297" t="str">
        <x:f>IF(I297="","",IF(I297&gt;2.5,"OVER","UNDER"))</x:f>
      </x:c>
      <x:c r="K297" s="30"/>
      <x:c r="L297" s="30"/>
      <x:c r="M297" s="30"/>
      <x:c r="N297" s="30"/>
      <x:c r="Y297" s="30"/>
      <x:c r="Z297" s="30"/>
      <x:c r="AA297" s="30"/>
      <x:c r="AB297" s="30"/>
    </x:row>
    <x:row r="298">
      <x:c r="B298" s="28"/>
      <x:c r="I298" t="str">
        <x:f>IF(OR(G298="",H298=""),"",G298+H298)</x:f>
      </x:c>
      <x:c r="J298" t="str">
        <x:f>IF(I298="","",IF(I298&gt;2.5,"OVER","UNDER"))</x:f>
      </x:c>
      <x:c r="K298" s="30"/>
      <x:c r="L298" s="30"/>
      <x:c r="M298" s="30"/>
      <x:c r="N298" s="30"/>
      <x:c r="Y298" s="30"/>
      <x:c r="Z298" s="30"/>
      <x:c r="AA298" s="30"/>
      <x:c r="AB298" s="30"/>
    </x:row>
    <x:row r="299">
      <x:c r="B299" s="28"/>
      <x:c r="I299" t="str">
        <x:f>IF(OR(G299="",H299=""),"",G299+H299)</x:f>
      </x:c>
      <x:c r="J299" t="str">
        <x:f>IF(I299="","",IF(I299&gt;2.5,"OVER","UNDER"))</x:f>
      </x:c>
      <x:c r="K299" s="30"/>
      <x:c r="L299" s="30"/>
      <x:c r="M299" s="30"/>
      <x:c r="N299" s="30"/>
      <x:c r="Y299" s="30"/>
      <x:c r="Z299" s="30"/>
      <x:c r="AA299" s="30"/>
      <x:c r="AB299" s="30"/>
    </x:row>
    <x:row r="300">
      <x:c r="B300" s="28"/>
      <x:c r="I300" t="str">
        <x:f>IF(OR(G300="",H300=""),"",G300+H300)</x:f>
      </x:c>
      <x:c r="J300" t="str">
        <x:f>IF(I300="","",IF(I300&gt;2.5,"OVER","UNDER"))</x:f>
      </x:c>
      <x:c r="K300" s="30"/>
      <x:c r="L300" s="30"/>
      <x:c r="M300" s="30"/>
      <x:c r="N300" s="30"/>
      <x:c r="Y300" s="30"/>
      <x:c r="Z300" s="30"/>
      <x:c r="AA300" s="30"/>
      <x:c r="AB300" s="30"/>
    </x:row>
    <x:row r="301">
      <x:c r="B301" s="28"/>
      <x:c r="I301" t="str">
        <x:f>IF(OR(G301="",H301=""),"",G301+H301)</x:f>
      </x:c>
      <x:c r="J301" t="str">
        <x:f>IF(I301="","",IF(I301&gt;2.5,"OVER","UNDER"))</x:f>
      </x:c>
      <x:c r="K301" s="30"/>
      <x:c r="L301" s="30"/>
      <x:c r="M301" s="30"/>
      <x:c r="N301" s="30"/>
      <x:c r="Y301" s="30"/>
      <x:c r="Z301" s="30"/>
      <x:c r="AA301" s="30"/>
      <x:c r="AB301" s="30"/>
    </x:row>
    <x:row r="302">
      <x:c r="B302" s="28"/>
      <x:c r="I302" t="str">
        <x:f>IF(OR(G302="",H302=""),"",G302+H302)</x:f>
      </x:c>
      <x:c r="J302" t="str">
        <x:f>IF(I302="","",IF(I302&gt;2.5,"OVER","UNDER"))</x:f>
      </x:c>
      <x:c r="K302" s="30"/>
      <x:c r="L302" s="30"/>
      <x:c r="M302" s="30"/>
      <x:c r="N302" s="30"/>
      <x:c r="Y302" s="30"/>
      <x:c r="Z302" s="30"/>
      <x:c r="AA302" s="30"/>
      <x:c r="AB302" s="30"/>
    </x:row>
    <x:row r="303">
      <x:c r="B303" s="28"/>
      <x:c r="I303" t="str">
        <x:f>IF(OR(G303="",H303=""),"",G303+H303)</x:f>
      </x:c>
      <x:c r="J303" t="str">
        <x:f>IF(I303="","",IF(I303&gt;2.5,"OVER","UNDER"))</x:f>
      </x:c>
      <x:c r="K303" s="30"/>
      <x:c r="L303" s="30"/>
      <x:c r="M303" s="30"/>
      <x:c r="N303" s="30"/>
      <x:c r="Y303" s="30"/>
      <x:c r="Z303" s="30"/>
      <x:c r="AA303" s="30"/>
      <x:c r="AB303" s="30"/>
    </x:row>
    <x:row r="304">
      <x:c r="B304" s="28"/>
      <x:c r="I304" t="str">
        <x:f>IF(OR(G304="",H304=""),"",G304+H304)</x:f>
      </x:c>
      <x:c r="J304" t="str">
        <x:f>IF(I304="","",IF(I304&gt;2.5,"OVER","UNDER"))</x:f>
      </x:c>
      <x:c r="K304" s="30"/>
      <x:c r="L304" s="30"/>
      <x:c r="M304" s="30"/>
      <x:c r="N304" s="30"/>
      <x:c r="Y304" s="30"/>
      <x:c r="Z304" s="30"/>
      <x:c r="AA304" s="30"/>
      <x:c r="AB304" s="30"/>
    </x:row>
    <x:row r="305">
      <x:c r="B305" s="28"/>
      <x:c r="I305" t="str">
        <x:f>IF(OR(G305="",H305=""),"",G305+H305)</x:f>
      </x:c>
      <x:c r="J305" t="str">
        <x:f>IF(I305="","",IF(I305&gt;2.5,"OVER","UNDER"))</x:f>
      </x:c>
      <x:c r="K305" s="30"/>
      <x:c r="L305" s="30"/>
      <x:c r="M305" s="30"/>
      <x:c r="N305" s="30"/>
      <x:c r="Y305" s="30"/>
      <x:c r="Z305" s="30"/>
      <x:c r="AA305" s="30"/>
      <x:c r="AB305" s="30"/>
    </x:row>
    <x:row r="306">
      <x:c r="B306" s="28"/>
      <x:c r="I306" t="str">
        <x:f>IF(OR(G306="",H306=""),"",G306+H306)</x:f>
      </x:c>
      <x:c r="J306" t="str">
        <x:f>IF(I306="","",IF(I306&gt;2.5,"OVER","UNDER"))</x:f>
      </x:c>
      <x:c r="K306" s="30"/>
      <x:c r="L306" s="30"/>
      <x:c r="M306" s="30"/>
      <x:c r="N306" s="30"/>
      <x:c r="Y306" s="30"/>
      <x:c r="Z306" s="30"/>
      <x:c r="AA306" s="30"/>
      <x:c r="AB306" s="30"/>
    </x:row>
    <x:row r="307">
      <x:c r="B307" s="28"/>
      <x:c r="I307" t="str">
        <x:f>IF(OR(G307="",H307=""),"",G307+H307)</x:f>
      </x:c>
      <x:c r="J307" t="str">
        <x:f>IF(I307="","",IF(I307&gt;2.5,"OVER","UNDER"))</x:f>
      </x:c>
      <x:c r="K307" s="30"/>
      <x:c r="L307" s="30"/>
      <x:c r="M307" s="30"/>
      <x:c r="N307" s="30"/>
      <x:c r="Y307" s="30"/>
      <x:c r="Z307" s="30"/>
      <x:c r="AA307" s="30"/>
      <x:c r="AB307" s="30"/>
    </x:row>
    <x:row r="308">
      <x:c r="B308" s="28"/>
      <x:c r="I308" t="str">
        <x:f>IF(OR(G308="",H308=""),"",G308+H308)</x:f>
      </x:c>
      <x:c r="J308" t="str">
        <x:f>IF(I308="","",IF(I308&gt;2.5,"OVER","UNDER"))</x:f>
      </x:c>
      <x:c r="K308" s="30"/>
      <x:c r="L308" s="30"/>
      <x:c r="M308" s="30"/>
      <x:c r="N308" s="30"/>
      <x:c r="Y308" s="30"/>
      <x:c r="Z308" s="30"/>
      <x:c r="AA308" s="30"/>
      <x:c r="AB308" s="30"/>
    </x:row>
    <x:row r="309">
      <x:c r="B309" s="28"/>
      <x:c r="I309" t="str">
        <x:f>IF(OR(G309="",H309=""),"",G309+H309)</x:f>
      </x:c>
      <x:c r="J309" t="str">
        <x:f>IF(I309="","",IF(I309&gt;2.5,"OVER","UNDER"))</x:f>
      </x:c>
      <x:c r="K309" s="30"/>
      <x:c r="L309" s="30"/>
      <x:c r="M309" s="30"/>
      <x:c r="N309" s="30"/>
      <x:c r="Y309" s="30"/>
      <x:c r="Z309" s="30"/>
      <x:c r="AA309" s="30"/>
      <x:c r="AB309" s="30"/>
    </x:row>
    <x:row r="310">
      <x:c r="B310" s="28"/>
      <x:c r="I310" t="str">
        <x:f>IF(OR(G310="",H310=""),"",G310+H310)</x:f>
      </x:c>
      <x:c r="J310" t="str">
        <x:f>IF(I310="","",IF(I310&gt;2.5,"OVER","UNDER"))</x:f>
      </x:c>
      <x:c r="K310" s="30"/>
      <x:c r="L310" s="30"/>
      <x:c r="M310" s="30"/>
      <x:c r="N310" s="30"/>
      <x:c r="Y310" s="30"/>
      <x:c r="Z310" s="30"/>
      <x:c r="AA310" s="30"/>
      <x:c r="AB310" s="30"/>
    </x:row>
    <x:row r="311">
      <x:c r="B311" s="28"/>
      <x:c r="I311" t="str">
        <x:f>IF(OR(G311="",H311=""),"",G311+H311)</x:f>
      </x:c>
      <x:c r="J311" t="str">
        <x:f>IF(I311="","",IF(I311&gt;2.5,"OVER","UNDER"))</x:f>
      </x:c>
      <x:c r="K311" s="30"/>
      <x:c r="L311" s="30"/>
      <x:c r="M311" s="30"/>
      <x:c r="N311" s="30"/>
      <x:c r="Y311" s="30"/>
      <x:c r="Z311" s="30"/>
      <x:c r="AA311" s="30"/>
      <x:c r="AB311" s="30"/>
    </x:row>
    <x:row r="312">
      <x:c r="B312" s="28"/>
      <x:c r="I312" t="str">
        <x:f>IF(OR(G312="",H312=""),"",G312+H312)</x:f>
      </x:c>
      <x:c r="J312" t="str">
        <x:f>IF(I312="","",IF(I312&gt;2.5,"OVER","UNDER"))</x:f>
      </x:c>
      <x:c r="K312" s="30"/>
      <x:c r="L312" s="30"/>
      <x:c r="M312" s="30"/>
      <x:c r="N312" s="30"/>
      <x:c r="Y312" s="30"/>
      <x:c r="Z312" s="30"/>
      <x:c r="AA312" s="30"/>
      <x:c r="AB312" s="30"/>
    </x:row>
    <x:row r="313">
      <x:c r="B313" s="28"/>
      <x:c r="I313" t="str">
        <x:f>IF(OR(G313="",H313=""),"",G313+H313)</x:f>
      </x:c>
      <x:c r="J313" t="str">
        <x:f>IF(I313="","",IF(I313&gt;2.5,"OVER","UNDER"))</x:f>
      </x:c>
      <x:c r="K313" s="30"/>
      <x:c r="L313" s="30"/>
      <x:c r="M313" s="30"/>
      <x:c r="N313" s="30"/>
      <x:c r="Y313" s="30"/>
      <x:c r="Z313" s="30"/>
      <x:c r="AA313" s="30"/>
      <x:c r="AB313" s="30"/>
    </x:row>
    <x:row r="314">
      <x:c r="B314" s="28"/>
      <x:c r="I314" t="str">
        <x:f>IF(OR(G314="",H314=""),"",G314+H314)</x:f>
      </x:c>
      <x:c r="J314" t="str">
        <x:f>IF(I314="","",IF(I314&gt;2.5,"OVER","UNDER"))</x:f>
      </x:c>
      <x:c r="K314" s="30"/>
      <x:c r="L314" s="30"/>
      <x:c r="M314" s="30"/>
      <x:c r="N314" s="30"/>
      <x:c r="Y314" s="30"/>
      <x:c r="Z314" s="30"/>
      <x:c r="AA314" s="30"/>
      <x:c r="AB314" s="30"/>
    </x:row>
    <x:row r="315">
      <x:c r="B315" s="28"/>
      <x:c r="I315" t="str">
        <x:f>IF(OR(G315="",H315=""),"",G315+H315)</x:f>
      </x:c>
      <x:c r="J315" t="str">
        <x:f>IF(I315="","",IF(I315&gt;2.5,"OVER","UNDER"))</x:f>
      </x:c>
      <x:c r="K315" s="30"/>
      <x:c r="L315" s="30"/>
      <x:c r="M315" s="30"/>
      <x:c r="N315" s="30"/>
      <x:c r="Y315" s="30"/>
      <x:c r="Z315" s="30"/>
      <x:c r="AA315" s="30"/>
      <x:c r="AB315" s="30"/>
    </x:row>
    <x:row r="316">
      <x:c r="B316" s="28"/>
      <x:c r="I316" t="str">
        <x:f>IF(OR(G316="",H316=""),"",G316+H316)</x:f>
      </x:c>
      <x:c r="J316" t="str">
        <x:f>IF(I316="","",IF(I316&gt;2.5,"OVER","UNDER"))</x:f>
      </x:c>
      <x:c r="K316" s="30"/>
      <x:c r="L316" s="30"/>
      <x:c r="M316" s="30"/>
      <x:c r="N316" s="30"/>
      <x:c r="Y316" s="30"/>
      <x:c r="Z316" s="30"/>
      <x:c r="AA316" s="30"/>
      <x:c r="AB316" s="30"/>
    </x:row>
    <x:row r="317">
      <x:c r="B317" s="28"/>
      <x:c r="I317" t="str">
        <x:f>IF(OR(G317="",H317=""),"",G317+H317)</x:f>
      </x:c>
      <x:c r="J317" t="str">
        <x:f>IF(I317="","",IF(I317&gt;2.5,"OVER","UNDER"))</x:f>
      </x:c>
      <x:c r="K317" s="30"/>
      <x:c r="L317" s="30"/>
      <x:c r="M317" s="30"/>
      <x:c r="N317" s="30"/>
      <x:c r="Y317" s="30"/>
      <x:c r="Z317" s="30"/>
      <x:c r="AA317" s="30"/>
      <x:c r="AB317" s="30"/>
    </x:row>
    <x:row r="318">
      <x:c r="B318" s="28"/>
      <x:c r="I318" t="str">
        <x:f>IF(OR(G318="",H318=""),"",G318+H318)</x:f>
      </x:c>
      <x:c r="J318" t="str">
        <x:f>IF(I318="","",IF(I318&gt;2.5,"OVER","UNDER"))</x:f>
      </x:c>
      <x:c r="K318" s="30"/>
      <x:c r="L318" s="30"/>
      <x:c r="M318" s="30"/>
      <x:c r="N318" s="30"/>
      <x:c r="Y318" s="30"/>
      <x:c r="Z318" s="30"/>
      <x:c r="AA318" s="30"/>
      <x:c r="AB318" s="30"/>
    </x:row>
    <x:row r="319">
      <x:c r="B319" s="28"/>
      <x:c r="I319" t="str">
        <x:f>IF(OR(G319="",H319=""),"",G319+H319)</x:f>
      </x:c>
      <x:c r="J319" t="str">
        <x:f>IF(I319="","",IF(I319&gt;2.5,"OVER","UNDER"))</x:f>
      </x:c>
      <x:c r="K319" s="30"/>
      <x:c r="L319" s="30"/>
      <x:c r="M319" s="30"/>
      <x:c r="N319" s="30"/>
      <x:c r="Y319" s="30"/>
      <x:c r="Z319" s="30"/>
      <x:c r="AA319" s="30"/>
      <x:c r="AB319" s="30"/>
    </x:row>
    <x:row r="320">
      <x:c r="B320" s="28"/>
      <x:c r="I320" t="str">
        <x:f>IF(OR(G320="",H320=""),"",G320+H320)</x:f>
      </x:c>
      <x:c r="J320" t="str">
        <x:f>IF(I320="","",IF(I320&gt;2.5,"OVER","UNDER"))</x:f>
      </x:c>
      <x:c r="K320" s="30"/>
      <x:c r="L320" s="30"/>
      <x:c r="M320" s="30"/>
      <x:c r="N320" s="30"/>
      <x:c r="Y320" s="30"/>
      <x:c r="Z320" s="30"/>
      <x:c r="AA320" s="30"/>
      <x:c r="AB320" s="30"/>
    </x:row>
    <x:row r="321">
      <x:c r="B321" s="28"/>
      <x:c r="I321" t="str">
        <x:f>IF(OR(G321="",H321=""),"",G321+H321)</x:f>
      </x:c>
      <x:c r="J321" t="str">
        <x:f>IF(I321="","",IF(I321&gt;2.5,"OVER","UNDER"))</x:f>
      </x:c>
      <x:c r="K321" s="30"/>
      <x:c r="L321" s="30"/>
      <x:c r="M321" s="30"/>
      <x:c r="N321" s="30"/>
      <x:c r="Y321" s="30"/>
      <x:c r="Z321" s="30"/>
      <x:c r="AA321" s="30"/>
      <x:c r="AB321" s="30"/>
    </x:row>
    <x:row r="322">
      <x:c r="B322" s="28"/>
      <x:c r="I322" t="str">
        <x:f>IF(OR(G322="",H322=""),"",G322+H322)</x:f>
      </x:c>
      <x:c r="J322" t="str">
        <x:f>IF(I322="","",IF(I322&gt;2.5,"OVER","UNDER"))</x:f>
      </x:c>
      <x:c r="K322" s="30"/>
      <x:c r="L322" s="30"/>
      <x:c r="M322" s="30"/>
      <x:c r="N322" s="30"/>
      <x:c r="Y322" s="30"/>
      <x:c r="Z322" s="30"/>
      <x:c r="AA322" s="30"/>
      <x:c r="AB322" s="30"/>
    </x:row>
    <x:row r="323">
      <x:c r="B323" s="28"/>
      <x:c r="I323" t="str">
        <x:f>IF(OR(G323="",H323=""),"",G323+H323)</x:f>
      </x:c>
      <x:c r="J323" t="str">
        <x:f>IF(I323="","",IF(I323&gt;2.5,"OVER","UNDER"))</x:f>
      </x:c>
      <x:c r="K323" s="30"/>
      <x:c r="L323" s="30"/>
      <x:c r="M323" s="30"/>
      <x:c r="N323" s="30"/>
      <x:c r="Y323" s="30"/>
      <x:c r="Z323" s="30"/>
      <x:c r="AA323" s="30"/>
      <x:c r="AB323" s="30"/>
    </x:row>
    <x:row r="324">
      <x:c r="B324" s="28"/>
      <x:c r="I324" t="str">
        <x:f>IF(OR(G324="",H324=""),"",G324+H324)</x:f>
      </x:c>
      <x:c r="J324" t="str">
        <x:f>IF(I324="","",IF(I324&gt;2.5,"OVER","UNDER"))</x:f>
      </x:c>
      <x:c r="K324" s="30"/>
      <x:c r="L324" s="30"/>
      <x:c r="M324" s="30"/>
      <x:c r="N324" s="30"/>
      <x:c r="Y324" s="30"/>
      <x:c r="Z324" s="30"/>
      <x:c r="AA324" s="30"/>
      <x:c r="AB324" s="30"/>
    </x:row>
    <x:row r="325">
      <x:c r="B325" s="28"/>
      <x:c r="I325" t="str">
        <x:f>IF(OR(G325="",H325=""),"",G325+H325)</x:f>
      </x:c>
      <x:c r="J325" t="str">
        <x:f>IF(I325="","",IF(I325&gt;2.5,"OVER","UNDER"))</x:f>
      </x:c>
      <x:c r="K325" s="30"/>
      <x:c r="L325" s="30"/>
      <x:c r="M325" s="30"/>
      <x:c r="N325" s="30"/>
      <x:c r="Y325" s="30"/>
      <x:c r="Z325" s="30"/>
      <x:c r="AA325" s="30"/>
      <x:c r="AB325" s="30"/>
    </x:row>
    <x:row r="326">
      <x:c r="B326" s="28"/>
      <x:c r="I326" t="str">
        <x:f>IF(OR(G326="",H326=""),"",G326+H326)</x:f>
      </x:c>
      <x:c r="J326" t="str">
        <x:f>IF(I326="","",IF(I326&gt;2.5,"OVER","UNDER"))</x:f>
      </x:c>
      <x:c r="K326" s="30"/>
      <x:c r="L326" s="30"/>
      <x:c r="M326" s="30"/>
      <x:c r="N326" s="30"/>
      <x:c r="Y326" s="30"/>
      <x:c r="Z326" s="30"/>
      <x:c r="AA326" s="30"/>
      <x:c r="AB326" s="30"/>
    </x:row>
    <x:row r="327">
      <x:c r="B327" s="28"/>
      <x:c r="I327" t="str">
        <x:f>IF(OR(G327="",H327=""),"",G327+H327)</x:f>
      </x:c>
      <x:c r="J327" t="str">
        <x:f>IF(I327="","",IF(I327&gt;2.5,"OVER","UNDER"))</x:f>
      </x:c>
      <x:c r="K327" s="30"/>
      <x:c r="L327" s="30"/>
      <x:c r="M327" s="30"/>
      <x:c r="N327" s="30"/>
      <x:c r="Y327" s="30"/>
      <x:c r="Z327" s="30"/>
      <x:c r="AA327" s="30"/>
      <x:c r="AB327" s="30"/>
    </x:row>
    <x:row r="328">
      <x:c r="B328" s="28"/>
      <x:c r="I328" t="str">
        <x:f>IF(OR(G328="",H328=""),"",G328+H328)</x:f>
      </x:c>
      <x:c r="J328" t="str">
        <x:f>IF(I328="","",IF(I328&gt;2.5,"OVER","UNDER"))</x:f>
      </x:c>
      <x:c r="K328" s="30"/>
      <x:c r="L328" s="30"/>
      <x:c r="M328" s="30"/>
      <x:c r="N328" s="30"/>
      <x:c r="Y328" s="30"/>
      <x:c r="Z328" s="30"/>
      <x:c r="AA328" s="30"/>
      <x:c r="AB328" s="30"/>
    </x:row>
    <x:row r="329">
      <x:c r="B329" s="28"/>
      <x:c r="I329" t="str">
        <x:f>IF(OR(G329="",H329=""),"",G329+H329)</x:f>
      </x:c>
      <x:c r="J329" t="str">
        <x:f>IF(I329="","",IF(I329&gt;2.5,"OVER","UNDER"))</x:f>
      </x:c>
      <x:c r="K329" s="30"/>
      <x:c r="L329" s="30"/>
      <x:c r="M329" s="30"/>
      <x:c r="N329" s="30"/>
      <x:c r="Y329" s="30"/>
      <x:c r="Z329" s="30"/>
      <x:c r="AA329" s="30"/>
      <x:c r="AB329" s="30"/>
    </x:row>
    <x:row r="330">
      <x:c r="B330" s="28"/>
      <x:c r="I330" t="str">
        <x:f>IF(OR(G330="",H330=""),"",G330+H330)</x:f>
      </x:c>
      <x:c r="J330" t="str">
        <x:f>IF(I330="","",IF(I330&gt;2.5,"OVER","UNDER"))</x:f>
      </x:c>
      <x:c r="K330" s="30"/>
      <x:c r="L330" s="30"/>
      <x:c r="M330" s="30"/>
      <x:c r="N330" s="30"/>
      <x:c r="Y330" s="30"/>
      <x:c r="Z330" s="30"/>
      <x:c r="AA330" s="30"/>
      <x:c r="AB330" s="30"/>
    </x:row>
    <x:row r="331">
      <x:c r="B331" s="28"/>
      <x:c r="I331" t="str">
        <x:f>IF(OR(G331="",H331=""),"",G331+H331)</x:f>
      </x:c>
      <x:c r="J331" t="str">
        <x:f>IF(I331="","",IF(I331&gt;2.5,"OVER","UNDER"))</x:f>
      </x:c>
      <x:c r="K331" s="30"/>
      <x:c r="L331" s="30"/>
      <x:c r="M331" s="30"/>
      <x:c r="N331" s="30"/>
      <x:c r="Y331" s="30"/>
      <x:c r="Z331" s="30"/>
      <x:c r="AA331" s="30"/>
      <x:c r="AB331" s="30"/>
    </x:row>
    <x:row r="332">
      <x:c r="B332" s="28"/>
      <x:c r="I332" t="str">
        <x:f>IF(OR(G332="",H332=""),"",G332+H332)</x:f>
      </x:c>
      <x:c r="J332" t="str">
        <x:f>IF(I332="","",IF(I332&gt;2.5,"OVER","UNDER"))</x:f>
      </x:c>
      <x:c r="K332" s="30"/>
      <x:c r="L332" s="30"/>
      <x:c r="M332" s="30"/>
      <x:c r="N332" s="30"/>
      <x:c r="Y332" s="30"/>
      <x:c r="Z332" s="30"/>
      <x:c r="AA332" s="30"/>
      <x:c r="AB332" s="30"/>
    </x:row>
    <x:row r="333">
      <x:c r="B333" s="28"/>
      <x:c r="I333" t="str">
        <x:f>IF(OR(G333="",H333=""),"",G333+H333)</x:f>
      </x:c>
      <x:c r="J333" t="str">
        <x:f>IF(I333="","",IF(I333&gt;2.5,"OVER","UNDER"))</x:f>
      </x:c>
      <x:c r="K333" s="30"/>
      <x:c r="L333" s="30"/>
      <x:c r="M333" s="30"/>
      <x:c r="N333" s="30"/>
      <x:c r="Y333" s="30"/>
      <x:c r="Z333" s="30"/>
      <x:c r="AA333" s="30"/>
      <x:c r="AB333" s="30"/>
    </x:row>
    <x:row r="334">
      <x:c r="B334" s="28"/>
      <x:c r="I334" t="str">
        <x:f>IF(OR(G334="",H334=""),"",G334+H334)</x:f>
      </x:c>
      <x:c r="J334" t="str">
        <x:f>IF(I334="","",IF(I334&gt;2.5,"OVER","UNDER"))</x:f>
      </x:c>
      <x:c r="K334" s="30"/>
      <x:c r="L334" s="30"/>
      <x:c r="M334" s="30"/>
      <x:c r="N334" s="30"/>
      <x:c r="Y334" s="30"/>
      <x:c r="Z334" s="30"/>
      <x:c r="AA334" s="30"/>
      <x:c r="AB334" s="30"/>
    </x:row>
    <x:row r="335">
      <x:c r="B335" s="28"/>
      <x:c r="I335" t="str">
        <x:f>IF(OR(G335="",H335=""),"",G335+H335)</x:f>
      </x:c>
      <x:c r="J335" t="str">
        <x:f>IF(I335="","",IF(I335&gt;2.5,"OVER","UNDER"))</x:f>
      </x:c>
      <x:c r="K335" s="30"/>
      <x:c r="L335" s="30"/>
      <x:c r="M335" s="30"/>
      <x:c r="N335" s="30"/>
      <x:c r="Y335" s="30"/>
      <x:c r="Z335" s="30"/>
      <x:c r="AA335" s="30"/>
      <x:c r="AB335" s="30"/>
    </x:row>
    <x:row r="336">
      <x:c r="B336" s="28"/>
      <x:c r="I336" t="str">
        <x:f>IF(OR(G336="",H336=""),"",G336+H336)</x:f>
      </x:c>
      <x:c r="J336" t="str">
        <x:f>IF(I336="","",IF(I336&gt;2.5,"OVER","UNDER"))</x:f>
      </x:c>
      <x:c r="K336" s="30"/>
      <x:c r="L336" s="30"/>
      <x:c r="M336" s="30"/>
      <x:c r="N336" s="30"/>
      <x:c r="Y336" s="30"/>
      <x:c r="Z336" s="30"/>
      <x:c r="AA336" s="30"/>
      <x:c r="AB336" s="30"/>
    </x:row>
    <x:row r="337">
      <x:c r="B337" s="28"/>
      <x:c r="I337" t="str">
        <x:f>IF(OR(G337="",H337=""),"",G337+H337)</x:f>
      </x:c>
      <x:c r="J337" t="str">
        <x:f>IF(I337="","",IF(I337&gt;2.5,"OVER","UNDER"))</x:f>
      </x:c>
      <x:c r="K337" s="30"/>
      <x:c r="L337" s="30"/>
      <x:c r="M337" s="30"/>
      <x:c r="N337" s="30"/>
      <x:c r="Y337" s="30"/>
      <x:c r="Z337" s="30"/>
      <x:c r="AA337" s="30"/>
      <x:c r="AB337" s="30"/>
    </x:row>
    <x:row r="338">
      <x:c r="B338" s="28"/>
      <x:c r="I338" t="str">
        <x:f>IF(OR(G338="",H338=""),"",G338+H338)</x:f>
      </x:c>
      <x:c r="J338" t="str">
        <x:f>IF(I338="","",IF(I338&gt;2.5,"OVER","UNDER"))</x:f>
      </x:c>
      <x:c r="K338" s="30"/>
      <x:c r="L338" s="30"/>
      <x:c r="M338" s="30"/>
      <x:c r="N338" s="30"/>
      <x:c r="Y338" s="30"/>
      <x:c r="Z338" s="30"/>
      <x:c r="AA338" s="30"/>
      <x:c r="AB338" s="30"/>
    </x:row>
    <x:row r="339">
      <x:c r="B339" s="28"/>
      <x:c r="I339" t="str">
        <x:f>IF(OR(G339="",H339=""),"",G339+H339)</x:f>
      </x:c>
      <x:c r="J339" t="str">
        <x:f>IF(I339="","",IF(I339&gt;2.5,"OVER","UNDER"))</x:f>
      </x:c>
      <x:c r="K339" s="30"/>
      <x:c r="L339" s="30"/>
      <x:c r="M339" s="30"/>
      <x:c r="N339" s="30"/>
      <x:c r="Y339" s="30"/>
      <x:c r="Z339" s="30"/>
      <x:c r="AA339" s="30"/>
      <x:c r="AB339" s="30"/>
    </x:row>
    <x:row r="340">
      <x:c r="B340" s="28"/>
      <x:c r="I340" t="str">
        <x:f>IF(OR(G340="",H340=""),"",G340+H340)</x:f>
      </x:c>
      <x:c r="J340" t="str">
        <x:f>IF(I340="","",IF(I340&gt;2.5,"OVER","UNDER"))</x:f>
      </x:c>
      <x:c r="K340" s="30"/>
      <x:c r="L340" s="30"/>
      <x:c r="M340" s="30"/>
      <x:c r="N340" s="30"/>
      <x:c r="Y340" s="30"/>
      <x:c r="Z340" s="30"/>
      <x:c r="AA340" s="30"/>
      <x:c r="AB340" s="30"/>
    </x:row>
    <x:row r="341">
      <x:c r="B341" s="28"/>
      <x:c r="I341" t="str">
        <x:f>IF(OR(G341="",H341=""),"",G341+H341)</x:f>
      </x:c>
      <x:c r="J341" t="str">
        <x:f>IF(I341="","",IF(I341&gt;2.5,"OVER","UNDER"))</x:f>
      </x:c>
      <x:c r="K341" s="30"/>
      <x:c r="L341" s="30"/>
      <x:c r="M341" s="30"/>
      <x:c r="N341" s="30"/>
      <x:c r="Y341" s="30"/>
      <x:c r="Z341" s="30"/>
      <x:c r="AA341" s="30"/>
      <x:c r="AB341" s="30"/>
    </x:row>
    <x:row r="342">
      <x:c r="B342" s="28"/>
      <x:c r="I342" t="str">
        <x:f>IF(OR(G342="",H342=""),"",G342+H342)</x:f>
      </x:c>
      <x:c r="J342" t="str">
        <x:f>IF(I342="","",IF(I342&gt;2.5,"OVER","UNDER"))</x:f>
      </x:c>
      <x:c r="K342" s="30"/>
      <x:c r="L342" s="30"/>
      <x:c r="M342" s="30"/>
      <x:c r="N342" s="30"/>
      <x:c r="Y342" s="30"/>
      <x:c r="Z342" s="30"/>
      <x:c r="AA342" s="30"/>
      <x:c r="AB342" s="30"/>
    </x:row>
    <x:row r="343">
      <x:c r="B343" s="28"/>
      <x:c r="I343" t="str">
        <x:f>IF(OR(G343="",H343=""),"",G343+H343)</x:f>
      </x:c>
      <x:c r="J343" t="str">
        <x:f>IF(I343="","",IF(I343&gt;2.5,"OVER","UNDER"))</x:f>
      </x:c>
      <x:c r="K343" s="30"/>
      <x:c r="L343" s="30"/>
      <x:c r="M343" s="30"/>
      <x:c r="N343" s="30"/>
      <x:c r="Y343" s="30"/>
      <x:c r="Z343" s="30"/>
      <x:c r="AA343" s="30"/>
      <x:c r="AB343" s="30"/>
    </x:row>
    <x:row r="344">
      <x:c r="B344" s="28"/>
      <x:c r="I344" t="str">
        <x:f>IF(OR(G344="",H344=""),"",G344+H344)</x:f>
      </x:c>
      <x:c r="J344" t="str">
        <x:f>IF(I344="","",IF(I344&gt;2.5,"OVER","UNDER"))</x:f>
      </x:c>
      <x:c r="K344" s="30"/>
      <x:c r="L344" s="30"/>
      <x:c r="M344" s="30"/>
      <x:c r="N344" s="30"/>
      <x:c r="Y344" s="30"/>
      <x:c r="Z344" s="30"/>
      <x:c r="AA344" s="30"/>
      <x:c r="AB344" s="30"/>
    </x:row>
    <x:row r="345">
      <x:c r="B345" s="28"/>
      <x:c r="I345" t="str">
        <x:f>IF(OR(G345="",H345=""),"",G345+H345)</x:f>
      </x:c>
      <x:c r="J345" t="str">
        <x:f>IF(I345="","",IF(I345&gt;2.5,"OVER","UNDER"))</x:f>
      </x:c>
      <x:c r="K345" s="30"/>
      <x:c r="L345" s="30"/>
      <x:c r="M345" s="30"/>
      <x:c r="N345" s="30"/>
      <x:c r="Y345" s="30"/>
      <x:c r="Z345" s="30"/>
      <x:c r="AA345" s="30"/>
      <x:c r="AB345" s="30"/>
    </x:row>
    <x:row r="346">
      <x:c r="B346" s="28"/>
      <x:c r="I346" t="str">
        <x:f>IF(OR(G346="",H346=""),"",G346+H346)</x:f>
      </x:c>
      <x:c r="J346" t="str">
        <x:f>IF(I346="","",IF(I346&gt;2.5,"OVER","UNDER"))</x:f>
      </x:c>
      <x:c r="K346" s="30"/>
      <x:c r="L346" s="30"/>
      <x:c r="M346" s="30"/>
      <x:c r="N346" s="30"/>
      <x:c r="Y346" s="30"/>
      <x:c r="Z346" s="30"/>
      <x:c r="AA346" s="30"/>
      <x:c r="AB346" s="30"/>
    </x:row>
    <x:row r="347">
      <x:c r="B347" s="28"/>
      <x:c r="I347" t="str">
        <x:f>IF(OR(G347="",H347=""),"",G347+H347)</x:f>
      </x:c>
      <x:c r="J347" t="str">
        <x:f>IF(I347="","",IF(I347&gt;2.5,"OVER","UNDER"))</x:f>
      </x:c>
      <x:c r="K347" s="30"/>
      <x:c r="L347" s="30"/>
      <x:c r="M347" s="30"/>
      <x:c r="N347" s="30"/>
      <x:c r="Y347" s="30"/>
      <x:c r="Z347" s="30"/>
      <x:c r="AA347" s="30"/>
      <x:c r="AB347" s="30"/>
    </x:row>
    <x:row r="348">
      <x:c r="B348" s="28"/>
      <x:c r="I348" t="str">
        <x:f>IF(OR(G348="",H348=""),"",G348+H348)</x:f>
      </x:c>
      <x:c r="J348" t="str">
        <x:f>IF(I348="","",IF(I348&gt;2.5,"OVER","UNDER"))</x:f>
      </x:c>
      <x:c r="K348" s="30"/>
      <x:c r="L348" s="30"/>
      <x:c r="M348" s="30"/>
      <x:c r="N348" s="30"/>
      <x:c r="Y348" s="30"/>
      <x:c r="Z348" s="30"/>
      <x:c r="AA348" s="30"/>
      <x:c r="AB348" s="30"/>
    </x:row>
    <x:row r="349">
      <x:c r="B349" s="28"/>
      <x:c r="I349" t="str">
        <x:f>IF(OR(G349="",H349=""),"",G349+H349)</x:f>
      </x:c>
      <x:c r="J349" t="str">
        <x:f>IF(I349="","",IF(I349&gt;2.5,"OVER","UNDER"))</x:f>
      </x:c>
      <x:c r="K349" s="30"/>
      <x:c r="L349" s="30"/>
      <x:c r="M349" s="30"/>
      <x:c r="N349" s="30"/>
      <x:c r="Y349" s="30"/>
      <x:c r="Z349" s="30"/>
      <x:c r="AA349" s="30"/>
      <x:c r="AB349" s="30"/>
    </x:row>
    <x:row r="350">
      <x:c r="B350" s="28"/>
      <x:c r="I350" t="str">
        <x:f>IF(OR(G350="",H350=""),"",G350+H350)</x:f>
      </x:c>
      <x:c r="J350" t="str">
        <x:f>IF(I350="","",IF(I350&gt;2.5,"OVER","UNDER"))</x:f>
      </x:c>
      <x:c r="K350" s="30"/>
      <x:c r="L350" s="30"/>
      <x:c r="M350" s="30"/>
      <x:c r="N350" s="30"/>
      <x:c r="Y350" s="30"/>
      <x:c r="Z350" s="30"/>
      <x:c r="AA350" s="30"/>
      <x:c r="AB350" s="30"/>
    </x:row>
    <x:row r="351">
      <x:c r="B351" s="28"/>
      <x:c r="I351" t="str">
        <x:f>IF(OR(G351="",H351=""),"",G351+H351)</x:f>
      </x:c>
      <x:c r="J351" t="str">
        <x:f>IF(I351="","",IF(I351&gt;2.5,"OVER","UNDER"))</x:f>
      </x:c>
      <x:c r="K351" s="30"/>
      <x:c r="L351" s="30"/>
      <x:c r="M351" s="30"/>
      <x:c r="N351" s="30"/>
      <x:c r="Y351" s="30"/>
      <x:c r="Z351" s="30"/>
      <x:c r="AA351" s="30"/>
      <x:c r="AB351" s="30"/>
    </x:row>
    <x:row r="352">
      <x:c r="B352" s="28"/>
      <x:c r="I352" t="str">
        <x:f>IF(OR(G352="",H352=""),"",G352+H352)</x:f>
      </x:c>
      <x:c r="J352" t="str">
        <x:f>IF(I352="","",IF(I352&gt;2.5,"OVER","UNDER"))</x:f>
      </x:c>
      <x:c r="K352" s="30"/>
      <x:c r="L352" s="30"/>
      <x:c r="M352" s="30"/>
      <x:c r="N352" s="30"/>
      <x:c r="Y352" s="30"/>
      <x:c r="Z352" s="30"/>
      <x:c r="AA352" s="30"/>
      <x:c r="AB352" s="30"/>
    </x:row>
    <x:row r="353">
      <x:c r="B353" s="28"/>
      <x:c r="I353" t="str">
        <x:f>IF(OR(G353="",H353=""),"",G353+H353)</x:f>
      </x:c>
      <x:c r="J353" t="str">
        <x:f>IF(I353="","",IF(I353&gt;2.5,"OVER","UNDER"))</x:f>
      </x:c>
      <x:c r="K353" s="30"/>
      <x:c r="L353" s="30"/>
      <x:c r="M353" s="30"/>
      <x:c r="N353" s="30"/>
      <x:c r="Y353" s="30"/>
      <x:c r="Z353" s="30"/>
      <x:c r="AA353" s="30"/>
      <x:c r="AB353" s="30"/>
    </x:row>
    <x:row r="354">
      <x:c r="B354" s="28"/>
      <x:c r="I354" t="str">
        <x:f>IF(OR(G354="",H354=""),"",G354+H354)</x:f>
      </x:c>
      <x:c r="J354" t="str">
        <x:f>IF(I354="","",IF(I354&gt;2.5,"OVER","UNDER"))</x:f>
      </x:c>
      <x:c r="K354" s="30"/>
      <x:c r="L354" s="30"/>
      <x:c r="M354" s="30"/>
      <x:c r="N354" s="30"/>
      <x:c r="Y354" s="30"/>
      <x:c r="Z354" s="30"/>
      <x:c r="AA354" s="30"/>
      <x:c r="AB354" s="30"/>
    </x:row>
    <x:row r="355">
      <x:c r="B355" s="28"/>
      <x:c r="I355" t="str">
        <x:f>IF(OR(G355="",H355=""),"",G355+H355)</x:f>
      </x:c>
      <x:c r="J355" t="str">
        <x:f>IF(I355="","",IF(I355&gt;2.5,"OVER","UNDER"))</x:f>
      </x:c>
      <x:c r="K355" s="30"/>
      <x:c r="L355" s="30"/>
      <x:c r="M355" s="30"/>
      <x:c r="N355" s="30"/>
      <x:c r="Y355" s="30"/>
      <x:c r="Z355" s="30"/>
      <x:c r="AA355" s="30"/>
      <x:c r="AB355" s="30"/>
    </x:row>
    <x:row r="356">
      <x:c r="B356" s="28"/>
      <x:c r="I356" t="str">
        <x:f>IF(OR(G356="",H356=""),"",G356+H356)</x:f>
      </x:c>
      <x:c r="J356" t="str">
        <x:f>IF(I356="","",IF(I356&gt;2.5,"OVER","UNDER"))</x:f>
      </x:c>
      <x:c r="K356" s="30"/>
      <x:c r="L356" s="30"/>
      <x:c r="M356" s="30"/>
      <x:c r="N356" s="30"/>
      <x:c r="Y356" s="30"/>
      <x:c r="Z356" s="30"/>
      <x:c r="AA356" s="30"/>
      <x:c r="AB356" s="30"/>
    </x:row>
    <x:row r="357">
      <x:c r="B357" s="28"/>
      <x:c r="I357" t="str">
        <x:f>IF(OR(G357="",H357=""),"",G357+H357)</x:f>
      </x:c>
      <x:c r="J357" t="str">
        <x:f>IF(I357="","",IF(I357&gt;2.5,"OVER","UNDER"))</x:f>
      </x:c>
      <x:c r="K357" s="30"/>
      <x:c r="L357" s="30"/>
      <x:c r="M357" s="30"/>
      <x:c r="N357" s="30"/>
      <x:c r="Y357" s="30"/>
      <x:c r="Z357" s="30"/>
      <x:c r="AA357" s="30"/>
      <x:c r="AB357" s="30"/>
    </x:row>
    <x:row r="358">
      <x:c r="B358" s="28"/>
      <x:c r="I358" t="str">
        <x:f>IF(OR(G358="",H358=""),"",G358+H358)</x:f>
      </x:c>
      <x:c r="J358" t="str">
        <x:f>IF(I358="","",IF(I358&gt;2.5,"OVER","UNDER"))</x:f>
      </x:c>
      <x:c r="K358" s="30"/>
      <x:c r="L358" s="30"/>
      <x:c r="M358" s="30"/>
      <x:c r="N358" s="30"/>
      <x:c r="Y358" s="30"/>
      <x:c r="Z358" s="30"/>
      <x:c r="AA358" s="30"/>
      <x:c r="AB358" s="30"/>
    </x:row>
    <x:row r="359">
      <x:c r="B359" s="28"/>
      <x:c r="I359" t="str">
        <x:f>IF(OR(G359="",H359=""),"",G359+H359)</x:f>
      </x:c>
      <x:c r="J359" t="str">
        <x:f>IF(I359="","",IF(I359&gt;2.5,"OVER","UNDER"))</x:f>
      </x:c>
      <x:c r="K359" s="30"/>
      <x:c r="L359" s="30"/>
      <x:c r="M359" s="30"/>
      <x:c r="N359" s="30"/>
      <x:c r="Y359" s="30"/>
      <x:c r="Z359" s="30"/>
      <x:c r="AA359" s="30"/>
      <x:c r="AB359" s="30"/>
    </x:row>
    <x:row r="360">
      <x:c r="B360" s="28"/>
      <x:c r="I360" t="str">
        <x:f>IF(OR(G360="",H360=""),"",G360+H360)</x:f>
      </x:c>
      <x:c r="J360" t="str">
        <x:f>IF(I360="","",IF(I360&gt;2.5,"OVER","UNDER"))</x:f>
      </x:c>
      <x:c r="K360" s="30"/>
      <x:c r="L360" s="30"/>
      <x:c r="M360" s="30"/>
      <x:c r="N360" s="30"/>
      <x:c r="Y360" s="30"/>
      <x:c r="Z360" s="30"/>
      <x:c r="AA360" s="30"/>
      <x:c r="AB360" s="30"/>
    </x:row>
    <x:row r="361">
      <x:c r="B361" s="28"/>
      <x:c r="I361" t="str">
        <x:f>IF(OR(G361="",H361=""),"",G361+H361)</x:f>
      </x:c>
      <x:c r="J361" t="str">
        <x:f>IF(I361="","",IF(I361&gt;2.5,"OVER","UNDER"))</x:f>
      </x:c>
      <x:c r="K361" s="30"/>
      <x:c r="L361" s="30"/>
      <x:c r="M361" s="30"/>
      <x:c r="N361" s="30"/>
      <x:c r="Y361" s="30"/>
      <x:c r="Z361" s="30"/>
      <x:c r="AA361" s="30"/>
      <x:c r="AB361" s="30"/>
    </x:row>
    <x:row r="362">
      <x:c r="B362" s="28"/>
      <x:c r="I362" t="str">
        <x:f>IF(OR(G362="",H362=""),"",G362+H362)</x:f>
      </x:c>
      <x:c r="J362" t="str">
        <x:f>IF(I362="","",IF(I362&gt;2.5,"OVER","UNDER"))</x:f>
      </x:c>
      <x:c r="K362" s="30"/>
      <x:c r="L362" s="30"/>
      <x:c r="M362" s="30"/>
      <x:c r="N362" s="30"/>
      <x:c r="Y362" s="30"/>
      <x:c r="Z362" s="30"/>
      <x:c r="AA362" s="30"/>
      <x:c r="AB362" s="30"/>
    </x:row>
    <x:row r="363">
      <x:c r="B363" s="28"/>
      <x:c r="I363" t="str">
        <x:f>IF(OR(G363="",H363=""),"",G363+H363)</x:f>
      </x:c>
      <x:c r="J363" t="str">
        <x:f>IF(I363="","",IF(I363&gt;2.5,"OVER","UNDER"))</x:f>
      </x:c>
      <x:c r="K363" s="30"/>
      <x:c r="L363" s="30"/>
      <x:c r="M363" s="30"/>
      <x:c r="N363" s="30"/>
      <x:c r="Y363" s="30"/>
      <x:c r="Z363" s="30"/>
      <x:c r="AA363" s="30"/>
      <x:c r="AB363" s="30"/>
    </x:row>
    <x:row r="364">
      <x:c r="B364" s="28"/>
      <x:c r="I364" t="str">
        <x:f>IF(OR(G364="",H364=""),"",G364+H364)</x:f>
      </x:c>
      <x:c r="J364" t="str">
        <x:f>IF(I364="","",IF(I364&gt;2.5,"OVER","UNDER"))</x:f>
      </x:c>
      <x:c r="K364" s="30"/>
      <x:c r="L364" s="30"/>
      <x:c r="M364" s="30"/>
      <x:c r="N364" s="30"/>
      <x:c r="Y364" s="30"/>
      <x:c r="Z364" s="30"/>
      <x:c r="AA364" s="30"/>
      <x:c r="AB364" s="30"/>
    </x:row>
    <x:row r="365">
      <x:c r="B365" s="28"/>
      <x:c r="I365" t="str">
        <x:f>IF(OR(G365="",H365=""),"",G365+H365)</x:f>
      </x:c>
      <x:c r="J365" t="str">
        <x:f>IF(I365="","",IF(I365&gt;2.5,"OVER","UNDER"))</x:f>
      </x:c>
      <x:c r="K365" s="30"/>
      <x:c r="L365" s="30"/>
      <x:c r="M365" s="30"/>
      <x:c r="N365" s="30"/>
      <x:c r="Y365" s="30"/>
      <x:c r="Z365" s="30"/>
      <x:c r="AA365" s="30"/>
      <x:c r="AB365" s="30"/>
    </x:row>
    <x:row r="366">
      <x:c r="B366" s="28"/>
      <x:c r="I366" t="str">
        <x:f>IF(OR(G366="",H366=""),"",G366+H366)</x:f>
      </x:c>
      <x:c r="J366" t="str">
        <x:f>IF(I366="","",IF(I366&gt;2.5,"OVER","UNDER"))</x:f>
      </x:c>
      <x:c r="K366" s="30"/>
      <x:c r="L366" s="30"/>
      <x:c r="M366" s="30"/>
      <x:c r="N366" s="30"/>
      <x:c r="Y366" s="30"/>
      <x:c r="Z366" s="30"/>
      <x:c r="AA366" s="30"/>
      <x:c r="AB366" s="30"/>
    </x:row>
    <x:row r="367">
      <x:c r="B367" s="28"/>
      <x:c r="I367" t="str">
        <x:f>IF(OR(G367="",H367=""),"",G367+H367)</x:f>
      </x:c>
      <x:c r="J367" t="str">
        <x:f>IF(I367="","",IF(I367&gt;2.5,"OVER","UNDER"))</x:f>
      </x:c>
      <x:c r="K367" s="30"/>
      <x:c r="L367" s="30"/>
      <x:c r="M367" s="30"/>
      <x:c r="N367" s="30"/>
      <x:c r="Y367" s="30"/>
      <x:c r="Z367" s="30"/>
      <x:c r="AA367" s="30"/>
      <x:c r="AB367" s="30"/>
    </x:row>
    <x:row r="368">
      <x:c r="B368" s="28"/>
      <x:c r="I368" t="str">
        <x:f>IF(OR(G368="",H368=""),"",G368+H368)</x:f>
      </x:c>
      <x:c r="J368" t="str">
        <x:f>IF(I368="","",IF(I368&gt;2.5,"OVER","UNDER"))</x:f>
      </x:c>
      <x:c r="K368" s="30"/>
      <x:c r="L368" s="30"/>
      <x:c r="M368" s="30"/>
      <x:c r="N368" s="30"/>
      <x:c r="Y368" s="30"/>
      <x:c r="Z368" s="30"/>
      <x:c r="AA368" s="30"/>
      <x:c r="AB368" s="30"/>
    </x:row>
    <x:row r="369">
      <x:c r="B369" s="28"/>
      <x:c r="I369" t="str">
        <x:f>IF(OR(G369="",H369=""),"",G369+H369)</x:f>
      </x:c>
      <x:c r="J369" t="str">
        <x:f>IF(I369="","",IF(I369&gt;2.5,"OVER","UNDER"))</x:f>
      </x:c>
      <x:c r="K369" s="30"/>
      <x:c r="L369" s="30"/>
      <x:c r="M369" s="30"/>
      <x:c r="N369" s="30"/>
      <x:c r="Y369" s="30"/>
      <x:c r="Z369" s="30"/>
      <x:c r="AA369" s="30"/>
      <x:c r="AB369" s="30"/>
    </x:row>
    <x:row r="370">
      <x:c r="B370" s="28"/>
      <x:c r="I370" t="str">
        <x:f>IF(OR(G370="",H370=""),"",G370+H370)</x:f>
      </x:c>
      <x:c r="J370" t="str">
        <x:f>IF(I370="","",IF(I370&gt;2.5,"OVER","UNDER"))</x:f>
      </x:c>
      <x:c r="K370" s="30"/>
      <x:c r="L370" s="30"/>
      <x:c r="M370" s="30"/>
      <x:c r="N370" s="30"/>
      <x:c r="Y370" s="30"/>
      <x:c r="Z370" s="30"/>
      <x:c r="AA370" s="30"/>
      <x:c r="AB370" s="30"/>
    </x:row>
    <x:row r="371">
      <x:c r="B371" s="28"/>
      <x:c r="I371" t="str">
        <x:f>IF(OR(G371="",H371=""),"",G371+H371)</x:f>
      </x:c>
      <x:c r="J371" t="str">
        <x:f>IF(I371="","",IF(I371&gt;2.5,"OVER","UNDER"))</x:f>
      </x:c>
      <x:c r="K371" s="30"/>
      <x:c r="L371" s="30"/>
      <x:c r="M371" s="30"/>
      <x:c r="N371" s="30"/>
      <x:c r="Y371" s="30"/>
      <x:c r="Z371" s="30"/>
      <x:c r="AA371" s="30"/>
      <x:c r="AB371" s="30"/>
    </x:row>
    <x:row r="372">
      <x:c r="B372" s="28"/>
      <x:c r="I372" t="str">
        <x:f>IF(OR(G372="",H372=""),"",G372+H372)</x:f>
      </x:c>
      <x:c r="J372" t="str">
        <x:f>IF(I372="","",IF(I372&gt;2.5,"OVER","UNDER"))</x:f>
      </x:c>
      <x:c r="K372" s="30"/>
      <x:c r="L372" s="30"/>
      <x:c r="M372" s="30"/>
      <x:c r="N372" s="30"/>
      <x:c r="Y372" s="30"/>
      <x:c r="Z372" s="30"/>
      <x:c r="AA372" s="30"/>
      <x:c r="AB372" s="30"/>
    </x:row>
    <x:row r="373">
      <x:c r="B373" s="28"/>
      <x:c r="I373" t="str">
        <x:f>IF(OR(G373="",H373=""),"",G373+H373)</x:f>
      </x:c>
      <x:c r="J373" t="str">
        <x:f>IF(I373="","",IF(I373&gt;2.5,"OVER","UNDER"))</x:f>
      </x:c>
      <x:c r="K373" s="30"/>
      <x:c r="L373" s="30"/>
      <x:c r="M373" s="30"/>
      <x:c r="N373" s="30"/>
      <x:c r="Y373" s="30"/>
      <x:c r="Z373" s="30"/>
      <x:c r="AA373" s="30"/>
      <x:c r="AB373" s="30"/>
    </x:row>
    <x:row r="374">
      <x:c r="B374" s="28"/>
      <x:c r="I374" t="str">
        <x:f>IF(OR(G374="",H374=""),"",G374+H374)</x:f>
      </x:c>
      <x:c r="J374" t="str">
        <x:f>IF(I374="","",IF(I374&gt;2.5,"OVER","UNDER"))</x:f>
      </x:c>
      <x:c r="K374" s="30"/>
      <x:c r="L374" s="30"/>
      <x:c r="M374" s="30"/>
      <x:c r="N374" s="30"/>
      <x:c r="Y374" s="30"/>
      <x:c r="Z374" s="30"/>
      <x:c r="AA374" s="30"/>
      <x:c r="AB374" s="30"/>
    </x:row>
    <x:row r="375">
      <x:c r="B375" s="28"/>
      <x:c r="I375" t="str">
        <x:f>IF(OR(G375="",H375=""),"",G375+H375)</x:f>
      </x:c>
      <x:c r="J375" t="str">
        <x:f>IF(I375="","",IF(I375&gt;2.5,"OVER","UNDER"))</x:f>
      </x:c>
      <x:c r="K375" s="30"/>
      <x:c r="L375" s="30"/>
      <x:c r="M375" s="30"/>
      <x:c r="N375" s="30"/>
      <x:c r="Y375" s="30"/>
      <x:c r="Z375" s="30"/>
      <x:c r="AA375" s="30"/>
      <x:c r="AB375" s="30"/>
    </x:row>
    <x:row r="376">
      <x:c r="B376" s="28"/>
      <x:c r="I376" t="str">
        <x:f>IF(OR(G376="",H376=""),"",G376+H376)</x:f>
      </x:c>
      <x:c r="J376" t="str">
        <x:f>IF(I376="","",IF(I376&gt;2.5,"OVER","UNDER"))</x:f>
      </x:c>
      <x:c r="K376" s="30"/>
      <x:c r="L376" s="30"/>
      <x:c r="M376" s="30"/>
      <x:c r="N376" s="30"/>
      <x:c r="Y376" s="30"/>
      <x:c r="Z376" s="30"/>
      <x:c r="AA376" s="30"/>
      <x:c r="AB376" s="30"/>
    </x:row>
    <x:row r="377">
      <x:c r="B377" s="28"/>
      <x:c r="I377" t="str">
        <x:f>IF(OR(G377="",H377=""),"",G377+H377)</x:f>
      </x:c>
      <x:c r="J377" t="str">
        <x:f>IF(I377="","",IF(I377&gt;2.5,"OVER","UNDER"))</x:f>
      </x:c>
      <x:c r="K377" s="30"/>
      <x:c r="L377" s="30"/>
      <x:c r="M377" s="30"/>
      <x:c r="N377" s="30"/>
      <x:c r="Y377" s="30"/>
      <x:c r="Z377" s="30"/>
      <x:c r="AA377" s="30"/>
      <x:c r="AB377" s="30"/>
    </x:row>
    <x:row r="378">
      <x:c r="B378" s="28"/>
      <x:c r="I378" t="str">
        <x:f>IF(OR(G378="",H378=""),"",G378+H378)</x:f>
      </x:c>
      <x:c r="J378" t="str">
        <x:f>IF(I378="","",IF(I378&gt;2.5,"OVER","UNDER"))</x:f>
      </x:c>
      <x:c r="K378" s="30"/>
      <x:c r="L378" s="30"/>
      <x:c r="M378" s="30"/>
      <x:c r="N378" s="30"/>
      <x:c r="Y378" s="30"/>
      <x:c r="Z378" s="30"/>
      <x:c r="AA378" s="30"/>
      <x:c r="AB378" s="30"/>
    </x:row>
    <x:row r="379">
      <x:c r="B379" s="28"/>
      <x:c r="I379" t="str">
        <x:f>IF(OR(G379="",H379=""),"",G379+H379)</x:f>
      </x:c>
      <x:c r="J379" t="str">
        <x:f>IF(I379="","",IF(I379&gt;2.5,"OVER","UNDER"))</x:f>
      </x:c>
      <x:c r="K379" s="30"/>
      <x:c r="L379" s="30"/>
      <x:c r="M379" s="30"/>
      <x:c r="N379" s="30"/>
      <x:c r="Y379" s="30"/>
      <x:c r="Z379" s="30"/>
      <x:c r="AA379" s="30"/>
      <x:c r="AB379" s="30"/>
    </x:row>
    <x:row r="380">
      <x:c r="B380" s="28"/>
      <x:c r="I380" t="str">
        <x:f>IF(OR(G380="",H380=""),"",G380+H380)</x:f>
      </x:c>
      <x:c r="J380" t="str">
        <x:f>IF(I380="","",IF(I380&gt;2.5,"OVER","UNDER"))</x:f>
      </x:c>
      <x:c r="K380" s="30"/>
      <x:c r="L380" s="30"/>
      <x:c r="M380" s="30"/>
      <x:c r="N380" s="30"/>
      <x:c r="Y380" s="30"/>
      <x:c r="Z380" s="30"/>
      <x:c r="AA380" s="30"/>
      <x:c r="AB380" s="30"/>
    </x:row>
    <x:row r="381">
      <x:c r="B381" s="28"/>
      <x:c r="I381" t="str">
        <x:f>IF(OR(G381="",H381=""),"",G381+H381)</x:f>
      </x:c>
      <x:c r="J381" t="str">
        <x:f>IF(I381="","",IF(I381&gt;2.5,"OVER","UNDER"))</x:f>
      </x:c>
      <x:c r="K381" s="30"/>
      <x:c r="L381" s="30"/>
      <x:c r="M381" s="30"/>
      <x:c r="N381" s="30"/>
      <x:c r="Y381" s="30"/>
      <x:c r="Z381" s="30"/>
      <x:c r="AA381" s="30"/>
      <x:c r="AB381" s="30"/>
    </x:row>
    <x:row r="382">
      <x:c r="B382" s="28"/>
      <x:c r="I382" t="str">
        <x:f>IF(OR(G382="",H382=""),"",G382+H382)</x:f>
      </x:c>
      <x:c r="J382" t="str">
        <x:f>IF(I382="","",IF(I382&gt;2.5,"OVER","UNDER"))</x:f>
      </x:c>
      <x:c r="K382" s="30"/>
      <x:c r="L382" s="30"/>
      <x:c r="M382" s="30"/>
      <x:c r="N382" s="30"/>
      <x:c r="Y382" s="30"/>
      <x:c r="Z382" s="30"/>
      <x:c r="AA382" s="30"/>
      <x:c r="AB382" s="30"/>
    </x:row>
    <x:row r="383">
      <x:c r="B383" s="28"/>
      <x:c r="I383" t="str">
        <x:f>IF(OR(G383="",H383=""),"",G383+H383)</x:f>
      </x:c>
      <x:c r="J383" t="str">
        <x:f>IF(I383="","",IF(I383&gt;2.5,"OVER","UNDER"))</x:f>
      </x:c>
      <x:c r="K383" s="30"/>
      <x:c r="L383" s="30"/>
      <x:c r="M383" s="30"/>
      <x:c r="N383" s="30"/>
      <x:c r="Y383" s="30"/>
      <x:c r="Z383" s="30"/>
      <x:c r="AA383" s="30"/>
      <x:c r="AB383" s="30"/>
    </x:row>
    <x:row r="384">
      <x:c r="B384" s="28"/>
      <x:c r="I384" t="str">
        <x:f>IF(OR(G384="",H384=""),"",G384+H384)</x:f>
      </x:c>
      <x:c r="J384" t="str">
        <x:f>IF(I384="","",IF(I384&gt;2.5,"OVER","UNDER"))</x:f>
      </x:c>
      <x:c r="K384" s="30"/>
      <x:c r="L384" s="30"/>
      <x:c r="M384" s="30"/>
      <x:c r="N384" s="30"/>
      <x:c r="Y384" s="30"/>
      <x:c r="Z384" s="30"/>
      <x:c r="AA384" s="30"/>
      <x:c r="AB384" s="30"/>
    </x:row>
    <x:row r="385">
      <x:c r="B385" s="28"/>
      <x:c r="I385" t="str">
        <x:f>IF(OR(G385="",H385=""),"",G385+H385)</x:f>
      </x:c>
      <x:c r="J385" t="str">
        <x:f>IF(I385="","",IF(I385&gt;2.5,"OVER","UNDER"))</x:f>
      </x:c>
      <x:c r="K385" s="30"/>
      <x:c r="L385" s="30"/>
      <x:c r="M385" s="30"/>
      <x:c r="N385" s="30"/>
      <x:c r="Y385" s="30"/>
      <x:c r="Z385" s="30"/>
      <x:c r="AA385" s="30"/>
      <x:c r="AB385" s="30"/>
    </x:row>
    <x:row r="386">
      <x:c r="B386" s="28"/>
      <x:c r="I386" t="str">
        <x:f>IF(OR(G386="",H386=""),"",G386+H386)</x:f>
      </x:c>
      <x:c r="J386" t="str">
        <x:f>IF(I386="","",IF(I386&gt;2.5,"OVER","UNDER"))</x:f>
      </x:c>
      <x:c r="K386" s="30"/>
      <x:c r="L386" s="30"/>
      <x:c r="M386" s="30"/>
      <x:c r="N386" s="30"/>
      <x:c r="Y386" s="30"/>
      <x:c r="Z386" s="30"/>
      <x:c r="AA386" s="30"/>
      <x:c r="AB386" s="30"/>
    </x:row>
    <x:row r="387">
      <x:c r="B387" s="28"/>
      <x:c r="I387" t="str">
        <x:f>IF(OR(G387="",H387=""),"",G387+H387)</x:f>
      </x:c>
      <x:c r="J387" t="str">
        <x:f>IF(I387="","",IF(I387&gt;2.5,"OVER","UNDER"))</x:f>
      </x:c>
      <x:c r="K387" s="30"/>
      <x:c r="L387" s="30"/>
      <x:c r="M387" s="30"/>
      <x:c r="N387" s="30"/>
      <x:c r="Y387" s="30"/>
      <x:c r="Z387" s="30"/>
      <x:c r="AA387" s="30"/>
      <x:c r="AB387" s="30"/>
    </x:row>
    <x:row r="388">
      <x:c r="B388" s="28"/>
      <x:c r="I388" t="str">
        <x:f>IF(OR(G388="",H388=""),"",G388+H388)</x:f>
      </x:c>
      <x:c r="J388" t="str">
        <x:f>IF(I388="","",IF(I388&gt;2.5,"OVER","UNDER"))</x:f>
      </x:c>
      <x:c r="K388" s="30"/>
      <x:c r="L388" s="30"/>
      <x:c r="M388" s="30"/>
      <x:c r="N388" s="30"/>
      <x:c r="Y388" s="30"/>
      <x:c r="Z388" s="30"/>
      <x:c r="AA388" s="30"/>
      <x:c r="AB388" s="30"/>
    </x:row>
    <x:row r="389">
      <x:c r="B389" s="28"/>
      <x:c r="I389" t="str">
        <x:f>IF(OR(G389="",H389=""),"",G389+H389)</x:f>
      </x:c>
      <x:c r="J389" t="str">
        <x:f>IF(I389="","",IF(I389&gt;2.5,"OVER","UNDER"))</x:f>
      </x:c>
      <x:c r="K389" s="30"/>
      <x:c r="L389" s="30"/>
      <x:c r="M389" s="30"/>
      <x:c r="N389" s="30"/>
      <x:c r="Y389" s="30"/>
      <x:c r="Z389" s="30"/>
      <x:c r="AA389" s="30"/>
      <x:c r="AB389" s="30"/>
    </x:row>
    <x:row r="390">
      <x:c r="B390" s="28"/>
      <x:c r="I390" t="str">
        <x:f>IF(OR(G390="",H390=""),"",G390+H390)</x:f>
      </x:c>
      <x:c r="J390" t="str">
        <x:f>IF(I390="","",IF(I390&gt;2.5,"OVER","UNDER"))</x:f>
      </x:c>
      <x:c r="K390" s="30"/>
      <x:c r="L390" s="30"/>
      <x:c r="M390" s="30"/>
      <x:c r="N390" s="30"/>
      <x:c r="Y390" s="30"/>
      <x:c r="Z390" s="30"/>
      <x:c r="AA390" s="30"/>
      <x:c r="AB390" s="30"/>
    </x:row>
    <x:row r="391">
      <x:c r="B391" s="28"/>
      <x:c r="I391" t="str">
        <x:f>IF(OR(G391="",H391=""),"",G391+H391)</x:f>
      </x:c>
      <x:c r="J391" t="str">
        <x:f>IF(I391="","",IF(I391&gt;2.5,"OVER","UNDER"))</x:f>
      </x:c>
      <x:c r="K391" s="30"/>
      <x:c r="L391" s="30"/>
      <x:c r="M391" s="30"/>
      <x:c r="N391" s="30"/>
      <x:c r="Y391" s="30"/>
      <x:c r="Z391" s="30"/>
      <x:c r="AA391" s="30"/>
      <x:c r="AB391" s="30"/>
    </x:row>
    <x:row r="392">
      <x:c r="B392" s="28"/>
      <x:c r="I392" t="str">
        <x:f>IF(OR(G392="",H392=""),"",G392+H392)</x:f>
      </x:c>
      <x:c r="J392" t="str">
        <x:f>IF(I392="","",IF(I392&gt;2.5,"OVER","UNDER"))</x:f>
      </x:c>
      <x:c r="K392" s="30"/>
      <x:c r="L392" s="30"/>
      <x:c r="M392" s="30"/>
      <x:c r="N392" s="30"/>
      <x:c r="Y392" s="30"/>
      <x:c r="Z392" s="30"/>
      <x:c r="AA392" s="30"/>
      <x:c r="AB392" s="30"/>
    </x:row>
    <x:row r="393">
      <x:c r="B393" s="28"/>
      <x:c r="I393" t="str">
        <x:f>IF(OR(G393="",H393=""),"",G393+H393)</x:f>
      </x:c>
      <x:c r="J393" t="str">
        <x:f>IF(I393="","",IF(I393&gt;2.5,"OVER","UNDER"))</x:f>
      </x:c>
      <x:c r="K393" s="30"/>
      <x:c r="L393" s="30"/>
      <x:c r="M393" s="30"/>
      <x:c r="N393" s="30"/>
      <x:c r="Y393" s="30"/>
      <x:c r="Z393" s="30"/>
      <x:c r="AA393" s="30"/>
      <x:c r="AB393" s="30"/>
    </x:row>
    <x:row r="394">
      <x:c r="B394" s="28"/>
      <x:c r="I394" t="str">
        <x:f>IF(OR(G394="",H394=""),"",G394+H394)</x:f>
      </x:c>
      <x:c r="J394" t="str">
        <x:f>IF(I394="","",IF(I394&gt;2.5,"OVER","UNDER"))</x:f>
      </x:c>
      <x:c r="K394" s="30"/>
      <x:c r="L394" s="30"/>
      <x:c r="M394" s="30"/>
      <x:c r="N394" s="30"/>
      <x:c r="Y394" s="30"/>
      <x:c r="Z394" s="30"/>
      <x:c r="AA394" s="30"/>
      <x:c r="AB394" s="30"/>
    </x:row>
    <x:row r="395">
      <x:c r="B395" s="28"/>
      <x:c r="I395" t="str">
        <x:f>IF(OR(G395="",H395=""),"",G395+H395)</x:f>
      </x:c>
      <x:c r="J395" t="str">
        <x:f>IF(I395="","",IF(I395&gt;2.5,"OVER","UNDER"))</x:f>
      </x:c>
      <x:c r="K395" s="30"/>
      <x:c r="L395" s="30"/>
      <x:c r="M395" s="30"/>
      <x:c r="N395" s="30"/>
      <x:c r="Y395" s="30"/>
      <x:c r="Z395" s="30"/>
      <x:c r="AA395" s="30"/>
      <x:c r="AB395" s="30"/>
    </x:row>
    <x:row r="396">
      <x:c r="B396" s="28"/>
      <x:c r="I396" t="str">
        <x:f>IF(OR(G396="",H396=""),"",G396+H396)</x:f>
      </x:c>
      <x:c r="J396" t="str">
        <x:f>IF(I396="","",IF(I396&gt;2.5,"OVER","UNDER"))</x:f>
      </x:c>
      <x:c r="K396" s="30"/>
      <x:c r="L396" s="30"/>
      <x:c r="M396" s="30"/>
      <x:c r="N396" s="30"/>
      <x:c r="Y396" s="30"/>
      <x:c r="Z396" s="30"/>
      <x:c r="AA396" s="30"/>
      <x:c r="AB396" s="30"/>
    </x:row>
    <x:row r="397">
      <x:c r="B397" s="28"/>
      <x:c r="I397" t="str">
        <x:f>IF(OR(G397="",H397=""),"",G397+H397)</x:f>
      </x:c>
      <x:c r="J397" t="str">
        <x:f>IF(I397="","",IF(I397&gt;2.5,"OVER","UNDER"))</x:f>
      </x:c>
      <x:c r="K397" s="30"/>
      <x:c r="L397" s="30"/>
      <x:c r="M397" s="30"/>
      <x:c r="N397" s="30"/>
      <x:c r="Y397" s="30"/>
      <x:c r="Z397" s="30"/>
      <x:c r="AA397" s="30"/>
      <x:c r="AB397" s="30"/>
    </x:row>
    <x:row r="398">
      <x:c r="B398" s="28"/>
      <x:c r="I398" t="str">
        <x:f>IF(OR(G398="",H398=""),"",G398+H398)</x:f>
      </x:c>
      <x:c r="J398" t="str">
        <x:f>IF(I398="","",IF(I398&gt;2.5,"OVER","UNDER"))</x:f>
      </x:c>
      <x:c r="K398" s="30"/>
      <x:c r="L398" s="30"/>
      <x:c r="M398" s="30"/>
      <x:c r="N398" s="30"/>
      <x:c r="Y398" s="30"/>
      <x:c r="Z398" s="30"/>
      <x:c r="AA398" s="30"/>
      <x:c r="AB398" s="30"/>
    </x:row>
    <x:row r="399">
      <x:c r="B399" s="28"/>
      <x:c r="I399" t="str">
        <x:f>IF(OR(G399="",H399=""),"",G399+H399)</x:f>
      </x:c>
      <x:c r="J399" t="str">
        <x:f>IF(I399="","",IF(I399&gt;2.5,"OVER","UNDER"))</x:f>
      </x:c>
      <x:c r="K399" s="30"/>
      <x:c r="L399" s="30"/>
      <x:c r="M399" s="30"/>
      <x:c r="N399" s="30"/>
      <x:c r="Y399" s="30"/>
      <x:c r="Z399" s="30"/>
      <x:c r="AA399" s="30"/>
      <x:c r="AB399" s="30"/>
    </x:row>
    <x:row r="400">
      <x:c r="B400" s="28"/>
      <x:c r="I400" t="str">
        <x:f>IF(OR(G400="",H400=""),"",G400+H400)</x:f>
      </x:c>
      <x:c r="J400" t="str">
        <x:f>IF(I400="","",IF(I400&gt;2.5,"OVER","UNDER"))</x:f>
      </x:c>
      <x:c r="K400" s="30"/>
      <x:c r="L400" s="30"/>
      <x:c r="M400" s="30"/>
      <x:c r="N400" s="30"/>
      <x:c r="Y400" s="30"/>
      <x:c r="Z400" s="30"/>
      <x:c r="AA400" s="30"/>
      <x:c r="AB400" s="30"/>
    </x:row>
    <x:row r="401">
      <x:c r="B401" s="28"/>
      <x:c r="I401" t="str">
        <x:f>IF(OR(G401="",H401=""),"",G401+H401)</x:f>
      </x:c>
      <x:c r="J401" t="str">
        <x:f>IF(I401="","",IF(I401&gt;2.5,"OVER","UNDER"))</x:f>
      </x:c>
      <x:c r="K401" s="30"/>
      <x:c r="L401" s="30"/>
      <x:c r="M401" s="30"/>
      <x:c r="N401" s="30"/>
      <x:c r="Y401" s="30"/>
      <x:c r="Z401" s="30"/>
      <x:c r="AA401" s="30"/>
      <x:c r="AB401" s="30"/>
    </x:row>
    <x:row r="402">
      <x:c r="B402" s="28"/>
      <x:c r="I402" t="str">
        <x:f>IF(OR(G402="",H402=""),"",G402+H402)</x:f>
      </x:c>
      <x:c r="J402" t="str">
        <x:f>IF(I402="","",IF(I402&gt;2.5,"OVER","UNDER"))</x:f>
      </x:c>
      <x:c r="K402" s="30"/>
      <x:c r="L402" s="30"/>
      <x:c r="M402" s="30"/>
      <x:c r="N402" s="30"/>
      <x:c r="Y402" s="30"/>
      <x:c r="Z402" s="30"/>
      <x:c r="AA402" s="30"/>
      <x:c r="AB402" s="30"/>
    </x:row>
    <x:row r="403">
      <x:c r="B403" s="28"/>
      <x:c r="I403" t="str">
        <x:f>IF(OR(G403="",H403=""),"",G403+H403)</x:f>
      </x:c>
      <x:c r="J403" t="str">
        <x:f>IF(I403="","",IF(I403&gt;2.5,"OVER","UNDER"))</x:f>
      </x:c>
      <x:c r="K403" s="30"/>
      <x:c r="L403" s="30"/>
      <x:c r="M403" s="30"/>
      <x:c r="N403" s="30"/>
      <x:c r="Y403" s="30"/>
      <x:c r="Z403" s="30"/>
      <x:c r="AA403" s="30"/>
      <x:c r="AB403" s="30"/>
    </x:row>
    <x:row r="404">
      <x:c r="B404" s="28"/>
      <x:c r="I404" t="str">
        <x:f>IF(OR(G404="",H404=""),"",G404+H404)</x:f>
      </x:c>
      <x:c r="J404" t="str">
        <x:f>IF(I404="","",IF(I404&gt;2.5,"OVER","UNDER"))</x:f>
      </x:c>
      <x:c r="K404" s="30"/>
      <x:c r="L404" s="30"/>
      <x:c r="M404" s="30"/>
      <x:c r="N404" s="30"/>
      <x:c r="Y404" s="30"/>
      <x:c r="Z404" s="30"/>
      <x:c r="AA404" s="30"/>
      <x:c r="AB404" s="30"/>
    </x:row>
    <x:row r="405">
      <x:c r="B405" s="28"/>
      <x:c r="I405" t="str">
        <x:f>IF(OR(G405="",H405=""),"",G405+H405)</x:f>
      </x:c>
      <x:c r="J405" t="str">
        <x:f>IF(I405="","",IF(I405&gt;2.5,"OVER","UNDER"))</x:f>
      </x:c>
      <x:c r="K405" s="30"/>
      <x:c r="L405" s="30"/>
      <x:c r="M405" s="30"/>
      <x:c r="N405" s="30"/>
      <x:c r="Y405" s="30"/>
      <x:c r="Z405" s="30"/>
      <x:c r="AA405" s="30"/>
      <x:c r="AB405" s="30"/>
    </x:row>
    <x:row r="406">
      <x:c r="B406" s="28"/>
      <x:c r="I406" t="str">
        <x:f>IF(OR(G406="",H406=""),"",G406+H406)</x:f>
      </x:c>
      <x:c r="J406" t="str">
        <x:f>IF(I406="","",IF(I406&gt;2.5,"OVER","UNDER"))</x:f>
      </x:c>
      <x:c r="K406" s="30"/>
      <x:c r="L406" s="30"/>
      <x:c r="M406" s="30"/>
      <x:c r="N406" s="30"/>
      <x:c r="Y406" s="30"/>
      <x:c r="Z406" s="30"/>
      <x:c r="AA406" s="30"/>
      <x:c r="AB406" s="30"/>
    </x:row>
    <x:row r="407">
      <x:c r="B407" s="28"/>
      <x:c r="I407" t="str">
        <x:f>IF(OR(G407="",H407=""),"",G407+H407)</x:f>
      </x:c>
      <x:c r="J407" t="str">
        <x:f>IF(I407="","",IF(I407&gt;2.5,"OVER","UNDER"))</x:f>
      </x:c>
      <x:c r="K407" s="30"/>
      <x:c r="L407" s="30"/>
      <x:c r="M407" s="30"/>
      <x:c r="N407" s="30"/>
      <x:c r="Y407" s="30"/>
      <x:c r="Z407" s="30"/>
      <x:c r="AA407" s="30"/>
      <x:c r="AB407" s="30"/>
    </x:row>
    <x:row r="408">
      <x:c r="B408" s="28"/>
      <x:c r="I408" t="str">
        <x:f>IF(OR(G408="",H408=""),"",G408+H408)</x:f>
      </x:c>
      <x:c r="J408" t="str">
        <x:f>IF(I408="","",IF(I408&gt;2.5,"OVER","UNDER"))</x:f>
      </x:c>
      <x:c r="K408" s="30"/>
      <x:c r="L408" s="30"/>
      <x:c r="M408" s="30"/>
      <x:c r="N408" s="30"/>
      <x:c r="Y408" s="30"/>
      <x:c r="Z408" s="30"/>
      <x:c r="AA408" s="30"/>
      <x:c r="AB408" s="30"/>
    </x:row>
    <x:row r="409">
      <x:c r="B409" s="28"/>
      <x:c r="I409" t="str">
        <x:f>IF(OR(G409="",H409=""),"",G409+H409)</x:f>
      </x:c>
      <x:c r="J409" t="str">
        <x:f>IF(I409="","",IF(I409&gt;2.5,"OVER","UNDER"))</x:f>
      </x:c>
      <x:c r="K409" s="30"/>
      <x:c r="L409" s="30"/>
      <x:c r="M409" s="30"/>
      <x:c r="N409" s="30"/>
      <x:c r="Y409" s="30"/>
      <x:c r="Z409" s="30"/>
      <x:c r="AA409" s="30"/>
      <x:c r="AB409" s="30"/>
    </x:row>
    <x:row r="410">
      <x:c r="B410" s="28"/>
      <x:c r="I410" t="str">
        <x:f>IF(OR(G410="",H410=""),"",G410+H410)</x:f>
      </x:c>
      <x:c r="J410" t="str">
        <x:f>IF(I410="","",IF(I410&gt;2.5,"OVER","UNDER"))</x:f>
      </x:c>
      <x:c r="K410" s="30"/>
      <x:c r="L410" s="30"/>
      <x:c r="M410" s="30"/>
      <x:c r="N410" s="30"/>
      <x:c r="Y410" s="30"/>
      <x:c r="Z410" s="30"/>
      <x:c r="AA410" s="30"/>
      <x:c r="AB410" s="30"/>
    </x:row>
    <x:row r="411">
      <x:c r="B411" s="28"/>
      <x:c r="I411" t="str">
        <x:f>IF(OR(G411="",H411=""),"",G411+H411)</x:f>
      </x:c>
      <x:c r="J411" t="str">
        <x:f>IF(I411="","",IF(I411&gt;2.5,"OVER","UNDER"))</x:f>
      </x:c>
      <x:c r="K411" s="30"/>
      <x:c r="L411" s="30"/>
      <x:c r="M411" s="30"/>
      <x:c r="N411" s="30"/>
      <x:c r="Y411" s="30"/>
      <x:c r="Z411" s="30"/>
      <x:c r="AA411" s="30"/>
      <x:c r="AB411" s="30"/>
    </x:row>
    <x:row r="412">
      <x:c r="B412" s="28"/>
      <x:c r="I412" t="str">
        <x:f>IF(OR(G412="",H412=""),"",G412+H412)</x:f>
      </x:c>
      <x:c r="J412" t="str">
        <x:f>IF(I412="","",IF(I412&gt;2.5,"OVER","UNDER"))</x:f>
      </x:c>
      <x:c r="K412" s="30"/>
      <x:c r="L412" s="30"/>
      <x:c r="M412" s="30"/>
      <x:c r="N412" s="30"/>
      <x:c r="Y412" s="30"/>
      <x:c r="Z412" s="30"/>
      <x:c r="AA412" s="30"/>
      <x:c r="AB412" s="30"/>
    </x:row>
    <x:row r="413">
      <x:c r="B413" s="28"/>
      <x:c r="I413" t="str">
        <x:f>IF(OR(G413="",H413=""),"",G413+H413)</x:f>
      </x:c>
      <x:c r="J413" t="str">
        <x:f>IF(I413="","",IF(I413&gt;2.5,"OVER","UNDER"))</x:f>
      </x:c>
      <x:c r="K413" s="30"/>
      <x:c r="L413" s="30"/>
      <x:c r="M413" s="30"/>
      <x:c r="N413" s="30"/>
      <x:c r="Y413" s="30"/>
      <x:c r="Z413" s="30"/>
      <x:c r="AA413" s="30"/>
      <x:c r="AB413" s="30"/>
    </x:row>
    <x:row r="414">
      <x:c r="B414" s="28"/>
      <x:c r="I414" t="str">
        <x:f>IF(OR(G414="",H414=""),"",G414+H414)</x:f>
      </x:c>
      <x:c r="J414" t="str">
        <x:f>IF(I414="","",IF(I414&gt;2.5,"OVER","UNDER"))</x:f>
      </x:c>
      <x:c r="K414" s="30"/>
      <x:c r="L414" s="30"/>
      <x:c r="M414" s="30"/>
      <x:c r="N414" s="30"/>
      <x:c r="Y414" s="30"/>
      <x:c r="Z414" s="30"/>
      <x:c r="AA414" s="30"/>
      <x:c r="AB414" s="30"/>
    </x:row>
    <x:row r="415">
      <x:c r="B415" s="28"/>
      <x:c r="I415" t="str">
        <x:f>IF(OR(G415="",H415=""),"",G415+H415)</x:f>
      </x:c>
      <x:c r="J415" t="str">
        <x:f>IF(I415="","",IF(I415&gt;2.5,"OVER","UNDER"))</x:f>
      </x:c>
      <x:c r="K415" s="30"/>
      <x:c r="L415" s="30"/>
      <x:c r="M415" s="30"/>
      <x:c r="N415" s="30"/>
      <x:c r="Y415" s="30"/>
      <x:c r="Z415" s="30"/>
      <x:c r="AA415" s="30"/>
      <x:c r="AB415" s="30"/>
    </x:row>
    <x:row r="416">
      <x:c r="B416" s="28"/>
      <x:c r="I416" t="str">
        <x:f>IF(OR(G416="",H416=""),"",G416+H416)</x:f>
      </x:c>
      <x:c r="J416" t="str">
        <x:f>IF(I416="","",IF(I416&gt;2.5,"OVER","UNDER"))</x:f>
      </x:c>
      <x:c r="K416" s="30"/>
      <x:c r="L416" s="30"/>
      <x:c r="M416" s="30"/>
      <x:c r="N416" s="30"/>
      <x:c r="Y416" s="30"/>
      <x:c r="Z416" s="30"/>
      <x:c r="AA416" s="30"/>
      <x:c r="AB416" s="30"/>
    </x:row>
    <x:row r="417">
      <x:c r="B417" s="28"/>
      <x:c r="I417" t="str">
        <x:f>IF(OR(G417="",H417=""),"",G417+H417)</x:f>
      </x:c>
      <x:c r="J417" t="str">
        <x:f>IF(I417="","",IF(I417&gt;2.5,"OVER","UNDER"))</x:f>
      </x:c>
      <x:c r="K417" s="30"/>
      <x:c r="L417" s="30"/>
      <x:c r="M417" s="30"/>
      <x:c r="N417" s="30"/>
      <x:c r="Y417" s="30"/>
      <x:c r="Z417" s="30"/>
      <x:c r="AA417" s="30"/>
      <x:c r="AB417" s="30"/>
    </x:row>
    <x:row r="418">
      <x:c r="B418" s="28"/>
      <x:c r="I418" t="str">
        <x:f>IF(OR(G418="",H418=""),"",G418+H418)</x:f>
      </x:c>
      <x:c r="J418" t="str">
        <x:f>IF(I418="","",IF(I418&gt;2.5,"OVER","UNDER"))</x:f>
      </x:c>
      <x:c r="K418" s="30"/>
      <x:c r="L418" s="30"/>
      <x:c r="M418" s="30"/>
      <x:c r="N418" s="30"/>
      <x:c r="Y418" s="30"/>
      <x:c r="Z418" s="30"/>
      <x:c r="AA418" s="30"/>
      <x:c r="AB418" s="30"/>
    </x:row>
    <x:row r="419">
      <x:c r="B419" s="28"/>
      <x:c r="I419" t="str">
        <x:f>IF(OR(G419="",H419=""),"",G419+H419)</x:f>
      </x:c>
      <x:c r="J419" t="str">
        <x:f>IF(I419="","",IF(I419&gt;2.5,"OVER","UNDER"))</x:f>
      </x:c>
      <x:c r="K419" s="30"/>
      <x:c r="L419" s="30"/>
      <x:c r="M419" s="30"/>
      <x:c r="N419" s="30"/>
      <x:c r="Y419" s="30"/>
      <x:c r="Z419" s="30"/>
      <x:c r="AA419" s="30"/>
      <x:c r="AB419" s="30"/>
    </x:row>
    <x:row r="420">
      <x:c r="B420" s="28"/>
      <x:c r="I420" t="str">
        <x:f>IF(OR(G420="",H420=""),"",G420+H420)</x:f>
      </x:c>
      <x:c r="J420" t="str">
        <x:f>IF(I420="","",IF(I420&gt;2.5,"OVER","UNDER"))</x:f>
      </x:c>
      <x:c r="K420" s="30"/>
      <x:c r="L420" s="30"/>
      <x:c r="M420" s="30"/>
      <x:c r="N420" s="30"/>
      <x:c r="Y420" s="30"/>
      <x:c r="Z420" s="30"/>
      <x:c r="AA420" s="30"/>
      <x:c r="AB420" s="30"/>
    </x:row>
    <x:row r="421">
      <x:c r="B421" s="28"/>
      <x:c r="I421" t="str">
        <x:f>IF(OR(G421="",H421=""),"",G421+H421)</x:f>
      </x:c>
      <x:c r="J421" t="str">
        <x:f>IF(I421="","",IF(I421&gt;2.5,"OVER","UNDER"))</x:f>
      </x:c>
      <x:c r="K421" s="30"/>
      <x:c r="L421" s="30"/>
      <x:c r="M421" s="30"/>
      <x:c r="N421" s="30"/>
      <x:c r="Y421" s="30"/>
      <x:c r="Z421" s="30"/>
      <x:c r="AA421" s="30"/>
      <x:c r="AB421" s="30"/>
    </x:row>
    <x:row r="422">
      <x:c r="B422" s="28"/>
      <x:c r="I422" t="str">
        <x:f>IF(OR(G422="",H422=""),"",G422+H422)</x:f>
      </x:c>
      <x:c r="J422" t="str">
        <x:f>IF(I422="","",IF(I422&gt;2.5,"OVER","UNDER"))</x:f>
      </x:c>
      <x:c r="K422" s="30"/>
      <x:c r="L422" s="30"/>
      <x:c r="M422" s="30"/>
      <x:c r="N422" s="30"/>
      <x:c r="Y422" s="30"/>
      <x:c r="Z422" s="30"/>
      <x:c r="AA422" s="30"/>
      <x:c r="AB422" s="30"/>
    </x:row>
    <x:row r="423">
      <x:c r="B423" s="28"/>
      <x:c r="I423" t="str">
        <x:f>IF(OR(G423="",H423=""),"",G423+H423)</x:f>
      </x:c>
      <x:c r="J423" t="str">
        <x:f>IF(I423="","",IF(I423&gt;2.5,"OVER","UNDER"))</x:f>
      </x:c>
      <x:c r="K423" s="30"/>
      <x:c r="L423" s="30"/>
      <x:c r="M423" s="30"/>
      <x:c r="N423" s="30"/>
      <x:c r="Y423" s="30"/>
      <x:c r="Z423" s="30"/>
      <x:c r="AA423" s="30"/>
      <x:c r="AB423" s="30"/>
    </x:row>
    <x:row r="424">
      <x:c r="B424" s="28"/>
      <x:c r="I424" t="str">
        <x:f>IF(OR(G424="",H424=""),"",G424+H424)</x:f>
      </x:c>
      <x:c r="J424" t="str">
        <x:f>IF(I424="","",IF(I424&gt;2.5,"OVER","UNDER"))</x:f>
      </x:c>
      <x:c r="K424" s="30"/>
      <x:c r="L424" s="30"/>
      <x:c r="M424" s="30"/>
      <x:c r="N424" s="30"/>
      <x:c r="Y424" s="30"/>
      <x:c r="Z424" s="30"/>
      <x:c r="AA424" s="30"/>
      <x:c r="AB424" s="30"/>
    </x:row>
    <x:row r="425">
      <x:c r="B425" s="28"/>
      <x:c r="I425" t="str">
        <x:f>IF(OR(G425="",H425=""),"",G425+H425)</x:f>
      </x:c>
      <x:c r="J425" t="str">
        <x:f>IF(I425="","",IF(I425&gt;2.5,"OVER","UNDER"))</x:f>
      </x:c>
      <x:c r="K425" s="30"/>
      <x:c r="L425" s="30"/>
      <x:c r="M425" s="30"/>
      <x:c r="N425" s="30"/>
      <x:c r="Y425" s="30"/>
      <x:c r="Z425" s="30"/>
      <x:c r="AA425" s="30"/>
      <x:c r="AB425" s="30"/>
    </x:row>
    <x:row r="426">
      <x:c r="B426" s="28"/>
      <x:c r="I426" t="str">
        <x:f>IF(OR(G426="",H426=""),"",G426+H426)</x:f>
      </x:c>
      <x:c r="J426" t="str">
        <x:f>IF(I426="","",IF(I426&gt;2.5,"OVER","UNDER"))</x:f>
      </x:c>
      <x:c r="K426" s="30"/>
      <x:c r="L426" s="30"/>
      <x:c r="M426" s="30"/>
      <x:c r="N426" s="30"/>
      <x:c r="Y426" s="30"/>
      <x:c r="Z426" s="30"/>
      <x:c r="AA426" s="30"/>
      <x:c r="AB426" s="30"/>
    </x:row>
    <x:row r="427">
      <x:c r="B427" s="28"/>
      <x:c r="I427" t="str">
        <x:f>IF(OR(G427="",H427=""),"",G427+H427)</x:f>
      </x:c>
      <x:c r="J427" t="str">
        <x:f>IF(I427="","",IF(I427&gt;2.5,"OVER","UNDER"))</x:f>
      </x:c>
      <x:c r="K427" s="30"/>
      <x:c r="L427" s="30"/>
      <x:c r="M427" s="30"/>
      <x:c r="N427" s="30"/>
      <x:c r="Y427" s="30"/>
      <x:c r="Z427" s="30"/>
      <x:c r="AA427" s="30"/>
      <x:c r="AB427" s="30"/>
    </x:row>
    <x:row r="428">
      <x:c r="B428" s="28"/>
      <x:c r="I428" t="str">
        <x:f>IF(OR(G428="",H428=""),"",G428+H428)</x:f>
      </x:c>
      <x:c r="J428" t="str">
        <x:f>IF(I428="","",IF(I428&gt;2.5,"OVER","UNDER"))</x:f>
      </x:c>
      <x:c r="K428" s="30"/>
      <x:c r="L428" s="30"/>
      <x:c r="M428" s="30"/>
      <x:c r="N428" s="30"/>
      <x:c r="Y428" s="30"/>
      <x:c r="Z428" s="30"/>
      <x:c r="AA428" s="30"/>
      <x:c r="AB428" s="30"/>
    </x:row>
    <x:row r="429">
      <x:c r="B429" s="28"/>
      <x:c r="I429" t="str">
        <x:f>IF(OR(G429="",H429=""),"",G429+H429)</x:f>
      </x:c>
      <x:c r="J429" t="str">
        <x:f>IF(I429="","",IF(I429&gt;2.5,"OVER","UNDER"))</x:f>
      </x:c>
      <x:c r="K429" s="30"/>
      <x:c r="L429" s="30"/>
      <x:c r="M429" s="30"/>
      <x:c r="N429" s="30"/>
      <x:c r="Y429" s="30"/>
      <x:c r="Z429" s="30"/>
      <x:c r="AA429" s="30"/>
      <x:c r="AB429" s="30"/>
    </x:row>
    <x:row r="430">
      <x:c r="B430" s="28"/>
      <x:c r="I430" t="str">
        <x:f>IF(OR(G430="",H430=""),"",G430+H430)</x:f>
      </x:c>
      <x:c r="J430" t="str">
        <x:f>IF(I430="","",IF(I430&gt;2.5,"OVER","UNDER"))</x:f>
      </x:c>
      <x:c r="K430" s="30"/>
      <x:c r="L430" s="30"/>
      <x:c r="M430" s="30"/>
      <x:c r="N430" s="30"/>
      <x:c r="Y430" s="30"/>
      <x:c r="Z430" s="30"/>
      <x:c r="AA430" s="30"/>
      <x:c r="AB430" s="30"/>
    </x:row>
    <x:row r="431">
      <x:c r="B431" s="28"/>
      <x:c r="I431" t="str">
        <x:f>IF(OR(G431="",H431=""),"",G431+H431)</x:f>
      </x:c>
      <x:c r="J431" t="str">
        <x:f>IF(I431="","",IF(I431&gt;2.5,"OVER","UNDER"))</x:f>
      </x:c>
      <x:c r="K431" s="30"/>
      <x:c r="L431" s="30"/>
      <x:c r="M431" s="30"/>
      <x:c r="N431" s="30"/>
      <x:c r="Y431" s="30"/>
      <x:c r="Z431" s="30"/>
      <x:c r="AA431" s="30"/>
      <x:c r="AB431" s="30"/>
    </x:row>
    <x:row r="432">
      <x:c r="B432" s="28"/>
      <x:c r="I432" t="str">
        <x:f>IF(OR(G432="",H432=""),"",G432+H432)</x:f>
      </x:c>
      <x:c r="J432" t="str">
        <x:f>IF(I432="","",IF(I432&gt;2.5,"OVER","UNDER"))</x:f>
      </x:c>
      <x:c r="K432" s="30"/>
      <x:c r="L432" s="30"/>
      <x:c r="M432" s="30"/>
      <x:c r="N432" s="30"/>
      <x:c r="Y432" s="30"/>
      <x:c r="Z432" s="30"/>
      <x:c r="AA432" s="30"/>
      <x:c r="AB432" s="30"/>
    </x:row>
    <x:row r="433">
      <x:c r="B433" s="28"/>
      <x:c r="I433" t="str">
        <x:f>IF(OR(G433="",H433=""),"",G433+H433)</x:f>
      </x:c>
      <x:c r="J433" t="str">
        <x:f>IF(I433="","",IF(I433&gt;2.5,"OVER","UNDER"))</x:f>
      </x:c>
      <x:c r="K433" s="30"/>
      <x:c r="L433" s="30"/>
      <x:c r="M433" s="30"/>
      <x:c r="N433" s="30"/>
      <x:c r="Y433" s="30"/>
      <x:c r="Z433" s="30"/>
      <x:c r="AA433" s="30"/>
      <x:c r="AB433" s="30"/>
    </x:row>
    <x:row r="434">
      <x:c r="B434" s="28"/>
      <x:c r="I434" t="str">
        <x:f>IF(OR(G434="",H434=""),"",G434+H434)</x:f>
      </x:c>
      <x:c r="J434" t="str">
        <x:f>IF(I434="","",IF(I434&gt;2.5,"OVER","UNDER"))</x:f>
      </x:c>
      <x:c r="K434" s="30"/>
      <x:c r="L434" s="30"/>
      <x:c r="M434" s="30"/>
      <x:c r="N434" s="30"/>
      <x:c r="Y434" s="30"/>
      <x:c r="Z434" s="30"/>
      <x:c r="AA434" s="30"/>
      <x:c r="AB434" s="30"/>
    </x:row>
    <x:row r="435">
      <x:c r="B435" s="28"/>
      <x:c r="I435" t="str">
        <x:f>IF(OR(G435="",H435=""),"",G435+H435)</x:f>
      </x:c>
      <x:c r="J435" t="str">
        <x:f>IF(I435="","",IF(I435&gt;2.5,"OVER","UNDER"))</x:f>
      </x:c>
      <x:c r="K435" s="30"/>
      <x:c r="L435" s="30"/>
      <x:c r="M435" s="30"/>
      <x:c r="N435" s="30"/>
      <x:c r="Y435" s="30"/>
      <x:c r="Z435" s="30"/>
      <x:c r="AA435" s="30"/>
      <x:c r="AB435" s="30"/>
    </x:row>
    <x:row r="436">
      <x:c r="B436" s="28"/>
      <x:c r="I436" t="str">
        <x:f>IF(OR(G436="",H436=""),"",G436+H436)</x:f>
      </x:c>
      <x:c r="J436" t="str">
        <x:f>IF(I436="","",IF(I436&gt;2.5,"OVER","UNDER"))</x:f>
      </x:c>
      <x:c r="K436" s="30"/>
      <x:c r="L436" s="30"/>
      <x:c r="M436" s="30"/>
      <x:c r="N436" s="30"/>
      <x:c r="Y436" s="30"/>
      <x:c r="Z436" s="30"/>
      <x:c r="AA436" s="30"/>
      <x:c r="AB436" s="30"/>
    </x:row>
    <x:row r="437">
      <x:c r="B437" s="28"/>
      <x:c r="I437" t="str">
        <x:f>IF(OR(G437="",H437=""),"",G437+H437)</x:f>
      </x:c>
      <x:c r="J437" t="str">
        <x:f>IF(I437="","",IF(I437&gt;2.5,"OVER","UNDER"))</x:f>
      </x:c>
      <x:c r="K437" s="30"/>
      <x:c r="L437" s="30"/>
      <x:c r="M437" s="30"/>
      <x:c r="N437" s="30"/>
      <x:c r="Y437" s="30"/>
      <x:c r="Z437" s="30"/>
      <x:c r="AA437" s="30"/>
      <x:c r="AB437" s="30"/>
    </x:row>
    <x:row r="438">
      <x:c r="B438" s="28"/>
      <x:c r="I438" t="str">
        <x:f>IF(OR(G438="",H438=""),"",G438+H438)</x:f>
      </x:c>
      <x:c r="J438" t="str">
        <x:f>IF(I438="","",IF(I438&gt;2.5,"OVER","UNDER"))</x:f>
      </x:c>
      <x:c r="K438" s="30"/>
      <x:c r="L438" s="30"/>
      <x:c r="M438" s="30"/>
      <x:c r="N438" s="30"/>
      <x:c r="Y438" s="30"/>
      <x:c r="Z438" s="30"/>
      <x:c r="AA438" s="30"/>
      <x:c r="AB438" s="30"/>
    </x:row>
    <x:row r="439">
      <x:c r="B439" s="28"/>
      <x:c r="I439" t="str">
        <x:f>IF(OR(G439="",H439=""),"",G439+H439)</x:f>
      </x:c>
      <x:c r="J439" t="str">
        <x:f>IF(I439="","",IF(I439&gt;2.5,"OVER","UNDER"))</x:f>
      </x:c>
      <x:c r="K439" s="30"/>
      <x:c r="L439" s="30"/>
      <x:c r="M439" s="30"/>
      <x:c r="N439" s="30"/>
      <x:c r="Y439" s="30"/>
      <x:c r="Z439" s="30"/>
      <x:c r="AA439" s="30"/>
      <x:c r="AB439" s="30"/>
    </x:row>
    <x:row r="440">
      <x:c r="B440" s="28"/>
      <x:c r="I440" t="str">
        <x:f>IF(OR(G440="",H440=""),"",G440+H440)</x:f>
      </x:c>
      <x:c r="J440" t="str">
        <x:f>IF(I440="","",IF(I440&gt;2.5,"OVER","UNDER"))</x:f>
      </x:c>
      <x:c r="K440" s="30"/>
      <x:c r="L440" s="30"/>
      <x:c r="M440" s="30"/>
      <x:c r="N440" s="30"/>
      <x:c r="Y440" s="30"/>
      <x:c r="Z440" s="30"/>
      <x:c r="AA440" s="30"/>
      <x:c r="AB440" s="30"/>
    </x:row>
    <x:row r="441">
      <x:c r="B441" s="28"/>
      <x:c r="I441" t="str">
        <x:f>IF(OR(G441="",H441=""),"",G441+H441)</x:f>
      </x:c>
      <x:c r="J441" t="str">
        <x:f>IF(I441="","",IF(I441&gt;2.5,"OVER","UNDER"))</x:f>
      </x:c>
      <x:c r="K441" s="30"/>
      <x:c r="L441" s="30"/>
      <x:c r="M441" s="30"/>
      <x:c r="N441" s="30"/>
      <x:c r="Y441" s="30"/>
      <x:c r="Z441" s="30"/>
      <x:c r="AA441" s="30"/>
      <x:c r="AB441" s="30"/>
    </x:row>
    <x:row r="442">
      <x:c r="B442" s="28"/>
      <x:c r="I442" t="str">
        <x:f>IF(OR(G442="",H442=""),"",G442+H442)</x:f>
      </x:c>
      <x:c r="J442" t="str">
        <x:f>IF(I442="","",IF(I442&gt;2.5,"OVER","UNDER"))</x:f>
      </x:c>
      <x:c r="K442" s="30"/>
      <x:c r="L442" s="30"/>
      <x:c r="M442" s="30"/>
      <x:c r="N442" s="30"/>
      <x:c r="Y442" s="30"/>
      <x:c r="Z442" s="30"/>
      <x:c r="AA442" s="30"/>
      <x:c r="AB442" s="30"/>
    </x:row>
    <x:row r="443">
      <x:c r="B443" s="28"/>
      <x:c r="I443" t="str">
        <x:f>IF(OR(G443="",H443=""),"",G443+H443)</x:f>
      </x:c>
      <x:c r="J443" t="str">
        <x:f>IF(I443="","",IF(I443&gt;2.5,"OVER","UNDER"))</x:f>
      </x:c>
      <x:c r="K443" s="30"/>
      <x:c r="L443" s="30"/>
      <x:c r="M443" s="30"/>
      <x:c r="N443" s="30"/>
      <x:c r="Y443" s="30"/>
      <x:c r="Z443" s="30"/>
      <x:c r="AA443" s="30"/>
      <x:c r="AB443" s="30"/>
    </x:row>
    <x:row r="444">
      <x:c r="B444" s="28"/>
      <x:c r="I444" t="str">
        <x:f>IF(OR(G444="",H444=""),"",G444+H444)</x:f>
      </x:c>
      <x:c r="J444" t="str">
        <x:f>IF(I444="","",IF(I444&gt;2.5,"OVER","UNDER"))</x:f>
      </x:c>
      <x:c r="K444" s="30"/>
      <x:c r="L444" s="30"/>
      <x:c r="M444" s="30"/>
      <x:c r="N444" s="30"/>
      <x:c r="Y444" s="30"/>
      <x:c r="Z444" s="30"/>
      <x:c r="AA444" s="30"/>
      <x:c r="AB444" s="30"/>
    </x:row>
    <x:row r="445">
      <x:c r="B445" s="28"/>
      <x:c r="I445" t="str">
        <x:f>IF(OR(G445="",H445=""),"",G445+H445)</x:f>
      </x:c>
      <x:c r="J445" t="str">
        <x:f>IF(I445="","",IF(I445&gt;2.5,"OVER","UNDER"))</x:f>
      </x:c>
      <x:c r="K445" s="30"/>
      <x:c r="L445" s="30"/>
      <x:c r="M445" s="30"/>
      <x:c r="N445" s="30"/>
      <x:c r="Y445" s="30"/>
      <x:c r="Z445" s="30"/>
      <x:c r="AA445" s="30"/>
      <x:c r="AB445" s="30"/>
    </x:row>
    <x:row r="446">
      <x:c r="B446" s="28"/>
      <x:c r="I446" t="str">
        <x:f>IF(OR(G446="",H446=""),"",G446+H446)</x:f>
      </x:c>
      <x:c r="J446" t="str">
        <x:f>IF(I446="","",IF(I446&gt;2.5,"OVER","UNDER"))</x:f>
      </x:c>
      <x:c r="K446" s="30"/>
      <x:c r="L446" s="30"/>
      <x:c r="M446" s="30"/>
      <x:c r="N446" s="30"/>
      <x:c r="Y446" s="30"/>
      <x:c r="Z446" s="30"/>
      <x:c r="AA446" s="30"/>
      <x:c r="AB446" s="30"/>
    </x:row>
    <x:row r="447">
      <x:c r="B447" s="28"/>
      <x:c r="I447" t="str">
        <x:f>IF(OR(G447="",H447=""),"",G447+H447)</x:f>
      </x:c>
      <x:c r="J447" t="str">
        <x:f>IF(I447="","",IF(I447&gt;2.5,"OVER","UNDER"))</x:f>
      </x:c>
      <x:c r="K447" s="30"/>
      <x:c r="L447" s="30"/>
      <x:c r="M447" s="30"/>
      <x:c r="N447" s="30"/>
      <x:c r="Y447" s="30"/>
      <x:c r="Z447" s="30"/>
      <x:c r="AA447" s="30"/>
      <x:c r="AB447" s="30"/>
    </x:row>
    <x:row r="448">
      <x:c r="B448" s="28"/>
      <x:c r="I448" t="str">
        <x:f>IF(OR(G448="",H448=""),"",G448+H448)</x:f>
      </x:c>
      <x:c r="J448" t="str">
        <x:f>IF(I448="","",IF(I448&gt;2.5,"OVER","UNDER"))</x:f>
      </x:c>
      <x:c r="K448" s="30"/>
      <x:c r="L448" s="30"/>
      <x:c r="M448" s="30"/>
      <x:c r="N448" s="30"/>
      <x:c r="Y448" s="30"/>
      <x:c r="Z448" s="30"/>
      <x:c r="AA448" s="30"/>
      <x:c r="AB448" s="30"/>
    </x:row>
    <x:row r="449">
      <x:c r="B449" s="28"/>
      <x:c r="I449" t="str">
        <x:f>IF(OR(G449="",H449=""),"",G449+H449)</x:f>
      </x:c>
      <x:c r="J449" t="str">
        <x:f>IF(I449="","",IF(I449&gt;2.5,"OVER","UNDER"))</x:f>
      </x:c>
      <x:c r="K449" s="30"/>
      <x:c r="L449" s="30"/>
      <x:c r="M449" s="30"/>
      <x:c r="N449" s="30"/>
      <x:c r="Y449" s="30"/>
      <x:c r="Z449" s="30"/>
      <x:c r="AA449" s="30"/>
      <x:c r="AB449" s="30"/>
    </x:row>
    <x:row r="450">
      <x:c r="B450" s="28"/>
      <x:c r="I450" t="str">
        <x:f>IF(OR(G450="",H450=""),"",G450+H450)</x:f>
      </x:c>
      <x:c r="J450" t="str">
        <x:f>IF(I450="","",IF(I450&gt;2.5,"OVER","UNDER"))</x:f>
      </x:c>
      <x:c r="K450" s="30"/>
      <x:c r="L450" s="30"/>
      <x:c r="M450" s="30"/>
      <x:c r="N450" s="30"/>
      <x:c r="Y450" s="30"/>
      <x:c r="Z450" s="30"/>
      <x:c r="AA450" s="30"/>
      <x:c r="AB450" s="30"/>
    </x:row>
    <x:row r="451">
      <x:c r="B451" s="28"/>
      <x:c r="I451" t="str">
        <x:f>IF(OR(G451="",H451=""),"",G451+H451)</x:f>
      </x:c>
      <x:c r="J451" t="str">
        <x:f>IF(I451="","",IF(I451&gt;2.5,"OVER","UNDER"))</x:f>
      </x:c>
      <x:c r="K451" s="30"/>
      <x:c r="L451" s="30"/>
      <x:c r="M451" s="30"/>
      <x:c r="N451" s="30"/>
      <x:c r="Y451" s="30"/>
      <x:c r="Z451" s="30"/>
      <x:c r="AA451" s="30"/>
      <x:c r="AB451" s="30"/>
    </x:row>
    <x:row r="452">
      <x:c r="B452" s="28"/>
      <x:c r="I452" t="str">
        <x:f>IF(OR(G452="",H452=""),"",G452+H452)</x:f>
      </x:c>
      <x:c r="J452" t="str">
        <x:f>IF(I452="","",IF(I452&gt;2.5,"OVER","UNDER"))</x:f>
      </x:c>
      <x:c r="K452" s="30"/>
      <x:c r="L452" s="30"/>
      <x:c r="M452" s="30"/>
      <x:c r="N452" s="30"/>
      <x:c r="Y452" s="30"/>
      <x:c r="Z452" s="30"/>
      <x:c r="AA452" s="30"/>
      <x:c r="AB452" s="30"/>
    </x:row>
    <x:row r="453">
      <x:c r="B453" s="28"/>
      <x:c r="I453" t="str">
        <x:f>IF(OR(G453="",H453=""),"",G453+H453)</x:f>
      </x:c>
      <x:c r="J453" t="str">
        <x:f>IF(I453="","",IF(I453&gt;2.5,"OVER","UNDER"))</x:f>
      </x:c>
      <x:c r="K453" s="30"/>
      <x:c r="L453" s="30"/>
      <x:c r="M453" s="30"/>
      <x:c r="N453" s="30"/>
      <x:c r="Y453" s="30"/>
      <x:c r="Z453" s="30"/>
      <x:c r="AA453" s="30"/>
      <x:c r="AB453" s="30"/>
    </x:row>
    <x:row r="454">
      <x:c r="B454" s="28"/>
      <x:c r="I454" t="str">
        <x:f>IF(OR(G454="",H454=""),"",G454+H454)</x:f>
      </x:c>
      <x:c r="J454" t="str">
        <x:f>IF(I454="","",IF(I454&gt;2.5,"OVER","UNDER"))</x:f>
      </x:c>
      <x:c r="K454" s="30"/>
      <x:c r="L454" s="30"/>
      <x:c r="M454" s="30"/>
      <x:c r="N454" s="30"/>
      <x:c r="Y454" s="30"/>
      <x:c r="Z454" s="30"/>
      <x:c r="AA454" s="30"/>
      <x:c r="AB454" s="30"/>
    </x:row>
    <x:row r="455">
      <x:c r="B455" s="28"/>
      <x:c r="I455" t="str">
        <x:f>IF(OR(G455="",H455=""),"",G455+H455)</x:f>
      </x:c>
      <x:c r="J455" t="str">
        <x:f>IF(I455="","",IF(I455&gt;2.5,"OVER","UNDER"))</x:f>
      </x:c>
      <x:c r="K455" s="30"/>
      <x:c r="L455" s="30"/>
      <x:c r="M455" s="30"/>
      <x:c r="N455" s="30"/>
      <x:c r="Y455" s="30"/>
      <x:c r="Z455" s="30"/>
      <x:c r="AA455" s="30"/>
      <x:c r="AB455" s="30"/>
    </x:row>
    <x:row r="456">
      <x:c r="B456" s="28"/>
      <x:c r="I456" t="str">
        <x:f>IF(OR(G456="",H456=""),"",G456+H456)</x:f>
      </x:c>
      <x:c r="J456" t="str">
        <x:f>IF(I456="","",IF(I456&gt;2.5,"OVER","UNDER"))</x:f>
      </x:c>
      <x:c r="K456" s="30"/>
      <x:c r="L456" s="30"/>
      <x:c r="M456" s="30"/>
      <x:c r="N456" s="30"/>
      <x:c r="Y456" s="30"/>
      <x:c r="Z456" s="30"/>
      <x:c r="AA456" s="30"/>
      <x:c r="AB456" s="30"/>
    </x:row>
    <x:row r="457">
      <x:c r="B457" s="28"/>
      <x:c r="I457" t="str">
        <x:f>IF(OR(G457="",H457=""),"",G457+H457)</x:f>
      </x:c>
      <x:c r="J457" t="str">
        <x:f>IF(I457="","",IF(I457&gt;2.5,"OVER","UNDER"))</x:f>
      </x:c>
      <x:c r="K457" s="30"/>
      <x:c r="L457" s="30"/>
      <x:c r="M457" s="30"/>
      <x:c r="N457" s="30"/>
      <x:c r="Y457" s="30"/>
      <x:c r="Z457" s="30"/>
      <x:c r="AA457" s="30"/>
      <x:c r="AB457" s="30"/>
    </x:row>
    <x:row r="458">
      <x:c r="B458" s="28"/>
      <x:c r="I458" t="str">
        <x:f>IF(OR(G458="",H458=""),"",G458+H458)</x:f>
      </x:c>
      <x:c r="J458" t="str">
        <x:f>IF(I458="","",IF(I458&gt;2.5,"OVER","UNDER"))</x:f>
      </x:c>
      <x:c r="K458" s="30"/>
      <x:c r="L458" s="30"/>
      <x:c r="M458" s="30"/>
      <x:c r="N458" s="30"/>
      <x:c r="Y458" s="30"/>
      <x:c r="Z458" s="30"/>
      <x:c r="AA458" s="30"/>
      <x:c r="AB458" s="30"/>
    </x:row>
    <x:row r="459">
      <x:c r="B459" s="28"/>
      <x:c r="I459" t="str">
        <x:f>IF(OR(G459="",H459=""),"",G459+H459)</x:f>
      </x:c>
      <x:c r="J459" t="str">
        <x:f>IF(I459="","",IF(I459&gt;2.5,"OVER","UNDER"))</x:f>
      </x:c>
      <x:c r="K459" s="30"/>
      <x:c r="L459" s="30"/>
      <x:c r="M459" s="30"/>
      <x:c r="N459" s="30"/>
      <x:c r="Y459" s="30"/>
      <x:c r="Z459" s="30"/>
      <x:c r="AA459" s="30"/>
      <x:c r="AB459" s="30"/>
    </x:row>
    <x:row r="460">
      <x:c r="B460" s="28"/>
      <x:c r="I460" t="str">
        <x:f>IF(OR(G460="",H460=""),"",G460+H460)</x:f>
      </x:c>
      <x:c r="J460" t="str">
        <x:f>IF(I460="","",IF(I460&gt;2.5,"OVER","UNDER"))</x:f>
      </x:c>
      <x:c r="K460" s="30"/>
      <x:c r="L460" s="30"/>
      <x:c r="M460" s="30"/>
      <x:c r="N460" s="30"/>
      <x:c r="Y460" s="30"/>
      <x:c r="Z460" s="30"/>
      <x:c r="AA460" s="30"/>
      <x:c r="AB460" s="30"/>
    </x:row>
    <x:row r="461">
      <x:c r="B461" s="28"/>
      <x:c r="I461" t="str">
        <x:f>IF(OR(G461="",H461=""),"",G461+H461)</x:f>
      </x:c>
      <x:c r="J461" t="str">
        <x:f>IF(I461="","",IF(I461&gt;2.5,"OVER","UNDER"))</x:f>
      </x:c>
      <x:c r="K461" s="30"/>
      <x:c r="L461" s="30"/>
      <x:c r="M461" s="30"/>
      <x:c r="N461" s="30"/>
      <x:c r="Y461" s="30"/>
      <x:c r="Z461" s="30"/>
      <x:c r="AA461" s="30"/>
      <x:c r="AB461" s="30"/>
    </x:row>
    <x:row r="462">
      <x:c r="B462" s="28"/>
      <x:c r="I462" t="str">
        <x:f>IF(OR(G462="",H462=""),"",G462+H462)</x:f>
      </x:c>
      <x:c r="J462" t="str">
        <x:f>IF(I462="","",IF(I462&gt;2.5,"OVER","UNDER"))</x:f>
      </x:c>
      <x:c r="K462" s="30"/>
      <x:c r="L462" s="30"/>
      <x:c r="M462" s="30"/>
      <x:c r="N462" s="30"/>
      <x:c r="Y462" s="30"/>
      <x:c r="Z462" s="30"/>
      <x:c r="AA462" s="30"/>
      <x:c r="AB462" s="30"/>
    </x:row>
    <x:row r="463">
      <x:c r="B463" s="28"/>
      <x:c r="I463" t="str">
        <x:f>IF(OR(G463="",H463=""),"",G463+H463)</x:f>
      </x:c>
      <x:c r="J463" t="str">
        <x:f>IF(I463="","",IF(I463&gt;2.5,"OVER","UNDER"))</x:f>
      </x:c>
      <x:c r="K463" s="30"/>
      <x:c r="L463" s="30"/>
      <x:c r="M463" s="30"/>
      <x:c r="N463" s="30"/>
      <x:c r="Y463" s="30"/>
      <x:c r="Z463" s="30"/>
      <x:c r="AA463" s="30"/>
      <x:c r="AB463" s="30"/>
    </x:row>
    <x:row r="464">
      <x:c r="B464" s="28"/>
      <x:c r="I464" t="str">
        <x:f>IF(OR(G464="",H464=""),"",G464+H464)</x:f>
      </x:c>
      <x:c r="J464" t="str">
        <x:f>IF(I464="","",IF(I464&gt;2.5,"OVER","UNDER"))</x:f>
      </x:c>
      <x:c r="K464" s="30"/>
      <x:c r="L464" s="30"/>
      <x:c r="M464" s="30"/>
      <x:c r="N464" s="30"/>
      <x:c r="Y464" s="30"/>
      <x:c r="Z464" s="30"/>
      <x:c r="AA464" s="30"/>
      <x:c r="AB464" s="30"/>
    </x:row>
    <x:row r="465">
      <x:c r="B465" s="28"/>
      <x:c r="I465" t="str">
        <x:f>IF(OR(G465="",H465=""),"",G465+H465)</x:f>
      </x:c>
      <x:c r="J465" t="str">
        <x:f>IF(I465="","",IF(I465&gt;2.5,"OVER","UNDER"))</x:f>
      </x:c>
      <x:c r="K465" s="30"/>
      <x:c r="L465" s="30"/>
      <x:c r="M465" s="30"/>
      <x:c r="N465" s="30"/>
      <x:c r="Y465" s="30"/>
      <x:c r="Z465" s="30"/>
      <x:c r="AA465" s="30"/>
      <x:c r="AB465" s="30"/>
    </x:row>
    <x:row r="466">
      <x:c r="B466" s="28"/>
      <x:c r="I466" t="str">
        <x:f>IF(OR(G466="",H466=""),"",G466+H466)</x:f>
      </x:c>
      <x:c r="J466" t="str">
        <x:f>IF(I466="","",IF(I466&gt;2.5,"OVER","UNDER"))</x:f>
      </x:c>
      <x:c r="K466" s="30"/>
      <x:c r="L466" s="30"/>
      <x:c r="M466" s="30"/>
      <x:c r="N466" s="30"/>
      <x:c r="Y466" s="30"/>
      <x:c r="Z466" s="30"/>
      <x:c r="AA466" s="30"/>
      <x:c r="AB466" s="30"/>
    </x:row>
    <x:row r="467">
      <x:c r="B467" s="28"/>
      <x:c r="I467" t="str">
        <x:f>IF(OR(G467="",H467=""),"",G467+H467)</x:f>
      </x:c>
      <x:c r="J467" t="str">
        <x:f>IF(I467="","",IF(I467&gt;2.5,"OVER","UNDER"))</x:f>
      </x:c>
      <x:c r="K467" s="30"/>
      <x:c r="L467" s="30"/>
      <x:c r="M467" s="30"/>
      <x:c r="N467" s="30"/>
      <x:c r="Y467" s="30"/>
      <x:c r="Z467" s="30"/>
      <x:c r="AA467" s="30"/>
      <x:c r="AB467" s="30"/>
    </x:row>
    <x:row r="468">
      <x:c r="B468" s="28"/>
      <x:c r="I468" t="str">
        <x:f>IF(OR(G468="",H468=""),"",G468+H468)</x:f>
      </x:c>
      <x:c r="J468" t="str">
        <x:f>IF(I468="","",IF(I468&gt;2.5,"OVER","UNDER"))</x:f>
      </x:c>
      <x:c r="K468" s="30"/>
      <x:c r="L468" s="30"/>
      <x:c r="M468" s="30"/>
      <x:c r="N468" s="30"/>
      <x:c r="Y468" s="30"/>
      <x:c r="Z468" s="30"/>
      <x:c r="AA468" s="30"/>
      <x:c r="AB468" s="30"/>
    </x:row>
    <x:row r="469">
      <x:c r="B469" s="28"/>
      <x:c r="I469" t="str">
        <x:f>IF(OR(G469="",H469=""),"",G469+H469)</x:f>
      </x:c>
      <x:c r="J469" t="str">
        <x:f>IF(I469="","",IF(I469&gt;2.5,"OVER","UNDER"))</x:f>
      </x:c>
      <x:c r="K469" s="30"/>
      <x:c r="L469" s="30"/>
      <x:c r="M469" s="30"/>
      <x:c r="N469" s="30"/>
      <x:c r="Y469" s="30"/>
      <x:c r="Z469" s="30"/>
      <x:c r="AA469" s="30"/>
      <x:c r="AB469" s="30"/>
    </x:row>
    <x:row r="470">
      <x:c r="B470" s="28"/>
      <x:c r="I470" t="str">
        <x:f>IF(OR(G470="",H470=""),"",G470+H470)</x:f>
      </x:c>
      <x:c r="J470" t="str">
        <x:f>IF(I470="","",IF(I470&gt;2.5,"OVER","UNDER"))</x:f>
      </x:c>
      <x:c r="K470" s="30"/>
      <x:c r="L470" s="30"/>
      <x:c r="M470" s="30"/>
      <x:c r="N470" s="30"/>
      <x:c r="Y470" s="30"/>
      <x:c r="Z470" s="30"/>
      <x:c r="AA470" s="30"/>
      <x:c r="AB470" s="30"/>
    </x:row>
    <x:row r="471">
      <x:c r="B471" s="28"/>
      <x:c r="I471" t="str">
        <x:f>IF(OR(G471="",H471=""),"",G471+H471)</x:f>
      </x:c>
      <x:c r="J471" t="str">
        <x:f>IF(I471="","",IF(I471&gt;2.5,"OVER","UNDER"))</x:f>
      </x:c>
      <x:c r="K471" s="30"/>
      <x:c r="L471" s="30"/>
      <x:c r="M471" s="30"/>
      <x:c r="N471" s="30"/>
      <x:c r="Y471" s="30"/>
      <x:c r="Z471" s="30"/>
      <x:c r="AA471" s="30"/>
      <x:c r="AB471" s="30"/>
    </x:row>
    <x:row r="472">
      <x:c r="B472" s="28"/>
      <x:c r="I472" t="str">
        <x:f>IF(OR(G472="",H472=""),"",G472+H472)</x:f>
      </x:c>
      <x:c r="J472" t="str">
        <x:f>IF(I472="","",IF(I472&gt;2.5,"OVER","UNDER"))</x:f>
      </x:c>
      <x:c r="K472" s="30"/>
      <x:c r="L472" s="30"/>
      <x:c r="M472" s="30"/>
      <x:c r="N472" s="30"/>
      <x:c r="Y472" s="30"/>
      <x:c r="Z472" s="30"/>
      <x:c r="AA472" s="30"/>
      <x:c r="AB472" s="30"/>
    </x:row>
    <x:row r="473">
      <x:c r="B473" s="28"/>
      <x:c r="I473" t="str">
        <x:f>IF(OR(G473="",H473=""),"",G473+H473)</x:f>
      </x:c>
      <x:c r="J473" t="str">
        <x:f>IF(I473="","",IF(I473&gt;2.5,"OVER","UNDER"))</x:f>
      </x:c>
      <x:c r="K473" s="30"/>
      <x:c r="L473" s="30"/>
      <x:c r="M473" s="30"/>
      <x:c r="N473" s="30"/>
      <x:c r="Y473" s="30"/>
      <x:c r="Z473" s="30"/>
      <x:c r="AA473" s="30"/>
      <x:c r="AB473" s="30"/>
    </x:row>
    <x:row r="474">
      <x:c r="B474" s="28"/>
      <x:c r="I474" t="str">
        <x:f>IF(OR(G474="",H474=""),"",G474+H474)</x:f>
      </x:c>
      <x:c r="J474" t="str">
        <x:f>IF(I474="","",IF(I474&gt;2.5,"OVER","UNDER"))</x:f>
      </x:c>
      <x:c r="K474" s="30"/>
      <x:c r="L474" s="30"/>
      <x:c r="M474" s="30"/>
      <x:c r="N474" s="30"/>
      <x:c r="Y474" s="30"/>
      <x:c r="Z474" s="30"/>
      <x:c r="AA474" s="30"/>
      <x:c r="AB474" s="30"/>
    </x:row>
    <x:row r="475">
      <x:c r="B475" s="28"/>
      <x:c r="I475" t="str">
        <x:f>IF(OR(G475="",H475=""),"",G475+H475)</x:f>
      </x:c>
      <x:c r="J475" t="str">
        <x:f>IF(I475="","",IF(I475&gt;2.5,"OVER","UNDER"))</x:f>
      </x:c>
      <x:c r="K475" s="30"/>
      <x:c r="L475" s="30"/>
      <x:c r="M475" s="30"/>
      <x:c r="N475" s="30"/>
      <x:c r="Y475" s="30"/>
      <x:c r="Z475" s="30"/>
      <x:c r="AA475" s="30"/>
      <x:c r="AB475" s="30"/>
    </x:row>
    <x:row r="476">
      <x:c r="B476" s="28"/>
      <x:c r="I476" t="str">
        <x:f>IF(OR(G476="",H476=""),"",G476+H476)</x:f>
      </x:c>
      <x:c r="J476" t="str">
        <x:f>IF(I476="","",IF(I476&gt;2.5,"OVER","UNDER"))</x:f>
      </x:c>
      <x:c r="K476" s="30"/>
      <x:c r="L476" s="30"/>
      <x:c r="M476" s="30"/>
      <x:c r="N476" s="30"/>
      <x:c r="Y476" s="30"/>
      <x:c r="Z476" s="30"/>
      <x:c r="AA476" s="30"/>
      <x:c r="AB476" s="30"/>
    </x:row>
    <x:row r="477">
      <x:c r="B477" s="28"/>
      <x:c r="I477" t="str">
        <x:f>IF(OR(G477="",H477=""),"",G477+H477)</x:f>
      </x:c>
      <x:c r="J477" t="str">
        <x:f>IF(I477="","",IF(I477&gt;2.5,"OVER","UNDER"))</x:f>
      </x:c>
      <x:c r="K477" s="30"/>
      <x:c r="L477" s="30"/>
      <x:c r="M477" s="30"/>
      <x:c r="N477" s="30"/>
      <x:c r="Y477" s="30"/>
      <x:c r="Z477" s="30"/>
      <x:c r="AA477" s="30"/>
      <x:c r="AB477" s="30"/>
    </x:row>
    <x:row r="478">
      <x:c r="B478" s="28"/>
      <x:c r="I478" t="str">
        <x:f>IF(OR(G478="",H478=""),"",G478+H478)</x:f>
      </x:c>
      <x:c r="J478" t="str">
        <x:f>IF(I478="","",IF(I478&gt;2.5,"OVER","UNDER"))</x:f>
      </x:c>
      <x:c r="K478" s="30"/>
      <x:c r="L478" s="30"/>
      <x:c r="M478" s="30"/>
      <x:c r="N478" s="30"/>
      <x:c r="Y478" s="30"/>
      <x:c r="Z478" s="30"/>
      <x:c r="AA478" s="30"/>
      <x:c r="AB478" s="30"/>
    </x:row>
    <x:row r="479">
      <x:c r="B479" s="28"/>
      <x:c r="I479" t="str">
        <x:f>IF(OR(G479="",H479=""),"",G479+H479)</x:f>
      </x:c>
      <x:c r="J479" t="str">
        <x:f>IF(I479="","",IF(I479&gt;2.5,"OVER","UNDER"))</x:f>
      </x:c>
      <x:c r="K479" s="30"/>
      <x:c r="L479" s="30"/>
      <x:c r="M479" s="30"/>
      <x:c r="N479" s="30"/>
      <x:c r="Y479" s="30"/>
      <x:c r="Z479" s="30"/>
      <x:c r="AA479" s="30"/>
      <x:c r="AB479" s="30"/>
    </x:row>
    <x:row r="480">
      <x:c r="B480" s="28"/>
      <x:c r="I480" t="str">
        <x:f>IF(OR(G480="",H480=""),"",G480+H480)</x:f>
      </x:c>
      <x:c r="J480" t="str">
        <x:f>IF(I480="","",IF(I480&gt;2.5,"OVER","UNDER"))</x:f>
      </x:c>
      <x:c r="K480" s="30"/>
      <x:c r="L480" s="30"/>
      <x:c r="M480" s="30"/>
      <x:c r="N480" s="30"/>
      <x:c r="Y480" s="30"/>
      <x:c r="Z480" s="30"/>
      <x:c r="AA480" s="30"/>
      <x:c r="AB480" s="30"/>
    </x:row>
    <x:row r="481">
      <x:c r="B481" s="28"/>
      <x:c r="I481" t="str">
        <x:f>IF(OR(G481="",H481=""),"",G481+H481)</x:f>
      </x:c>
      <x:c r="J481" t="str">
        <x:f>IF(I481="","",IF(I481&gt;2.5,"OVER","UNDER"))</x:f>
      </x:c>
      <x:c r="K481" s="30"/>
      <x:c r="L481" s="30"/>
      <x:c r="M481" s="30"/>
      <x:c r="N481" s="30"/>
      <x:c r="Y481" s="30"/>
      <x:c r="Z481" s="30"/>
      <x:c r="AA481" s="30"/>
      <x:c r="AB481" s="30"/>
    </x:row>
    <x:row r="482">
      <x:c r="B482" s="28"/>
      <x:c r="I482" t="str">
        <x:f>IF(OR(G482="",H482=""),"",G482+H482)</x:f>
      </x:c>
      <x:c r="J482" t="str">
        <x:f>IF(I482="","",IF(I482&gt;2.5,"OVER","UNDER"))</x:f>
      </x:c>
      <x:c r="K482" s="30"/>
      <x:c r="L482" s="30"/>
      <x:c r="M482" s="30"/>
      <x:c r="N482" s="30"/>
      <x:c r="Y482" s="30"/>
      <x:c r="Z482" s="30"/>
      <x:c r="AA482" s="30"/>
      <x:c r="AB482" s="30"/>
    </x:row>
    <x:row r="483">
      <x:c r="B483" s="28"/>
      <x:c r="I483" t="str">
        <x:f>IF(OR(G483="",H483=""),"",G483+H483)</x:f>
      </x:c>
      <x:c r="J483" t="str">
        <x:f>IF(I483="","",IF(I483&gt;2.5,"OVER","UNDER"))</x:f>
      </x:c>
      <x:c r="K483" s="30"/>
      <x:c r="L483" s="30"/>
      <x:c r="M483" s="30"/>
      <x:c r="N483" s="30"/>
      <x:c r="Y483" s="30"/>
      <x:c r="Z483" s="30"/>
      <x:c r="AA483" s="30"/>
      <x:c r="AB483" s="30"/>
    </x:row>
    <x:row r="484">
      <x:c r="B484" s="28"/>
      <x:c r="I484" t="str">
        <x:f>IF(OR(G484="",H484=""),"",G484+H484)</x:f>
      </x:c>
      <x:c r="J484" t="str">
        <x:f>IF(I484="","",IF(I484&gt;2.5,"OVER","UNDER"))</x:f>
      </x:c>
      <x:c r="K484" s="30"/>
      <x:c r="L484" s="30"/>
      <x:c r="M484" s="30"/>
      <x:c r="N484" s="30"/>
      <x:c r="Y484" s="30"/>
      <x:c r="Z484" s="30"/>
      <x:c r="AA484" s="30"/>
      <x:c r="AB484" s="30"/>
    </x:row>
    <x:row r="485">
      <x:c r="B485" s="28"/>
      <x:c r="I485" t="str">
        <x:f>IF(OR(G485="",H485=""),"",G485+H485)</x:f>
      </x:c>
      <x:c r="J485" t="str">
        <x:f>IF(I485="","",IF(I485&gt;2.5,"OVER","UNDER"))</x:f>
      </x:c>
      <x:c r="K485" s="30"/>
      <x:c r="L485" s="30"/>
      <x:c r="M485" s="30"/>
      <x:c r="N485" s="30"/>
      <x:c r="Y485" s="30"/>
      <x:c r="Z485" s="30"/>
      <x:c r="AA485" s="30"/>
      <x:c r="AB485" s="30"/>
    </x:row>
    <x:row r="486">
      <x:c r="B486" s="28"/>
      <x:c r="I486" t="str">
        <x:f>IF(OR(G486="",H486=""),"",G486+H486)</x:f>
      </x:c>
      <x:c r="J486" t="str">
        <x:f>IF(I486="","",IF(I486&gt;2.5,"OVER","UNDER"))</x:f>
      </x:c>
      <x:c r="K486" s="30"/>
      <x:c r="L486" s="30"/>
      <x:c r="M486" s="30"/>
      <x:c r="N486" s="30"/>
      <x:c r="Y486" s="30"/>
      <x:c r="Z486" s="30"/>
      <x:c r="AA486" s="30"/>
      <x:c r="AB486" s="30"/>
    </x:row>
    <x:row r="487">
      <x:c r="B487" s="28"/>
      <x:c r="I487" t="str">
        <x:f>IF(OR(G487="",H487=""),"",G487+H487)</x:f>
      </x:c>
      <x:c r="J487" t="str">
        <x:f>IF(I487="","",IF(I487&gt;2.5,"OVER","UNDER"))</x:f>
      </x:c>
      <x:c r="K487" s="30"/>
      <x:c r="L487" s="30"/>
      <x:c r="M487" s="30"/>
      <x:c r="N487" s="30"/>
      <x:c r="Y487" s="30"/>
      <x:c r="Z487" s="30"/>
      <x:c r="AA487" s="30"/>
      <x:c r="AB487" s="30"/>
    </x:row>
    <x:row r="488">
      <x:c r="B488" s="28"/>
      <x:c r="I488" t="str">
        <x:f>IF(OR(G488="",H488=""),"",G488+H488)</x:f>
      </x:c>
      <x:c r="J488" t="str">
        <x:f>IF(I488="","",IF(I488&gt;2.5,"OVER","UNDER"))</x:f>
      </x:c>
      <x:c r="K488" s="30"/>
      <x:c r="L488" s="30"/>
      <x:c r="M488" s="30"/>
      <x:c r="N488" s="30"/>
      <x:c r="Y488" s="30"/>
      <x:c r="Z488" s="30"/>
      <x:c r="AA488" s="30"/>
      <x:c r="AB488" s="30"/>
    </x:row>
    <x:row r="489">
      <x:c r="B489" s="28"/>
      <x:c r="I489" t="str">
        <x:f>IF(OR(G489="",H489=""),"",G489+H489)</x:f>
      </x:c>
      <x:c r="J489" t="str">
        <x:f>IF(I489="","",IF(I489&gt;2.5,"OVER","UNDER"))</x:f>
      </x:c>
      <x:c r="K489" s="30"/>
      <x:c r="L489" s="30"/>
      <x:c r="M489" s="30"/>
      <x:c r="N489" s="30"/>
      <x:c r="Y489" s="30"/>
      <x:c r="Z489" s="30"/>
      <x:c r="AA489" s="30"/>
      <x:c r="AB489" s="30"/>
    </x:row>
    <x:row r="490">
      <x:c r="B490" s="28"/>
      <x:c r="I490" t="str">
        <x:f>IF(OR(G490="",H490=""),"",G490+H490)</x:f>
      </x:c>
      <x:c r="J490" t="str">
        <x:f>IF(I490="","",IF(I490&gt;2.5,"OVER","UNDER"))</x:f>
      </x:c>
      <x:c r="K490" s="30"/>
      <x:c r="L490" s="30"/>
      <x:c r="M490" s="30"/>
      <x:c r="N490" s="30"/>
      <x:c r="Y490" s="30"/>
      <x:c r="Z490" s="30"/>
      <x:c r="AA490" s="30"/>
      <x:c r="AB490" s="30"/>
    </x:row>
    <x:row r="491">
      <x:c r="B491" s="28"/>
      <x:c r="I491" t="str">
        <x:f>IF(OR(G491="",H491=""),"",G491+H491)</x:f>
      </x:c>
      <x:c r="J491" t="str">
        <x:f>IF(I491="","",IF(I491&gt;2.5,"OVER","UNDER"))</x:f>
      </x:c>
      <x:c r="K491" s="30"/>
      <x:c r="L491" s="30"/>
      <x:c r="M491" s="30"/>
      <x:c r="N491" s="30"/>
      <x:c r="Y491" s="30"/>
      <x:c r="Z491" s="30"/>
      <x:c r="AA491" s="30"/>
      <x:c r="AB491" s="30"/>
    </x:row>
    <x:row r="492">
      <x:c r="B492" s="28"/>
      <x:c r="I492" t="str">
        <x:f>IF(OR(G492="",H492=""),"",G492+H492)</x:f>
      </x:c>
      <x:c r="J492" t="str">
        <x:f>IF(I492="","",IF(I492&gt;2.5,"OVER","UNDER"))</x:f>
      </x:c>
      <x:c r="K492" s="30"/>
      <x:c r="L492" s="30"/>
      <x:c r="M492" s="30"/>
      <x:c r="N492" s="30"/>
      <x:c r="Y492" s="30"/>
      <x:c r="Z492" s="30"/>
      <x:c r="AA492" s="30"/>
      <x:c r="AB492" s="30"/>
    </x:row>
    <x:row r="493">
      <x:c r="B493" s="28"/>
      <x:c r="I493" t="str">
        <x:f>IF(OR(G493="",H493=""),"",G493+H493)</x:f>
      </x:c>
      <x:c r="J493" t="str">
        <x:f>IF(I493="","",IF(I493&gt;2.5,"OVER","UNDER"))</x:f>
      </x:c>
      <x:c r="K493" s="30"/>
      <x:c r="L493" s="30"/>
      <x:c r="M493" s="30"/>
      <x:c r="N493" s="30"/>
      <x:c r="Y493" s="30"/>
      <x:c r="Z493" s="30"/>
      <x:c r="AA493" s="30"/>
      <x:c r="AB493" s="30"/>
    </x:row>
    <x:row r="494">
      <x:c r="B494" s="28"/>
      <x:c r="I494" t="str">
        <x:f>IF(OR(G494="",H494=""),"",G494+H494)</x:f>
      </x:c>
      <x:c r="J494" t="str">
        <x:f>IF(I494="","",IF(I494&gt;2.5,"OVER","UNDER"))</x:f>
      </x:c>
      <x:c r="K494" s="30"/>
      <x:c r="L494" s="30"/>
      <x:c r="M494" s="30"/>
      <x:c r="N494" s="30"/>
      <x:c r="Y494" s="30"/>
      <x:c r="Z494" s="30"/>
      <x:c r="AA494" s="30"/>
      <x:c r="AB494" s="30"/>
    </x:row>
    <x:row r="495">
      <x:c r="B495" s="28"/>
      <x:c r="I495" t="str">
        <x:f>IF(OR(G495="",H495=""),"",G495+H495)</x:f>
      </x:c>
      <x:c r="J495" t="str">
        <x:f>IF(I495="","",IF(I495&gt;2.5,"OVER","UNDER"))</x:f>
      </x:c>
      <x:c r="K495" s="30"/>
      <x:c r="L495" s="30"/>
      <x:c r="M495" s="30"/>
      <x:c r="N495" s="30"/>
      <x:c r="Y495" s="30"/>
      <x:c r="Z495" s="30"/>
      <x:c r="AA495" s="30"/>
      <x:c r="AB495" s="30"/>
    </x:row>
    <x:row r="496">
      <x:c r="B496" s="28"/>
      <x:c r="I496" t="str">
        <x:f>IF(OR(G496="",H496=""),"",G496+H496)</x:f>
      </x:c>
      <x:c r="J496" t="str">
        <x:f>IF(I496="","",IF(I496&gt;2.5,"OVER","UNDER"))</x:f>
      </x:c>
      <x:c r="K496" s="30"/>
      <x:c r="L496" s="30"/>
      <x:c r="M496" s="30"/>
      <x:c r="N496" s="30"/>
      <x:c r="Y496" s="30"/>
      <x:c r="Z496" s="30"/>
      <x:c r="AA496" s="30"/>
      <x:c r="AB496" s="30"/>
    </x:row>
    <x:row r="497">
      <x:c r="B497" s="28"/>
      <x:c r="I497" t="str">
        <x:f>IF(OR(G497="",H497=""),"",G497+H497)</x:f>
      </x:c>
      <x:c r="J497" t="str">
        <x:f>IF(I497="","",IF(I497&gt;2.5,"OVER","UNDER"))</x:f>
      </x:c>
      <x:c r="K497" s="30"/>
      <x:c r="L497" s="30"/>
      <x:c r="M497" s="30"/>
      <x:c r="N497" s="30"/>
      <x:c r="Y497" s="30"/>
      <x:c r="Z497" s="30"/>
      <x:c r="AA497" s="30"/>
      <x:c r="AB497" s="30"/>
    </x:row>
    <x:row r="498">
      <x:c r="B498" s="28"/>
      <x:c r="I498" t="str">
        <x:f>IF(OR(G498="",H498=""),"",G498+H498)</x:f>
      </x:c>
      <x:c r="J498" t="str">
        <x:f>IF(I498="","",IF(I498&gt;2.5,"OVER","UNDER"))</x:f>
      </x:c>
      <x:c r="K498" s="30"/>
      <x:c r="L498" s="30"/>
      <x:c r="M498" s="30"/>
      <x:c r="N498" s="30"/>
      <x:c r="Y498" s="30"/>
      <x:c r="Z498" s="30"/>
      <x:c r="AA498" s="30"/>
      <x:c r="AB498" s="30"/>
    </x:row>
    <x:row r="499">
      <x:c r="B499" s="28"/>
      <x:c r="I499" t="str">
        <x:f>IF(OR(G499="",H499=""),"",G499+H499)</x:f>
      </x:c>
      <x:c r="J499" t="str">
        <x:f>IF(I499="","",IF(I499&gt;2.5,"OVER","UNDER"))</x:f>
      </x:c>
      <x:c r="K499" s="30"/>
      <x:c r="L499" s="30"/>
      <x:c r="M499" s="30"/>
      <x:c r="N499" s="30"/>
      <x:c r="Y499" s="30"/>
      <x:c r="Z499" s="30"/>
      <x:c r="AA499" s="30"/>
      <x:c r="AB499" s="30"/>
    </x:row>
    <x:row r="500">
      <x:c r="B500" s="28"/>
      <x:c r="I500" t="str">
        <x:f>IF(OR(G500="",H500=""),"",G500+H500)</x:f>
      </x:c>
      <x:c r="J500" t="str">
        <x:f>IF(I500="","",IF(I500&gt;2.5,"OVER","UNDER"))</x:f>
      </x:c>
      <x:c r="K500" s="30"/>
      <x:c r="L500" s="30"/>
      <x:c r="M500" s="30"/>
      <x:c r="N500" s="30"/>
      <x:c r="Y500" s="30"/>
      <x:c r="Z500" s="30"/>
      <x:c r="AA500" s="30"/>
      <x:c r="AB500" s="30"/>
    </x:row>
    <x:row r="501">
      <x:c r="B501" s="28"/>
      <x:c r="I501" t="str">
        <x:f>IF(OR(G501="",H501=""),"",G501+H501)</x:f>
      </x:c>
      <x:c r="J501" t="str">
        <x:f>IF(I501="","",IF(I501&gt;2.5,"OVER","UNDER"))</x:f>
      </x:c>
      <x:c r="K501" s="30"/>
      <x:c r="L501" s="30"/>
      <x:c r="M501" s="30"/>
      <x:c r="N501" s="30"/>
      <x:c r="Y501" s="30"/>
      <x:c r="Z501" s="30"/>
      <x:c r="AA501" s="30"/>
      <x:c r="AB501" s="30"/>
    </x:row>
    <x:row r="502">
      <x:c r="B502" s="28"/>
      <x:c r="I502" t="str">
        <x:f>IF(OR(G502="",H502=""),"",G502+H502)</x:f>
      </x:c>
      <x:c r="J502" t="str">
        <x:f>IF(I502="","",IF(I502&gt;2.5,"OVER","UNDER"))</x:f>
      </x:c>
      <x:c r="K502" s="30"/>
      <x:c r="L502" s="30"/>
      <x:c r="M502" s="30"/>
      <x:c r="N502" s="30"/>
      <x:c r="Y502" s="30"/>
      <x:c r="Z502" s="30"/>
      <x:c r="AA502" s="30"/>
      <x:c r="AB502" s="30"/>
    </x:row>
    <x:row r="503">
      <x:c r="B503" s="28"/>
      <x:c r="I503" t="str">
        <x:f>IF(OR(G503="",H503=""),"",G503+H503)</x:f>
      </x:c>
      <x:c r="J503" t="str">
        <x:f>IF(I503="","",IF(I503&gt;2.5,"OVER","UNDER"))</x:f>
      </x:c>
      <x:c r="K503" s="30"/>
      <x:c r="L503" s="30"/>
      <x:c r="M503" s="30"/>
      <x:c r="N503" s="30"/>
      <x:c r="Y503" s="30"/>
      <x:c r="Z503" s="30"/>
      <x:c r="AA503" s="30"/>
      <x:c r="AB503" s="30"/>
    </x:row>
    <x:row r="504">
      <x:c r="B504" s="28"/>
      <x:c r="I504" t="str">
        <x:f>IF(OR(G504="",H504=""),"",G504+H504)</x:f>
      </x:c>
      <x:c r="J504" t="str">
        <x:f>IF(I504="","",IF(I504&gt;2.5,"OVER","UNDER"))</x:f>
      </x:c>
      <x:c r="K504" s="30"/>
      <x:c r="L504" s="30"/>
      <x:c r="M504" s="30"/>
      <x:c r="N504" s="30"/>
      <x:c r="Y504" s="30"/>
      <x:c r="Z504" s="30"/>
      <x:c r="AA504" s="30"/>
      <x:c r="AB504" s="30"/>
    </x:row>
    <x:row r="505">
      <x:c r="B505" s="28"/>
      <x:c r="I505" t="str">
        <x:f>IF(OR(G505="",H505=""),"",G505+H505)</x:f>
      </x:c>
      <x:c r="J505" t="str">
        <x:f>IF(I505="","",IF(I505&gt;2.5,"OVER","UNDER"))</x:f>
      </x:c>
      <x:c r="K505" s="30"/>
      <x:c r="L505" s="30"/>
      <x:c r="M505" s="30"/>
      <x:c r="N505" s="30"/>
      <x:c r="Y505" s="30"/>
      <x:c r="Z505" s="30"/>
      <x:c r="AA505" s="30"/>
      <x:c r="AB505" s="30"/>
    </x:row>
    <x:row r="506">
      <x:c r="B506" s="28"/>
      <x:c r="I506" t="str">
        <x:f>IF(OR(G506="",H506=""),"",G506+H506)</x:f>
      </x:c>
      <x:c r="J506" t="str">
        <x:f>IF(I506="","",IF(I506&gt;2.5,"OVER","UNDER"))</x:f>
      </x:c>
      <x:c r="K506" s="30"/>
      <x:c r="L506" s="30"/>
      <x:c r="M506" s="30"/>
      <x:c r="N506" s="30"/>
      <x:c r="Y506" s="30"/>
      <x:c r="Z506" s="30"/>
      <x:c r="AA506" s="30"/>
      <x:c r="AB506" s="30"/>
    </x:row>
    <x:row r="507">
      <x:c r="B507" s="28"/>
      <x:c r="I507" t="str">
        <x:f>IF(OR(G507="",H507=""),"",G507+H507)</x:f>
      </x:c>
      <x:c r="J507" t="str">
        <x:f>IF(I507="","",IF(I507&gt;2.5,"OVER","UNDER"))</x:f>
      </x:c>
      <x:c r="K507" s="30"/>
      <x:c r="L507" s="30"/>
      <x:c r="M507" s="30"/>
      <x:c r="N507" s="30"/>
      <x:c r="Y507" s="30"/>
      <x:c r="Z507" s="30"/>
      <x:c r="AA507" s="30"/>
      <x:c r="AB507" s="30"/>
    </x:row>
    <x:row r="508">
      <x:c r="B508" s="28"/>
      <x:c r="I508" t="str">
        <x:f>IF(OR(G508="",H508=""),"",G508+H508)</x:f>
      </x:c>
      <x:c r="J508" t="str">
        <x:f>IF(I508="","",IF(I508&gt;2.5,"OVER","UNDER"))</x:f>
      </x:c>
      <x:c r="K508" s="30"/>
      <x:c r="L508" s="30"/>
      <x:c r="M508" s="30"/>
      <x:c r="N508" s="30"/>
      <x:c r="Y508" s="30"/>
      <x:c r="Z508" s="30"/>
      <x:c r="AA508" s="30"/>
      <x:c r="AB508" s="30"/>
    </x:row>
    <x:row r="509">
      <x:c r="B509" s="28"/>
      <x:c r="I509" t="str">
        <x:f>IF(OR(G509="",H509=""),"",G509+H509)</x:f>
      </x:c>
      <x:c r="J509" t="str">
        <x:f>IF(I509="","",IF(I509&gt;2.5,"OVER","UNDER"))</x:f>
      </x:c>
      <x:c r="K509" s="30"/>
      <x:c r="L509" s="30"/>
      <x:c r="M509" s="30"/>
      <x:c r="N509" s="30"/>
      <x:c r="Y509" s="30"/>
      <x:c r="Z509" s="30"/>
      <x:c r="AA509" s="30"/>
      <x:c r="AB509" s="30"/>
    </x:row>
    <x:row r="510">
      <x:c r="B510" s="28"/>
      <x:c r="I510" t="str">
        <x:f>IF(OR(G510="",H510=""),"",G510+H510)</x:f>
      </x:c>
      <x:c r="J510" t="str">
        <x:f>IF(I510="","",IF(I510&gt;2.5,"OVER","UNDER"))</x:f>
      </x:c>
      <x:c r="K510" s="30"/>
      <x:c r="L510" s="30"/>
      <x:c r="M510" s="30"/>
      <x:c r="N510" s="30"/>
      <x:c r="Y510" s="30"/>
      <x:c r="Z510" s="30"/>
      <x:c r="AA510" s="30"/>
      <x:c r="AB510" s="30"/>
    </x:row>
    <x:row r="511">
      <x:c r="B511" s="28"/>
      <x:c r="I511" t="str">
        <x:f>IF(OR(G511="",H511=""),"",G511+H511)</x:f>
      </x:c>
      <x:c r="J511" t="str">
        <x:f>IF(I511="","",IF(I511&gt;2.5,"OVER","UNDER"))</x:f>
      </x:c>
      <x:c r="K511" s="30"/>
      <x:c r="L511" s="30"/>
      <x:c r="M511" s="30"/>
      <x:c r="N511" s="30"/>
      <x:c r="Y511" s="30"/>
      <x:c r="Z511" s="30"/>
      <x:c r="AA511" s="30"/>
      <x:c r="AB511" s="30"/>
    </x:row>
    <x:row r="512">
      <x:c r="B512" s="28"/>
      <x:c r="I512" t="str">
        <x:f>IF(OR(G512="",H512=""),"",G512+H512)</x:f>
      </x:c>
      <x:c r="J512" t="str">
        <x:f>IF(I512="","",IF(I512&gt;2.5,"OVER","UNDER"))</x:f>
      </x:c>
      <x:c r="K512" s="30"/>
      <x:c r="L512" s="30"/>
      <x:c r="M512" s="30"/>
      <x:c r="N512" s="30"/>
      <x:c r="Y512" s="30"/>
      <x:c r="Z512" s="30"/>
      <x:c r="AA512" s="30"/>
      <x:c r="AB512" s="30"/>
    </x:row>
    <x:row r="513">
      <x:c r="B513" s="28"/>
      <x:c r="I513" t="str">
        <x:f>IF(OR(G513="",H513=""),"",G513+H513)</x:f>
      </x:c>
      <x:c r="J513" t="str">
        <x:f>IF(I513="","",IF(I513&gt;2.5,"OVER","UNDER"))</x:f>
      </x:c>
      <x:c r="K513" s="30"/>
      <x:c r="L513" s="30"/>
      <x:c r="M513" s="30"/>
      <x:c r="N513" s="30"/>
      <x:c r="Y513" s="30"/>
      <x:c r="Z513" s="30"/>
      <x:c r="AA513" s="30"/>
      <x:c r="AB513" s="30"/>
    </x:row>
    <x:row r="514">
      <x:c r="B514" s="28"/>
      <x:c r="I514" t="str">
        <x:f>IF(OR(G514="",H514=""),"",G514+H514)</x:f>
      </x:c>
      <x:c r="J514" t="str">
        <x:f>IF(I514="","",IF(I514&gt;2.5,"OVER","UNDER"))</x:f>
      </x:c>
      <x:c r="K514" s="30"/>
      <x:c r="L514" s="30"/>
      <x:c r="M514" s="30"/>
      <x:c r="N514" s="30"/>
      <x:c r="Y514" s="30"/>
      <x:c r="Z514" s="30"/>
      <x:c r="AA514" s="30"/>
      <x:c r="AB514" s="30"/>
    </x:row>
    <x:row r="515">
      <x:c r="B515" s="28"/>
      <x:c r="I515" t="str">
        <x:f>IF(OR(G515="",H515=""),"",G515+H515)</x:f>
      </x:c>
      <x:c r="J515" t="str">
        <x:f>IF(I515="","",IF(I515&gt;2.5,"OVER","UNDER"))</x:f>
      </x:c>
      <x:c r="K515" s="30"/>
      <x:c r="L515" s="30"/>
      <x:c r="M515" s="30"/>
      <x:c r="N515" s="30"/>
      <x:c r="Y515" s="30"/>
      <x:c r="Z515" s="30"/>
      <x:c r="AA515" s="30"/>
      <x:c r="AB515" s="30"/>
    </x:row>
    <x:row r="516">
      <x:c r="B516" s="28"/>
      <x:c r="I516" t="str">
        <x:f>IF(OR(G516="",H516=""),"",G516+H516)</x:f>
      </x:c>
      <x:c r="J516" t="str">
        <x:f>IF(I516="","",IF(I516&gt;2.5,"OVER","UNDER"))</x:f>
      </x:c>
      <x:c r="K516" s="30"/>
      <x:c r="L516" s="30"/>
      <x:c r="M516" s="30"/>
      <x:c r="N516" s="30"/>
      <x:c r="Y516" s="30"/>
      <x:c r="Z516" s="30"/>
      <x:c r="AA516" s="30"/>
      <x:c r="AB516" s="30"/>
    </x:row>
    <x:row r="517">
      <x:c r="B517" s="28"/>
      <x:c r="I517" t="str">
        <x:f>IF(OR(G517="",H517=""),"",G517+H517)</x:f>
      </x:c>
      <x:c r="J517" t="str">
        <x:f>IF(I517="","",IF(I517&gt;2.5,"OVER","UNDER"))</x:f>
      </x:c>
      <x:c r="K517" s="30"/>
      <x:c r="L517" s="30"/>
      <x:c r="M517" s="30"/>
      <x:c r="N517" s="30"/>
      <x:c r="Y517" s="30"/>
      <x:c r="Z517" s="30"/>
      <x:c r="AA517" s="30"/>
      <x:c r="AB517" s="30"/>
    </x:row>
    <x:row r="518">
      <x:c r="B518" s="28"/>
      <x:c r="I518" t="str">
        <x:f>IF(OR(G518="",H518=""),"",G518+H518)</x:f>
      </x:c>
      <x:c r="J518" t="str">
        <x:f>IF(I518="","",IF(I518&gt;2.5,"OVER","UNDER"))</x:f>
      </x:c>
      <x:c r="K518" s="30"/>
      <x:c r="L518" s="30"/>
      <x:c r="M518" s="30"/>
      <x:c r="N518" s="30"/>
      <x:c r="Y518" s="30"/>
      <x:c r="Z518" s="30"/>
      <x:c r="AA518" s="30"/>
      <x:c r="AB518" s="30"/>
    </x:row>
    <x:row r="519">
      <x:c r="B519" s="28"/>
      <x:c r="I519" t="str">
        <x:f>IF(OR(G519="",H519=""),"",G519+H519)</x:f>
      </x:c>
      <x:c r="J519" t="str">
        <x:f>IF(I519="","",IF(I519&gt;2.5,"OVER","UNDER"))</x:f>
      </x:c>
      <x:c r="K519" s="30"/>
      <x:c r="L519" s="30"/>
      <x:c r="M519" s="30"/>
      <x:c r="N519" s="30"/>
      <x:c r="Y519" s="30"/>
      <x:c r="Z519" s="30"/>
      <x:c r="AA519" s="30"/>
      <x:c r="AB519" s="30"/>
    </x:row>
    <x:row r="520">
      <x:c r="B520" s="28"/>
      <x:c r="I520" t="str">
        <x:f>IF(OR(G520="",H520=""),"",G520+H520)</x:f>
      </x:c>
      <x:c r="J520" t="str">
        <x:f>IF(I520="","",IF(I520&gt;2.5,"OVER","UNDER"))</x:f>
      </x:c>
      <x:c r="K520" s="30"/>
      <x:c r="L520" s="30"/>
      <x:c r="M520" s="30"/>
      <x:c r="N520" s="30"/>
      <x:c r="Y520" s="30"/>
      <x:c r="Z520" s="30"/>
      <x:c r="AA520" s="30"/>
      <x:c r="AB520" s="30"/>
    </x:row>
    <x:row r="521">
      <x:c r="B521" s="28"/>
      <x:c r="I521" t="str">
        <x:f>IF(OR(G521="",H521=""),"",G521+H521)</x:f>
      </x:c>
      <x:c r="J521" t="str">
        <x:f>IF(I521="","",IF(I521&gt;2.5,"OVER","UNDER"))</x:f>
      </x:c>
      <x:c r="K521" s="30"/>
      <x:c r="L521" s="30"/>
      <x:c r="M521" s="30"/>
      <x:c r="N521" s="30"/>
      <x:c r="Y521" s="30"/>
      <x:c r="Z521" s="30"/>
      <x:c r="AA521" s="30"/>
      <x:c r="AB521" s="30"/>
    </x:row>
    <x:row r="522">
      <x:c r="B522" s="28"/>
      <x:c r="I522" t="str">
        <x:f>IF(OR(G522="",H522=""),"",G522+H522)</x:f>
      </x:c>
      <x:c r="J522" t="str">
        <x:f>IF(I522="","",IF(I522&gt;2.5,"OVER","UNDER"))</x:f>
      </x:c>
      <x:c r="K522" s="30"/>
      <x:c r="L522" s="30"/>
      <x:c r="M522" s="30"/>
      <x:c r="N522" s="30"/>
      <x:c r="Y522" s="30"/>
      <x:c r="Z522" s="30"/>
      <x:c r="AA522" s="30"/>
      <x:c r="AB522" s="30"/>
    </x:row>
    <x:row r="523">
      <x:c r="B523" s="28"/>
      <x:c r="I523" t="str">
        <x:f>IF(OR(G523="",H523=""),"",G523+H523)</x:f>
      </x:c>
      <x:c r="J523" t="str">
        <x:f>IF(I523="","",IF(I523&gt;2.5,"OVER","UNDER"))</x:f>
      </x:c>
      <x:c r="K523" s="30"/>
      <x:c r="L523" s="30"/>
      <x:c r="M523" s="30"/>
      <x:c r="N523" s="30"/>
      <x:c r="Y523" s="30"/>
      <x:c r="Z523" s="30"/>
      <x:c r="AA523" s="30"/>
      <x:c r="AB523" s="30"/>
    </x:row>
    <x:row r="524">
      <x:c r="B524" s="28"/>
      <x:c r="I524" t="str">
        <x:f>IF(OR(G524="",H524=""),"",G524+H524)</x:f>
      </x:c>
      <x:c r="J524" t="str">
        <x:f>IF(I524="","",IF(I524&gt;2.5,"OVER","UNDER"))</x:f>
      </x:c>
      <x:c r="K524" s="30"/>
      <x:c r="L524" s="30"/>
      <x:c r="M524" s="30"/>
      <x:c r="N524" s="30"/>
      <x:c r="Y524" s="30"/>
      <x:c r="Z524" s="30"/>
      <x:c r="AA524" s="30"/>
      <x:c r="AB524" s="30"/>
    </x:row>
    <x:row r="525">
      <x:c r="B525" s="28"/>
      <x:c r="I525" t="str">
        <x:f>IF(OR(G525="",H525=""),"",G525+H525)</x:f>
      </x:c>
      <x:c r="J525" t="str">
        <x:f>IF(I525="","",IF(I525&gt;2.5,"OVER","UNDER"))</x:f>
      </x:c>
      <x:c r="K525" s="30"/>
      <x:c r="L525" s="30"/>
      <x:c r="M525" s="30"/>
      <x:c r="N525" s="30"/>
      <x:c r="Y525" s="30"/>
      <x:c r="Z525" s="30"/>
      <x:c r="AA525" s="30"/>
      <x:c r="AB525" s="30"/>
    </x:row>
    <x:row r="526">
      <x:c r="B526" s="28"/>
      <x:c r="I526" t="str">
        <x:f>IF(OR(G526="",H526=""),"",G526+H526)</x:f>
      </x:c>
      <x:c r="J526" t="str">
        <x:f>IF(I526="","",IF(I526&gt;2.5,"OVER","UNDER"))</x:f>
      </x:c>
      <x:c r="K526" s="30"/>
      <x:c r="L526" s="30"/>
      <x:c r="M526" s="30"/>
      <x:c r="N526" s="30"/>
      <x:c r="Y526" s="30"/>
      <x:c r="Z526" s="30"/>
      <x:c r="AA526" s="30"/>
      <x:c r="AB526" s="30"/>
    </x:row>
    <x:row r="527">
      <x:c r="B527" s="28"/>
      <x:c r="I527" t="str">
        <x:f>IF(OR(G527="",H527=""),"",G527+H527)</x:f>
      </x:c>
      <x:c r="J527" t="str">
        <x:f>IF(I527="","",IF(I527&gt;2.5,"OVER","UNDER"))</x:f>
      </x:c>
      <x:c r="K527" s="30"/>
      <x:c r="L527" s="30"/>
      <x:c r="M527" s="30"/>
      <x:c r="N527" s="30"/>
      <x:c r="Y527" s="30"/>
      <x:c r="Z527" s="30"/>
      <x:c r="AA527" s="30"/>
      <x:c r="AB527" s="30"/>
    </x:row>
    <x:row r="528">
      <x:c r="B528" s="28"/>
      <x:c r="I528" t="str">
        <x:f>IF(OR(G528="",H528=""),"",G528+H528)</x:f>
      </x:c>
      <x:c r="J528" t="str">
        <x:f>IF(I528="","",IF(I528&gt;2.5,"OVER","UNDER"))</x:f>
      </x:c>
      <x:c r="K528" s="30"/>
      <x:c r="L528" s="30"/>
      <x:c r="M528" s="30"/>
      <x:c r="N528" s="30"/>
      <x:c r="Y528" s="30"/>
      <x:c r="Z528" s="30"/>
      <x:c r="AA528" s="30"/>
      <x:c r="AB528" s="30"/>
    </x:row>
    <x:row r="529">
      <x:c r="B529" s="28"/>
      <x:c r="I529" t="str">
        <x:f>IF(OR(G529="",H529=""),"",G529+H529)</x:f>
      </x:c>
      <x:c r="J529" t="str">
        <x:f>IF(I529="","",IF(I529&gt;2.5,"OVER","UNDER"))</x:f>
      </x:c>
      <x:c r="K529" s="30"/>
      <x:c r="L529" s="30"/>
      <x:c r="M529" s="30"/>
      <x:c r="N529" s="30"/>
      <x:c r="Y529" s="30"/>
      <x:c r="Z529" s="30"/>
      <x:c r="AA529" s="30"/>
      <x:c r="AB529" s="30"/>
    </x:row>
    <x:row r="530">
      <x:c r="B530" s="28"/>
      <x:c r="I530" t="str">
        <x:f>IF(OR(G530="",H530=""),"",G530+H530)</x:f>
      </x:c>
      <x:c r="J530" t="str">
        <x:f>IF(I530="","",IF(I530&gt;2.5,"OVER","UNDER"))</x:f>
      </x:c>
      <x:c r="K530" s="30"/>
      <x:c r="L530" s="30"/>
      <x:c r="M530" s="30"/>
      <x:c r="N530" s="30"/>
      <x:c r="Y530" s="30"/>
      <x:c r="Z530" s="30"/>
      <x:c r="AA530" s="30"/>
      <x:c r="AB530" s="30"/>
    </x:row>
    <x:row r="531">
      <x:c r="B531" s="28"/>
      <x:c r="I531" t="str">
        <x:f>IF(OR(G531="",H531=""),"",G531+H531)</x:f>
      </x:c>
      <x:c r="J531" t="str">
        <x:f>IF(I531="","",IF(I531&gt;2.5,"OVER","UNDER"))</x:f>
      </x:c>
      <x:c r="K531" s="30"/>
      <x:c r="L531" s="30"/>
      <x:c r="M531" s="30"/>
      <x:c r="N531" s="30"/>
      <x:c r="Y531" s="30"/>
      <x:c r="Z531" s="30"/>
      <x:c r="AA531" s="30"/>
      <x:c r="AB531" s="30"/>
    </x:row>
    <x:row r="532">
      <x:c r="B532" s="28"/>
      <x:c r="I532" t="str">
        <x:f>IF(OR(G532="",H532=""),"",G532+H532)</x:f>
      </x:c>
      <x:c r="J532" t="str">
        <x:f>IF(I532="","",IF(I532&gt;2.5,"OVER","UNDER"))</x:f>
      </x:c>
      <x:c r="K532" s="30"/>
      <x:c r="L532" s="30"/>
      <x:c r="M532" s="30"/>
      <x:c r="N532" s="30"/>
      <x:c r="Y532" s="30"/>
      <x:c r="Z532" s="30"/>
      <x:c r="AA532" s="30"/>
      <x:c r="AB532" s="30"/>
    </x:row>
    <x:row r="533">
      <x:c r="B533" s="28"/>
      <x:c r="I533" t="str">
        <x:f>IF(OR(G533="",H533=""),"",G533+H533)</x:f>
      </x:c>
      <x:c r="J533" t="str">
        <x:f>IF(I533="","",IF(I533&gt;2.5,"OVER","UNDER"))</x:f>
      </x:c>
      <x:c r="K533" s="30"/>
      <x:c r="L533" s="30"/>
      <x:c r="M533" s="30"/>
      <x:c r="N533" s="30"/>
      <x:c r="Y533" s="30"/>
      <x:c r="Z533" s="30"/>
      <x:c r="AA533" s="30"/>
      <x:c r="AB533" s="30"/>
    </x:row>
    <x:row r="534">
      <x:c r="B534" s="28"/>
      <x:c r="I534" t="str">
        <x:f>IF(OR(G534="",H534=""),"",G534+H534)</x:f>
      </x:c>
      <x:c r="J534" t="str">
        <x:f>IF(I534="","",IF(I534&gt;2.5,"OVER","UNDER"))</x:f>
      </x:c>
      <x:c r="K534" s="30"/>
      <x:c r="L534" s="30"/>
      <x:c r="M534" s="30"/>
      <x:c r="N534" s="30"/>
      <x:c r="Y534" s="30"/>
      <x:c r="Z534" s="30"/>
      <x:c r="AA534" s="30"/>
      <x:c r="AB534" s="30"/>
    </x:row>
    <x:row r="535">
      <x:c r="B535" s="28"/>
      <x:c r="I535" t="str">
        <x:f>IF(OR(G535="",H535=""),"",G535+H535)</x:f>
      </x:c>
      <x:c r="J535" t="str">
        <x:f>IF(I535="","",IF(I535&gt;2.5,"OVER","UNDER"))</x:f>
      </x:c>
      <x:c r="K535" s="30"/>
      <x:c r="L535" s="30"/>
      <x:c r="M535" s="30"/>
      <x:c r="N535" s="30"/>
      <x:c r="Y535" s="30"/>
      <x:c r="Z535" s="30"/>
      <x:c r="AA535" s="30"/>
      <x:c r="AB535" s="30"/>
    </x:row>
    <x:row r="536">
      <x:c r="B536" s="28"/>
      <x:c r="I536" t="str">
        <x:f>IF(OR(G536="",H536=""),"",G536+H536)</x:f>
      </x:c>
      <x:c r="J536" t="str">
        <x:f>IF(I536="","",IF(I536&gt;2.5,"OVER","UNDER"))</x:f>
      </x:c>
      <x:c r="K536" s="30"/>
      <x:c r="L536" s="30"/>
      <x:c r="M536" s="30"/>
      <x:c r="N536" s="30"/>
      <x:c r="Y536" s="30"/>
      <x:c r="Z536" s="30"/>
      <x:c r="AA536" s="30"/>
      <x:c r="AB536" s="30"/>
    </x:row>
    <x:row r="537">
      <x:c r="B537" s="28"/>
      <x:c r="I537" t="str">
        <x:f>IF(OR(G537="",H537=""),"",G537+H537)</x:f>
      </x:c>
      <x:c r="J537" t="str">
        <x:f>IF(I537="","",IF(I537&gt;2.5,"OVER","UNDER"))</x:f>
      </x:c>
      <x:c r="K537" s="30"/>
      <x:c r="L537" s="30"/>
      <x:c r="M537" s="30"/>
      <x:c r="N537" s="30"/>
      <x:c r="Y537" s="30"/>
      <x:c r="Z537" s="30"/>
      <x:c r="AA537" s="30"/>
      <x:c r="AB537" s="30"/>
    </x:row>
    <x:row r="538">
      <x:c r="B538" s="28"/>
      <x:c r="I538" t="str">
        <x:f>IF(OR(G538="",H538=""),"",G538+H538)</x:f>
      </x:c>
      <x:c r="J538" t="str">
        <x:f>IF(I538="","",IF(I538&gt;2.5,"OVER","UNDER"))</x:f>
      </x:c>
      <x:c r="K538" s="30"/>
      <x:c r="L538" s="30"/>
      <x:c r="M538" s="30"/>
      <x:c r="N538" s="30"/>
      <x:c r="Y538" s="30"/>
      <x:c r="Z538" s="30"/>
      <x:c r="AA538" s="30"/>
      <x:c r="AB538" s="30"/>
    </x:row>
    <x:row r="539">
      <x:c r="B539" s="28"/>
      <x:c r="I539" t="str">
        <x:f>IF(OR(G539="",H539=""),"",G539+H539)</x:f>
      </x:c>
      <x:c r="J539" t="str">
        <x:f>IF(I539="","",IF(I539&gt;2.5,"OVER","UNDER"))</x:f>
      </x:c>
      <x:c r="K539" s="30"/>
      <x:c r="L539" s="30"/>
      <x:c r="M539" s="30"/>
      <x:c r="N539" s="30"/>
      <x:c r="Y539" s="30"/>
      <x:c r="Z539" s="30"/>
      <x:c r="AA539" s="30"/>
      <x:c r="AB539" s="30"/>
    </x:row>
    <x:row r="540">
      <x:c r="B540" s="28"/>
      <x:c r="I540" t="str">
        <x:f>IF(OR(G540="",H540=""),"",G540+H540)</x:f>
      </x:c>
      <x:c r="J540" t="str">
        <x:f>IF(I540="","",IF(I540&gt;2.5,"OVER","UNDER"))</x:f>
      </x:c>
      <x:c r="K540" s="30"/>
      <x:c r="L540" s="30"/>
      <x:c r="M540" s="30"/>
      <x:c r="N540" s="30"/>
      <x:c r="Y540" s="30"/>
      <x:c r="Z540" s="30"/>
      <x:c r="AA540" s="30"/>
      <x:c r="AB540" s="30"/>
    </x:row>
    <x:row r="541">
      <x:c r="B541" s="28"/>
      <x:c r="I541" t="str">
        <x:f>IF(OR(G541="",H541=""),"",G541+H541)</x:f>
      </x:c>
      <x:c r="J541" t="str">
        <x:f>IF(I541="","",IF(I541&gt;2.5,"OVER","UNDER"))</x:f>
      </x:c>
      <x:c r="K541" s="30"/>
      <x:c r="L541" s="30"/>
      <x:c r="M541" s="30"/>
      <x:c r="N541" s="30"/>
      <x:c r="Y541" s="30"/>
      <x:c r="Z541" s="30"/>
      <x:c r="AA541" s="30"/>
      <x:c r="AB541" s="30"/>
    </x:row>
    <x:row r="542">
      <x:c r="B542" s="28"/>
      <x:c r="I542" t="str">
        <x:f>IF(OR(G542="",H542=""),"",G542+H542)</x:f>
      </x:c>
      <x:c r="J542" t="str">
        <x:f>IF(I542="","",IF(I542&gt;2.5,"OVER","UNDER"))</x:f>
      </x:c>
      <x:c r="K542" s="30"/>
      <x:c r="L542" s="30"/>
      <x:c r="M542" s="30"/>
      <x:c r="N542" s="30"/>
      <x:c r="Y542" s="30"/>
      <x:c r="Z542" s="30"/>
      <x:c r="AA542" s="30"/>
      <x:c r="AB542" s="30"/>
    </x:row>
    <x:row r="543">
      <x:c r="B543" s="28"/>
      <x:c r="I543" t="str">
        <x:f>IF(OR(G543="",H543=""),"",G543+H543)</x:f>
      </x:c>
      <x:c r="J543" t="str">
        <x:f>IF(I543="","",IF(I543&gt;2.5,"OVER","UNDER"))</x:f>
      </x:c>
      <x:c r="K543" s="30"/>
      <x:c r="L543" s="30"/>
      <x:c r="M543" s="30"/>
      <x:c r="N543" s="30"/>
      <x:c r="Y543" s="30"/>
      <x:c r="Z543" s="30"/>
      <x:c r="AA543" s="30"/>
      <x:c r="AB543" s="30"/>
    </x:row>
    <x:row r="544">
      <x:c r="B544" s="28"/>
      <x:c r="I544" t="str">
        <x:f>IF(OR(G544="",H544=""),"",G544+H544)</x:f>
      </x:c>
      <x:c r="J544" t="str">
        <x:f>IF(I544="","",IF(I544&gt;2.5,"OVER","UNDER"))</x:f>
      </x:c>
      <x:c r="K544" s="30"/>
      <x:c r="L544" s="30"/>
      <x:c r="M544" s="30"/>
      <x:c r="N544" s="30"/>
      <x:c r="Y544" s="30"/>
      <x:c r="Z544" s="30"/>
      <x:c r="AA544" s="30"/>
      <x:c r="AB544" s="30"/>
    </x:row>
    <x:row r="545">
      <x:c r="B545" s="28"/>
      <x:c r="I545" t="str">
        <x:f>IF(OR(G545="",H545=""),"",G545+H545)</x:f>
      </x:c>
      <x:c r="J545" t="str">
        <x:f>IF(I545="","",IF(I545&gt;2.5,"OVER","UNDER"))</x:f>
      </x:c>
      <x:c r="K545" s="30"/>
      <x:c r="L545" s="30"/>
      <x:c r="M545" s="30"/>
      <x:c r="N545" s="30"/>
      <x:c r="Y545" s="30"/>
      <x:c r="Z545" s="30"/>
      <x:c r="AA545" s="30"/>
      <x:c r="AB545" s="30"/>
    </x:row>
    <x:row r="546">
      <x:c r="B546" s="28"/>
      <x:c r="I546" t="str">
        <x:f>IF(OR(G546="",H546=""),"",G546+H546)</x:f>
      </x:c>
      <x:c r="J546" t="str">
        <x:f>IF(I546="","",IF(I546&gt;2.5,"OVER","UNDER"))</x:f>
      </x:c>
      <x:c r="K546" s="30"/>
      <x:c r="L546" s="30"/>
      <x:c r="M546" s="30"/>
      <x:c r="N546" s="30"/>
      <x:c r="Y546" s="30"/>
      <x:c r="Z546" s="30"/>
      <x:c r="AA546" s="30"/>
      <x:c r="AB546" s="30"/>
    </x:row>
    <x:row r="547">
      <x:c r="B547" s="28"/>
      <x:c r="I547" t="str">
        <x:f>IF(OR(G547="",H547=""),"",G547+H547)</x:f>
      </x:c>
      <x:c r="J547" t="str">
        <x:f>IF(I547="","",IF(I547&gt;2.5,"OVER","UNDER"))</x:f>
      </x:c>
      <x:c r="K547" s="30"/>
      <x:c r="L547" s="30"/>
      <x:c r="M547" s="30"/>
      <x:c r="N547" s="30"/>
      <x:c r="Y547" s="30"/>
      <x:c r="Z547" s="30"/>
      <x:c r="AA547" s="30"/>
      <x:c r="AB547" s="30"/>
    </x:row>
    <x:row r="548">
      <x:c r="B548" s="28"/>
      <x:c r="I548" t="str">
        <x:f>IF(OR(G548="",H548=""),"",G548+H548)</x:f>
      </x:c>
      <x:c r="J548" t="str">
        <x:f>IF(I548="","",IF(I548&gt;2.5,"OVER","UNDER"))</x:f>
      </x:c>
      <x:c r="K548" s="30"/>
      <x:c r="L548" s="30"/>
      <x:c r="M548" s="30"/>
      <x:c r="N548" s="30"/>
      <x:c r="Y548" s="30"/>
      <x:c r="Z548" s="30"/>
      <x:c r="AA548" s="30"/>
      <x:c r="AB548" s="30"/>
    </x:row>
    <x:row r="549">
      <x:c r="B549" s="28"/>
      <x:c r="I549" t="str">
        <x:f>IF(OR(G549="",H549=""),"",G549+H549)</x:f>
      </x:c>
      <x:c r="J549" t="str">
        <x:f>IF(I549="","",IF(I549&gt;2.5,"OVER","UNDER"))</x:f>
      </x:c>
      <x:c r="K549" s="30"/>
      <x:c r="L549" s="30"/>
      <x:c r="M549" s="30"/>
      <x:c r="N549" s="30"/>
      <x:c r="Y549" s="30"/>
      <x:c r="Z549" s="30"/>
      <x:c r="AA549" s="30"/>
      <x:c r="AB549" s="30"/>
    </x:row>
    <x:row r="550">
      <x:c r="B550" s="28"/>
      <x:c r="I550" t="str">
        <x:f>IF(OR(G550="",H550=""),"",G550+H550)</x:f>
      </x:c>
      <x:c r="J550" t="str">
        <x:f>IF(I550="","",IF(I550&gt;2.5,"OVER","UNDER"))</x:f>
      </x:c>
      <x:c r="K550" s="30"/>
      <x:c r="L550" s="30"/>
      <x:c r="M550" s="30"/>
      <x:c r="N550" s="30"/>
      <x:c r="Y550" s="30"/>
      <x:c r="Z550" s="30"/>
      <x:c r="AA550" s="30"/>
      <x:c r="AB550" s="30"/>
    </x:row>
    <x:row r="551">
      <x:c r="B551" s="28"/>
      <x:c r="I551" t="str">
        <x:f>IF(OR(G551="",H551=""),"",G551+H551)</x:f>
      </x:c>
      <x:c r="J551" t="str">
        <x:f>IF(I551="","",IF(I551&gt;2.5,"OVER","UNDER"))</x:f>
      </x:c>
      <x:c r="K551" s="30"/>
      <x:c r="L551" s="30"/>
      <x:c r="M551" s="30"/>
      <x:c r="N551" s="30"/>
      <x:c r="Y551" s="30"/>
      <x:c r="Z551" s="30"/>
      <x:c r="AA551" s="30"/>
      <x:c r="AB551" s="30"/>
    </x:row>
    <x:row r="552">
      <x:c r="B552" s="28"/>
      <x:c r="I552" t="str">
        <x:f>IF(OR(G552="",H552=""),"",G552+H552)</x:f>
      </x:c>
      <x:c r="J552" t="str">
        <x:f>IF(I552="","",IF(I552&gt;2.5,"OVER","UNDER"))</x:f>
      </x:c>
      <x:c r="K552" s="30"/>
      <x:c r="L552" s="30"/>
      <x:c r="M552" s="30"/>
      <x:c r="N552" s="30"/>
      <x:c r="Y552" s="30"/>
      <x:c r="Z552" s="30"/>
      <x:c r="AA552" s="30"/>
      <x:c r="AB552" s="30"/>
    </x:row>
    <x:row r="553">
      <x:c r="B553" s="28"/>
      <x:c r="I553" t="str">
        <x:f>IF(OR(G553="",H553=""),"",G553+H553)</x:f>
      </x:c>
      <x:c r="J553" t="str">
        <x:f>IF(I553="","",IF(I553&gt;2.5,"OVER","UNDER"))</x:f>
      </x:c>
      <x:c r="K553" s="30"/>
      <x:c r="L553" s="30"/>
      <x:c r="M553" s="30"/>
      <x:c r="N553" s="30"/>
      <x:c r="Y553" s="30"/>
      <x:c r="Z553" s="30"/>
      <x:c r="AA553" s="30"/>
      <x:c r="AB553" s="30"/>
    </x:row>
    <x:row r="554">
      <x:c r="B554" s="28"/>
      <x:c r="I554" t="str">
        <x:f>IF(OR(G554="",H554=""),"",G554+H554)</x:f>
      </x:c>
      <x:c r="J554" t="str">
        <x:f>IF(I554="","",IF(I554&gt;2.5,"OVER","UNDER"))</x:f>
      </x:c>
      <x:c r="K554" s="30"/>
      <x:c r="L554" s="30"/>
      <x:c r="M554" s="30"/>
      <x:c r="N554" s="30"/>
      <x:c r="Y554" s="30"/>
      <x:c r="Z554" s="30"/>
      <x:c r="AA554" s="30"/>
      <x:c r="AB554" s="30"/>
    </x:row>
    <x:row r="555">
      <x:c r="B555" s="28"/>
      <x:c r="I555" t="str">
        <x:f>IF(OR(G555="",H555=""),"",G555+H555)</x:f>
      </x:c>
      <x:c r="J555" t="str">
        <x:f>IF(I555="","",IF(I555&gt;2.5,"OVER","UNDER"))</x:f>
      </x:c>
      <x:c r="K555" s="30"/>
      <x:c r="L555" s="30"/>
      <x:c r="M555" s="30"/>
      <x:c r="N555" s="30"/>
      <x:c r="Y555" s="30"/>
      <x:c r="Z555" s="30"/>
      <x:c r="AA555" s="30"/>
      <x:c r="AB555" s="30"/>
    </x:row>
    <x:row r="556">
      <x:c r="B556" s="28"/>
      <x:c r="I556" t="str">
        <x:f>IF(OR(G556="",H556=""),"",G556+H556)</x:f>
      </x:c>
      <x:c r="J556" t="str">
        <x:f>IF(I556="","",IF(I556&gt;2.5,"OVER","UNDER"))</x:f>
      </x:c>
      <x:c r="K556" s="30"/>
      <x:c r="L556" s="30"/>
      <x:c r="M556" s="30"/>
      <x:c r="N556" s="30"/>
      <x:c r="Y556" s="30"/>
      <x:c r="Z556" s="30"/>
      <x:c r="AA556" s="30"/>
      <x:c r="AB556" s="30"/>
    </x:row>
    <x:row r="557">
      <x:c r="B557" s="28"/>
      <x:c r="I557" t="str">
        <x:f>IF(OR(G557="",H557=""),"",G557+H557)</x:f>
      </x:c>
      <x:c r="J557" t="str">
        <x:f>IF(I557="","",IF(I557&gt;2.5,"OVER","UNDER"))</x:f>
      </x:c>
      <x:c r="K557" s="30"/>
      <x:c r="L557" s="30"/>
      <x:c r="M557" s="30"/>
      <x:c r="N557" s="30"/>
      <x:c r="Y557" s="30"/>
      <x:c r="Z557" s="30"/>
      <x:c r="AA557" s="30"/>
      <x:c r="AB557" s="30"/>
    </x:row>
    <x:row r="558">
      <x:c r="B558" s="28"/>
      <x:c r="I558" t="str">
        <x:f>IF(OR(G558="",H558=""),"",G558+H558)</x:f>
      </x:c>
      <x:c r="J558" t="str">
        <x:f>IF(I558="","",IF(I558&gt;2.5,"OVER","UNDER"))</x:f>
      </x:c>
      <x:c r="K558" s="30"/>
      <x:c r="L558" s="30"/>
      <x:c r="M558" s="30"/>
      <x:c r="N558" s="30"/>
      <x:c r="Y558" s="30"/>
      <x:c r="Z558" s="30"/>
      <x:c r="AA558" s="30"/>
      <x:c r="AB558" s="30"/>
    </x:row>
    <x:row r="559">
      <x:c r="B559" s="28"/>
      <x:c r="I559" t="str">
        <x:f>IF(OR(G559="",H559=""),"",G559+H559)</x:f>
      </x:c>
      <x:c r="J559" t="str">
        <x:f>IF(I559="","",IF(I559&gt;2.5,"OVER","UNDER"))</x:f>
      </x:c>
      <x:c r="K559" s="30"/>
      <x:c r="L559" s="30"/>
      <x:c r="M559" s="30"/>
      <x:c r="N559" s="30"/>
      <x:c r="Y559" s="30"/>
      <x:c r="Z559" s="30"/>
      <x:c r="AA559" s="30"/>
      <x:c r="AB559" s="30"/>
    </x:row>
    <x:row r="560">
      <x:c r="B560" s="28"/>
      <x:c r="I560" t="str">
        <x:f>IF(OR(G560="",H560=""),"",G560+H560)</x:f>
      </x:c>
      <x:c r="J560" t="str">
        <x:f>IF(I560="","",IF(I560&gt;2.5,"OVER","UNDER"))</x:f>
      </x:c>
      <x:c r="K560" s="30"/>
      <x:c r="L560" s="30"/>
      <x:c r="M560" s="30"/>
      <x:c r="N560" s="30"/>
      <x:c r="Y560" s="30"/>
      <x:c r="Z560" s="30"/>
      <x:c r="AA560" s="30"/>
      <x:c r="AB560" s="30"/>
    </x:row>
    <x:row r="561">
      <x:c r="B561" s="28"/>
      <x:c r="I561" t="str">
        <x:f>IF(OR(G561="",H561=""),"",G561+H561)</x:f>
      </x:c>
      <x:c r="J561" t="str">
        <x:f>IF(I561="","",IF(I561&gt;2.5,"OVER","UNDER"))</x:f>
      </x:c>
      <x:c r="K561" s="30"/>
      <x:c r="L561" s="30"/>
      <x:c r="M561" s="30"/>
      <x:c r="N561" s="30"/>
      <x:c r="Y561" s="30"/>
      <x:c r="Z561" s="30"/>
      <x:c r="AA561" s="30"/>
      <x:c r="AB561" s="30"/>
    </x:row>
    <x:row r="562">
      <x:c r="B562" s="28"/>
      <x:c r="I562" t="str">
        <x:f>IF(OR(G562="",H562=""),"",G562+H562)</x:f>
      </x:c>
      <x:c r="J562" t="str">
        <x:f>IF(I562="","",IF(I562&gt;2.5,"OVER","UNDER"))</x:f>
      </x:c>
      <x:c r="K562" s="30"/>
      <x:c r="L562" s="30"/>
      <x:c r="M562" s="30"/>
      <x:c r="N562" s="30"/>
      <x:c r="Y562" s="30"/>
      <x:c r="Z562" s="30"/>
      <x:c r="AA562" s="30"/>
      <x:c r="AB562" s="30"/>
    </x:row>
    <x:row r="563">
      <x:c r="B563" s="28"/>
      <x:c r="I563" t="str">
        <x:f>IF(OR(G563="",H563=""),"",G563+H563)</x:f>
      </x:c>
      <x:c r="J563" t="str">
        <x:f>IF(I563="","",IF(I563&gt;2.5,"OVER","UNDER"))</x:f>
      </x:c>
      <x:c r="K563" s="30"/>
      <x:c r="L563" s="30"/>
      <x:c r="M563" s="30"/>
      <x:c r="N563" s="30"/>
      <x:c r="Y563" s="30"/>
      <x:c r="Z563" s="30"/>
      <x:c r="AA563" s="30"/>
      <x:c r="AB563" s="30"/>
    </x:row>
    <x:row r="564">
      <x:c r="B564" s="28"/>
      <x:c r="I564" t="str">
        <x:f>IF(OR(G564="",H564=""),"",G564+H564)</x:f>
      </x:c>
      <x:c r="J564" t="str">
        <x:f>IF(I564="","",IF(I564&gt;2.5,"OVER","UNDER"))</x:f>
      </x:c>
      <x:c r="K564" s="30"/>
      <x:c r="L564" s="30"/>
      <x:c r="M564" s="30"/>
      <x:c r="N564" s="30"/>
      <x:c r="Y564" s="30"/>
      <x:c r="Z564" s="30"/>
      <x:c r="AA564" s="30"/>
      <x:c r="AB564" s="30"/>
    </x:row>
    <x:row r="565">
      <x:c r="B565" s="28"/>
      <x:c r="I565" t="str">
        <x:f>IF(OR(G565="",H565=""),"",G565+H565)</x:f>
      </x:c>
      <x:c r="J565" t="str">
        <x:f>IF(I565="","",IF(I565&gt;2.5,"OVER","UNDER"))</x:f>
      </x:c>
      <x:c r="K565" s="30"/>
      <x:c r="L565" s="30"/>
      <x:c r="M565" s="30"/>
      <x:c r="N565" s="30"/>
      <x:c r="Y565" s="30"/>
      <x:c r="Z565" s="30"/>
      <x:c r="AA565" s="30"/>
      <x:c r="AB565" s="30"/>
    </x:row>
    <x:row r="566">
      <x:c r="B566" s="28"/>
      <x:c r="I566" t="str">
        <x:f>IF(OR(G566="",H566=""),"",G566+H566)</x:f>
      </x:c>
      <x:c r="J566" t="str">
        <x:f>IF(I566="","",IF(I566&gt;2.5,"OVER","UNDER"))</x:f>
      </x:c>
      <x:c r="K566" s="30"/>
      <x:c r="L566" s="30"/>
      <x:c r="M566" s="30"/>
      <x:c r="N566" s="30"/>
      <x:c r="Y566" s="30"/>
      <x:c r="Z566" s="30"/>
      <x:c r="AA566" s="30"/>
      <x:c r="AB566" s="30"/>
    </x:row>
    <x:row r="567">
      <x:c r="B567" s="28"/>
      <x:c r="I567" t="str">
        <x:f>IF(OR(G567="",H567=""),"",G567+H567)</x:f>
      </x:c>
      <x:c r="J567" t="str">
        <x:f>IF(I567="","",IF(I567&gt;2.5,"OVER","UNDER"))</x:f>
      </x:c>
      <x:c r="K567" s="30"/>
      <x:c r="L567" s="30"/>
      <x:c r="M567" s="30"/>
      <x:c r="N567" s="30"/>
      <x:c r="Y567" s="30"/>
      <x:c r="Z567" s="30"/>
      <x:c r="AA567" s="30"/>
      <x:c r="AB567" s="30"/>
    </x:row>
    <x:row r="568">
      <x:c r="B568" s="28"/>
      <x:c r="I568" t="str">
        <x:f>IF(OR(G568="",H568=""),"",G568+H568)</x:f>
      </x:c>
      <x:c r="J568" t="str">
        <x:f>IF(I568="","",IF(I568&gt;2.5,"OVER","UNDER"))</x:f>
      </x:c>
      <x:c r="K568" s="30"/>
      <x:c r="L568" s="30"/>
      <x:c r="M568" s="30"/>
      <x:c r="N568" s="30"/>
      <x:c r="Y568" s="30"/>
      <x:c r="Z568" s="30"/>
      <x:c r="AA568" s="30"/>
      <x:c r="AB568" s="30"/>
    </x:row>
    <x:row r="569">
      <x:c r="B569" s="28"/>
      <x:c r="I569" t="str">
        <x:f>IF(OR(G569="",H569=""),"",G569+H569)</x:f>
      </x:c>
      <x:c r="J569" t="str">
        <x:f>IF(I569="","",IF(I569&gt;2.5,"OVER","UNDER"))</x:f>
      </x:c>
      <x:c r="K569" s="30"/>
      <x:c r="L569" s="30"/>
      <x:c r="M569" s="30"/>
      <x:c r="N569" s="30"/>
      <x:c r="Y569" s="30"/>
      <x:c r="Z569" s="30"/>
      <x:c r="AA569" s="30"/>
      <x:c r="AB569" s="30"/>
    </x:row>
    <x:row r="570">
      <x:c r="B570" s="28"/>
      <x:c r="I570" t="str">
        <x:f>IF(OR(G570="",H570=""),"",G570+H570)</x:f>
      </x:c>
      <x:c r="J570" t="str">
        <x:f>IF(I570="","",IF(I570&gt;2.5,"OVER","UNDER"))</x:f>
      </x:c>
      <x:c r="K570" s="30"/>
      <x:c r="L570" s="30"/>
      <x:c r="M570" s="30"/>
      <x:c r="N570" s="30"/>
      <x:c r="Y570" s="30"/>
      <x:c r="Z570" s="30"/>
      <x:c r="AA570" s="30"/>
      <x:c r="AB570" s="30"/>
    </x:row>
    <x:row r="571">
      <x:c r="B571" s="28"/>
      <x:c r="I571" t="str">
        <x:f>IF(OR(G571="",H571=""),"",G571+H571)</x:f>
      </x:c>
      <x:c r="J571" t="str">
        <x:f>IF(I571="","",IF(I571&gt;2.5,"OVER","UNDER"))</x:f>
      </x:c>
      <x:c r="K571" s="30"/>
      <x:c r="L571" s="30"/>
      <x:c r="M571" s="30"/>
      <x:c r="N571" s="30"/>
      <x:c r="Y571" s="30"/>
      <x:c r="Z571" s="30"/>
      <x:c r="AA571" s="30"/>
      <x:c r="AB571" s="30"/>
    </x:row>
    <x:row r="572">
      <x:c r="B572" s="28"/>
      <x:c r="I572" t="str">
        <x:f>IF(OR(G572="",H572=""),"",G572+H572)</x:f>
      </x:c>
      <x:c r="J572" t="str">
        <x:f>IF(I572="","",IF(I572&gt;2.5,"OVER","UNDER"))</x:f>
      </x:c>
      <x:c r="K572" s="30"/>
      <x:c r="L572" s="30"/>
      <x:c r="M572" s="30"/>
      <x:c r="N572" s="30"/>
      <x:c r="Y572" s="30"/>
      <x:c r="Z572" s="30"/>
      <x:c r="AA572" s="30"/>
      <x:c r="AB572" s="30"/>
    </x:row>
    <x:row r="573">
      <x:c r="B573" s="28"/>
      <x:c r="I573" t="str">
        <x:f>IF(OR(G573="",H573=""),"",G573+H573)</x:f>
      </x:c>
      <x:c r="J573" t="str">
        <x:f>IF(I573="","",IF(I573&gt;2.5,"OVER","UNDER"))</x:f>
      </x:c>
      <x:c r="K573" s="30"/>
      <x:c r="L573" s="30"/>
      <x:c r="M573" s="30"/>
      <x:c r="N573" s="30"/>
      <x:c r="Y573" s="30"/>
      <x:c r="Z573" s="30"/>
      <x:c r="AA573" s="30"/>
      <x:c r="AB573" s="30"/>
    </x:row>
    <x:row r="574">
      <x:c r="B574" s="28"/>
      <x:c r="I574" t="str">
        <x:f>IF(OR(G574="",H574=""),"",G574+H574)</x:f>
      </x:c>
      <x:c r="J574" t="str">
        <x:f>IF(I574="","",IF(I574&gt;2.5,"OVER","UNDER"))</x:f>
      </x:c>
      <x:c r="K574" s="30"/>
      <x:c r="L574" s="30"/>
      <x:c r="M574" s="30"/>
      <x:c r="N574" s="30"/>
      <x:c r="Y574" s="30"/>
      <x:c r="Z574" s="30"/>
      <x:c r="AA574" s="30"/>
      <x:c r="AB574" s="30"/>
    </x:row>
    <x:row r="575">
      <x:c r="B575" s="28"/>
      <x:c r="I575" t="str">
        <x:f>IF(OR(G575="",H575=""),"",G575+H575)</x:f>
      </x:c>
      <x:c r="J575" t="str">
        <x:f>IF(I575="","",IF(I575&gt;2.5,"OVER","UNDER"))</x:f>
      </x:c>
      <x:c r="K575" s="30"/>
      <x:c r="L575" s="30"/>
      <x:c r="M575" s="30"/>
      <x:c r="N575" s="30"/>
      <x:c r="Y575" s="30"/>
      <x:c r="Z575" s="30"/>
      <x:c r="AA575" s="30"/>
      <x:c r="AB575" s="30"/>
    </x:row>
    <x:row r="576">
      <x:c r="B576" s="28"/>
      <x:c r="I576" t="str">
        <x:f>IF(OR(G576="",H576=""),"",G576+H576)</x:f>
      </x:c>
      <x:c r="J576" t="str">
        <x:f>IF(I576="","",IF(I576&gt;2.5,"OVER","UNDER"))</x:f>
      </x:c>
      <x:c r="K576" s="30"/>
      <x:c r="L576" s="30"/>
      <x:c r="M576" s="30"/>
      <x:c r="N576" s="30"/>
      <x:c r="Y576" s="30"/>
      <x:c r="Z576" s="30"/>
      <x:c r="AA576" s="30"/>
      <x:c r="AB576" s="30"/>
    </x:row>
    <x:row r="577">
      <x:c r="B577" s="28"/>
      <x:c r="I577" t="str">
        <x:f>IF(OR(G577="",H577=""),"",G577+H577)</x:f>
      </x:c>
      <x:c r="J577" t="str">
        <x:f>IF(I577="","",IF(I577&gt;2.5,"OVER","UNDER"))</x:f>
      </x:c>
      <x:c r="K577" s="30"/>
      <x:c r="L577" s="30"/>
      <x:c r="M577" s="30"/>
      <x:c r="N577" s="30"/>
      <x:c r="Y577" s="30"/>
      <x:c r="Z577" s="30"/>
      <x:c r="AA577" s="30"/>
      <x:c r="AB577" s="30"/>
    </x:row>
    <x:row r="578">
      <x:c r="B578" s="28"/>
      <x:c r="I578" t="str">
        <x:f>IF(OR(G578="",H578=""),"",G578+H578)</x:f>
      </x:c>
      <x:c r="J578" t="str">
        <x:f>IF(I578="","",IF(I578&gt;2.5,"OVER","UNDER"))</x:f>
      </x:c>
      <x:c r="K578" s="30"/>
      <x:c r="L578" s="30"/>
      <x:c r="M578" s="30"/>
      <x:c r="N578" s="30"/>
      <x:c r="Y578" s="30"/>
      <x:c r="Z578" s="30"/>
      <x:c r="AA578" s="30"/>
      <x:c r="AB578" s="30"/>
    </x:row>
    <x:row r="579">
      <x:c r="B579" s="28"/>
      <x:c r="I579" t="str">
        <x:f>IF(OR(G579="",H579=""),"",G579+H579)</x:f>
      </x:c>
      <x:c r="J579" t="str">
        <x:f>IF(I579="","",IF(I579&gt;2.5,"OVER","UNDER"))</x:f>
      </x:c>
      <x:c r="K579" s="30"/>
      <x:c r="L579" s="30"/>
      <x:c r="M579" s="30"/>
      <x:c r="N579" s="30"/>
      <x:c r="Y579" s="30"/>
      <x:c r="Z579" s="30"/>
      <x:c r="AA579" s="30"/>
      <x:c r="AB579" s="30"/>
    </x:row>
    <x:row r="580">
      <x:c r="B580" s="28"/>
      <x:c r="I580" t="str">
        <x:f>IF(OR(G580="",H580=""),"",G580+H580)</x:f>
      </x:c>
      <x:c r="J580" t="str">
        <x:f>IF(I580="","",IF(I580&gt;2.5,"OVER","UNDER"))</x:f>
      </x:c>
      <x:c r="K580" s="30"/>
      <x:c r="L580" s="30"/>
      <x:c r="M580" s="30"/>
      <x:c r="N580" s="30"/>
      <x:c r="Y580" s="30"/>
      <x:c r="Z580" s="30"/>
      <x:c r="AA580" s="30"/>
      <x:c r="AB580" s="30"/>
    </x:row>
    <x:row r="581">
      <x:c r="B581" s="28"/>
      <x:c r="I581" t="str">
        <x:f>IF(OR(G581="",H581=""),"",G581+H581)</x:f>
      </x:c>
      <x:c r="J581" t="str">
        <x:f>IF(I581="","",IF(I581&gt;2.5,"OVER","UNDER"))</x:f>
      </x:c>
      <x:c r="K581" s="30"/>
      <x:c r="L581" s="30"/>
      <x:c r="M581" s="30"/>
      <x:c r="N581" s="30"/>
      <x:c r="Y581" s="30"/>
      <x:c r="Z581" s="30"/>
      <x:c r="AA581" s="30"/>
      <x:c r="AB581" s="30"/>
    </x:row>
    <x:row r="582">
      <x:c r="B582" s="28"/>
      <x:c r="I582" t="str">
        <x:f>IF(OR(G582="",H582=""),"",G582+H582)</x:f>
      </x:c>
      <x:c r="J582" t="str">
        <x:f>IF(I582="","",IF(I582&gt;2.5,"OVER","UNDER"))</x:f>
      </x:c>
      <x:c r="K582" s="30"/>
      <x:c r="L582" s="30"/>
      <x:c r="M582" s="30"/>
      <x:c r="N582" s="30"/>
      <x:c r="Y582" s="30"/>
      <x:c r="Z582" s="30"/>
      <x:c r="AA582" s="30"/>
      <x:c r="AB582" s="30"/>
    </x:row>
    <x:row r="583">
      <x:c r="B583" s="28"/>
      <x:c r="I583" t="str">
        <x:f>IF(OR(G583="",H583=""),"",G583+H583)</x:f>
      </x:c>
      <x:c r="J583" t="str">
        <x:f>IF(I583="","",IF(I583&gt;2.5,"OVER","UNDER"))</x:f>
      </x:c>
      <x:c r="K583" s="30"/>
      <x:c r="L583" s="30"/>
      <x:c r="M583" s="30"/>
      <x:c r="N583" s="30"/>
      <x:c r="Y583" s="30"/>
      <x:c r="Z583" s="30"/>
      <x:c r="AA583" s="30"/>
      <x:c r="AB583" s="30"/>
    </x:row>
    <x:row r="584">
      <x:c r="B584" s="28"/>
      <x:c r="I584" t="str">
        <x:f>IF(OR(G584="",H584=""),"",G584+H584)</x:f>
      </x:c>
      <x:c r="J584" t="str">
        <x:f>IF(I584="","",IF(I584&gt;2.5,"OVER","UNDER"))</x:f>
      </x:c>
      <x:c r="K584" s="30"/>
      <x:c r="L584" s="30"/>
      <x:c r="M584" s="30"/>
      <x:c r="N584" s="30"/>
      <x:c r="Y584" s="30"/>
      <x:c r="Z584" s="30"/>
      <x:c r="AA584" s="30"/>
      <x:c r="AB584" s="30"/>
    </x:row>
    <x:row r="585">
      <x:c r="B585" s="28"/>
      <x:c r="I585" t="str">
        <x:f>IF(OR(G585="",H585=""),"",G585+H585)</x:f>
      </x:c>
      <x:c r="J585" t="str">
        <x:f>IF(I585="","",IF(I585&gt;2.5,"OVER","UNDER"))</x:f>
      </x:c>
      <x:c r="K585" s="30"/>
      <x:c r="L585" s="30"/>
      <x:c r="M585" s="30"/>
      <x:c r="N585" s="30"/>
      <x:c r="Y585" s="30"/>
      <x:c r="Z585" s="30"/>
      <x:c r="AA585" s="30"/>
      <x:c r="AB585" s="30"/>
    </x:row>
    <x:row r="586">
      <x:c r="B586" s="28"/>
      <x:c r="I586" t="str">
        <x:f>IF(OR(G586="",H586=""),"",G586+H586)</x:f>
      </x:c>
      <x:c r="J586" t="str">
        <x:f>IF(I586="","",IF(I586&gt;2.5,"OVER","UNDER"))</x:f>
      </x:c>
      <x:c r="K586" s="30"/>
      <x:c r="L586" s="30"/>
      <x:c r="M586" s="30"/>
      <x:c r="N586" s="30"/>
      <x:c r="Y586" s="30"/>
      <x:c r="Z586" s="30"/>
      <x:c r="AA586" s="30"/>
      <x:c r="AB586" s="30"/>
    </x:row>
    <x:row r="587">
      <x:c r="B587" s="28"/>
      <x:c r="I587" t="str">
        <x:f>IF(OR(G587="",H587=""),"",G587+H587)</x:f>
      </x:c>
      <x:c r="J587" t="str">
        <x:f>IF(I587="","",IF(I587&gt;2.5,"OVER","UNDER"))</x:f>
      </x:c>
      <x:c r="K587" s="30"/>
      <x:c r="L587" s="30"/>
      <x:c r="M587" s="30"/>
      <x:c r="N587" s="30"/>
      <x:c r="Y587" s="30"/>
      <x:c r="Z587" s="30"/>
      <x:c r="AA587" s="30"/>
      <x:c r="AB587" s="30"/>
    </x:row>
    <x:row r="588">
      <x:c r="B588" s="28"/>
      <x:c r="I588" t="str">
        <x:f>IF(OR(G588="",H588=""),"",G588+H588)</x:f>
      </x:c>
      <x:c r="J588" t="str">
        <x:f>IF(I588="","",IF(I588&gt;2.5,"OVER","UNDER"))</x:f>
      </x:c>
      <x:c r="K588" s="30"/>
      <x:c r="L588" s="30"/>
      <x:c r="M588" s="30"/>
      <x:c r="N588" s="30"/>
      <x:c r="Y588" s="30"/>
      <x:c r="Z588" s="30"/>
      <x:c r="AA588" s="30"/>
      <x:c r="AB588" s="30"/>
    </x:row>
    <x:row r="589">
      <x:c r="B589" s="28"/>
      <x:c r="I589" t="str">
        <x:f>IF(OR(G589="",H589=""),"",G589+H589)</x:f>
      </x:c>
      <x:c r="J589" t="str">
        <x:f>IF(I589="","",IF(I589&gt;2.5,"OVER","UNDER"))</x:f>
      </x:c>
      <x:c r="K589" s="30"/>
      <x:c r="L589" s="30"/>
      <x:c r="M589" s="30"/>
      <x:c r="N589" s="30"/>
      <x:c r="Y589" s="30"/>
      <x:c r="Z589" s="30"/>
      <x:c r="AA589" s="30"/>
      <x:c r="AB589" s="30"/>
    </x:row>
    <x:row r="590">
      <x:c r="B590" s="28"/>
      <x:c r="I590" t="str">
        <x:f>IF(OR(G590="",H590=""),"",G590+H590)</x:f>
      </x:c>
      <x:c r="J590" t="str">
        <x:f>IF(I590="","",IF(I590&gt;2.5,"OVER","UNDER"))</x:f>
      </x:c>
      <x:c r="K590" s="30"/>
      <x:c r="L590" s="30"/>
      <x:c r="M590" s="30"/>
      <x:c r="N590" s="30"/>
      <x:c r="Y590" s="30"/>
      <x:c r="Z590" s="30"/>
      <x:c r="AA590" s="30"/>
      <x:c r="AB590" s="30"/>
    </x:row>
    <x:row r="591">
      <x:c r="B591" s="28"/>
      <x:c r="I591" t="str">
        <x:f>IF(OR(G591="",H591=""),"",G591+H591)</x:f>
      </x:c>
      <x:c r="J591" t="str">
        <x:f>IF(I591="","",IF(I591&gt;2.5,"OVER","UNDER"))</x:f>
      </x:c>
      <x:c r="K591" s="30"/>
      <x:c r="L591" s="30"/>
      <x:c r="M591" s="30"/>
      <x:c r="N591" s="30"/>
      <x:c r="Y591" s="30"/>
      <x:c r="Z591" s="30"/>
      <x:c r="AA591" s="30"/>
      <x:c r="AB591" s="30"/>
    </x:row>
    <x:row r="592">
      <x:c r="B592" s="28"/>
      <x:c r="I592" t="str">
        <x:f>IF(OR(G592="",H592=""),"",G592+H592)</x:f>
      </x:c>
      <x:c r="J592" t="str">
        <x:f>IF(I592="","",IF(I592&gt;2.5,"OVER","UNDER"))</x:f>
      </x:c>
      <x:c r="K592" s="30"/>
      <x:c r="L592" s="30"/>
      <x:c r="M592" s="30"/>
      <x:c r="N592" s="30"/>
      <x:c r="Y592" s="30"/>
      <x:c r="Z592" s="30"/>
      <x:c r="AA592" s="30"/>
      <x:c r="AB592" s="30"/>
    </x:row>
    <x:row r="593">
      <x:c r="B593" s="28"/>
      <x:c r="I593" t="str">
        <x:f>IF(OR(G593="",H593=""),"",G593+H593)</x:f>
      </x:c>
      <x:c r="J593" t="str">
        <x:f>IF(I593="","",IF(I593&gt;2.5,"OVER","UNDER"))</x:f>
      </x:c>
      <x:c r="K593" s="30"/>
      <x:c r="L593" s="30"/>
      <x:c r="M593" s="30"/>
      <x:c r="N593" s="30"/>
      <x:c r="Y593" s="30"/>
      <x:c r="Z593" s="30"/>
      <x:c r="AA593" s="30"/>
      <x:c r="AB593" s="30"/>
    </x:row>
    <x:row r="594">
      <x:c r="B594" s="28"/>
      <x:c r="I594" t="str">
        <x:f>IF(OR(G594="",H594=""),"",G594+H594)</x:f>
      </x:c>
      <x:c r="J594" t="str">
        <x:f>IF(I594="","",IF(I594&gt;2.5,"OVER","UNDER"))</x:f>
      </x:c>
      <x:c r="K594" s="30"/>
      <x:c r="L594" s="30"/>
      <x:c r="M594" s="30"/>
      <x:c r="N594" s="30"/>
      <x:c r="Y594" s="30"/>
      <x:c r="Z594" s="30"/>
      <x:c r="AA594" s="30"/>
      <x:c r="AB594" s="30"/>
    </x:row>
    <x:row r="595">
      <x:c r="B595" s="28"/>
      <x:c r="I595" t="str">
        <x:f>IF(OR(G595="",H595=""),"",G595+H595)</x:f>
      </x:c>
      <x:c r="J595" t="str">
        <x:f>IF(I595="","",IF(I595&gt;2.5,"OVER","UNDER"))</x:f>
      </x:c>
      <x:c r="K595" s="30"/>
      <x:c r="L595" s="30"/>
      <x:c r="M595" s="30"/>
      <x:c r="N595" s="30"/>
      <x:c r="Y595" s="30"/>
      <x:c r="Z595" s="30"/>
      <x:c r="AA595" s="30"/>
      <x:c r="AB595" s="30"/>
    </x:row>
    <x:row r="596">
      <x:c r="B596" s="28"/>
      <x:c r="I596" t="str">
        <x:f>IF(OR(G596="",H596=""),"",G596+H596)</x:f>
      </x:c>
      <x:c r="J596" t="str">
        <x:f>IF(I596="","",IF(I596&gt;2.5,"OVER","UNDER"))</x:f>
      </x:c>
      <x:c r="K596" s="30"/>
      <x:c r="L596" s="30"/>
      <x:c r="M596" s="30"/>
      <x:c r="N596" s="30"/>
      <x:c r="Y596" s="30"/>
      <x:c r="Z596" s="30"/>
      <x:c r="AA596" s="30"/>
      <x:c r="AB596" s="30"/>
    </x:row>
    <x:row r="597">
      <x:c r="B597" s="28"/>
      <x:c r="I597" t="str">
        <x:f>IF(OR(G597="",H597=""),"",G597+H597)</x:f>
      </x:c>
      <x:c r="J597" t="str">
        <x:f>IF(I597="","",IF(I597&gt;2.5,"OVER","UNDER"))</x:f>
      </x:c>
      <x:c r="K597" s="30"/>
      <x:c r="L597" s="30"/>
      <x:c r="M597" s="30"/>
      <x:c r="N597" s="30"/>
      <x:c r="Y597" s="30"/>
      <x:c r="Z597" s="30"/>
      <x:c r="AA597" s="30"/>
      <x:c r="AB597" s="30"/>
    </x:row>
    <x:row r="598">
      <x:c r="B598" s="28"/>
      <x:c r="I598" t="str">
        <x:f>IF(OR(G598="",H598=""),"",G598+H598)</x:f>
      </x:c>
      <x:c r="J598" t="str">
        <x:f>IF(I598="","",IF(I598&gt;2.5,"OVER","UNDER"))</x:f>
      </x:c>
      <x:c r="K598" s="30"/>
      <x:c r="L598" s="30"/>
      <x:c r="M598" s="30"/>
      <x:c r="N598" s="30"/>
      <x:c r="Y598" s="30"/>
      <x:c r="Z598" s="30"/>
      <x:c r="AA598" s="30"/>
      <x:c r="AB598" s="30"/>
    </x:row>
    <x:row r="599">
      <x:c r="B599" s="28"/>
      <x:c r="I599" t="str">
        <x:f>IF(OR(G599="",H599=""),"",G599+H599)</x:f>
      </x:c>
      <x:c r="J599" t="str">
        <x:f>IF(I599="","",IF(I599&gt;2.5,"OVER","UNDER"))</x:f>
      </x:c>
      <x:c r="K599" s="30"/>
      <x:c r="L599" s="30"/>
      <x:c r="M599" s="30"/>
      <x:c r="N599" s="30"/>
      <x:c r="Y599" s="30"/>
      <x:c r="Z599" s="30"/>
      <x:c r="AA599" s="30"/>
      <x:c r="AB599" s="30"/>
    </x:row>
    <x:row r="600">
      <x:c r="B600" s="28"/>
      <x:c r="I600" t="str">
        <x:f>IF(OR(G600="",H600=""),"",G600+H600)</x:f>
      </x:c>
      <x:c r="J600" t="str">
        <x:f>IF(I600="","",IF(I600&gt;2.5,"OVER","UNDER"))</x:f>
      </x:c>
      <x:c r="K600" s="30"/>
      <x:c r="L600" s="30"/>
      <x:c r="M600" s="30"/>
      <x:c r="N600" s="30"/>
      <x:c r="Y600" s="30"/>
      <x:c r="Z600" s="30"/>
      <x:c r="AA600" s="30"/>
      <x:c r="AB600" s="30"/>
    </x:row>
    <x:row r="601">
      <x:c r="B601" s="28"/>
      <x:c r="I601" t="str">
        <x:f>IF(OR(G601="",H601=""),"",G601+H601)</x:f>
      </x:c>
      <x:c r="J601" t="str">
        <x:f>IF(I601="","",IF(I601&gt;2.5,"OVER","UNDER"))</x:f>
      </x:c>
      <x:c r="K601" s="30"/>
      <x:c r="L601" s="30"/>
      <x:c r="M601" s="30"/>
      <x:c r="N601" s="30"/>
      <x:c r="Y601" s="30"/>
      <x:c r="Z601" s="30"/>
      <x:c r="AA601" s="30"/>
      <x:c r="AB601" s="30"/>
    </x:row>
    <x:row r="602">
      <x:c r="B602" s="28"/>
      <x:c r="I602" t="str">
        <x:f>IF(OR(G602="",H602=""),"",G602+H602)</x:f>
      </x:c>
      <x:c r="J602" t="str">
        <x:f>IF(I602="","",IF(I602&gt;2.5,"OVER","UNDER"))</x:f>
      </x:c>
      <x:c r="K602" s="30"/>
      <x:c r="L602" s="30"/>
      <x:c r="M602" s="30"/>
      <x:c r="N602" s="30"/>
      <x:c r="Y602" s="30"/>
      <x:c r="Z602" s="30"/>
      <x:c r="AA602" s="30"/>
      <x:c r="AB602" s="30"/>
    </x:row>
    <x:row r="603">
      <x:c r="B603" s="28"/>
      <x:c r="I603" t="str">
        <x:f>IF(OR(G603="",H603=""),"",G603+H603)</x:f>
      </x:c>
      <x:c r="J603" t="str">
        <x:f>IF(I603="","",IF(I603&gt;2.5,"OVER","UNDER"))</x:f>
      </x:c>
      <x:c r="K603" s="30"/>
      <x:c r="L603" s="30"/>
      <x:c r="M603" s="30"/>
      <x:c r="N603" s="30"/>
      <x:c r="Y603" s="30"/>
      <x:c r="Z603" s="30"/>
      <x:c r="AA603" s="30"/>
      <x:c r="AB603" s="30"/>
    </x:row>
    <x:row r="604">
      <x:c r="B604" s="28"/>
      <x:c r="I604" t="str">
        <x:f>IF(OR(G604="",H604=""),"",G604+H604)</x:f>
      </x:c>
      <x:c r="J604" t="str">
        <x:f>IF(I604="","",IF(I604&gt;2.5,"OVER","UNDER"))</x:f>
      </x:c>
      <x:c r="K604" s="30"/>
      <x:c r="L604" s="30"/>
      <x:c r="M604" s="30"/>
      <x:c r="N604" s="30"/>
      <x:c r="Y604" s="30"/>
      <x:c r="Z604" s="30"/>
      <x:c r="AA604" s="30"/>
      <x:c r="AB604" s="30"/>
    </x:row>
    <x:row r="605">
      <x:c r="B605" s="28"/>
      <x:c r="I605" t="str">
        <x:f>IF(OR(G605="",H605=""),"",G605+H605)</x:f>
      </x:c>
      <x:c r="J605" t="str">
        <x:f>IF(I605="","",IF(I605&gt;2.5,"OVER","UNDER"))</x:f>
      </x:c>
      <x:c r="K605" s="30"/>
      <x:c r="L605" s="30"/>
      <x:c r="M605" s="30"/>
      <x:c r="N605" s="30"/>
      <x:c r="Y605" s="30"/>
      <x:c r="Z605" s="30"/>
      <x:c r="AA605" s="30"/>
      <x:c r="AB605" s="30"/>
    </x:row>
    <x:row r="606">
      <x:c r="B606" s="28"/>
      <x:c r="I606" t="str">
        <x:f>IF(OR(G606="",H606=""),"",G606+H606)</x:f>
      </x:c>
      <x:c r="J606" t="str">
        <x:f>IF(I606="","",IF(I606&gt;2.5,"OVER","UNDER"))</x:f>
      </x:c>
      <x:c r="K606" s="30"/>
      <x:c r="L606" s="30"/>
      <x:c r="M606" s="30"/>
      <x:c r="N606" s="30"/>
      <x:c r="Y606" s="30"/>
      <x:c r="Z606" s="30"/>
      <x:c r="AA606" s="30"/>
      <x:c r="AB606" s="30"/>
    </x:row>
    <x:row r="607">
      <x:c r="B607" s="28"/>
      <x:c r="I607" t="str">
        <x:f>IF(OR(G607="",H607=""),"",G607+H607)</x:f>
      </x:c>
      <x:c r="J607" t="str">
        <x:f>IF(I607="","",IF(I607&gt;2.5,"OVER","UNDER"))</x:f>
      </x:c>
      <x:c r="K607" s="30"/>
      <x:c r="L607" s="30"/>
      <x:c r="M607" s="30"/>
      <x:c r="N607" s="30"/>
      <x:c r="Y607" s="30"/>
      <x:c r="Z607" s="30"/>
      <x:c r="AA607" s="30"/>
      <x:c r="AB607" s="30"/>
    </x:row>
    <x:row r="608">
      <x:c r="B608" s="28"/>
      <x:c r="I608" t="str">
        <x:f>IF(OR(G608="",H608=""),"",G608+H608)</x:f>
      </x:c>
      <x:c r="J608" t="str">
        <x:f>IF(I608="","",IF(I608&gt;2.5,"OVER","UNDER"))</x:f>
      </x:c>
      <x:c r="K608" s="30"/>
      <x:c r="L608" s="30"/>
      <x:c r="M608" s="30"/>
      <x:c r="N608" s="30"/>
      <x:c r="Y608" s="30"/>
      <x:c r="Z608" s="30"/>
      <x:c r="AA608" s="30"/>
      <x:c r="AB608" s="30"/>
    </x:row>
    <x:row r="609">
      <x:c r="B609" s="28"/>
      <x:c r="I609" t="str">
        <x:f>IF(OR(G609="",H609=""),"",G609+H609)</x:f>
      </x:c>
      <x:c r="J609" t="str">
        <x:f>IF(I609="","",IF(I609&gt;2.5,"OVER","UNDER"))</x:f>
      </x:c>
      <x:c r="K609" s="30"/>
      <x:c r="L609" s="30"/>
      <x:c r="M609" s="30"/>
      <x:c r="N609" s="30"/>
      <x:c r="Y609" s="30"/>
      <x:c r="Z609" s="30"/>
      <x:c r="AA609" s="30"/>
      <x:c r="AB609" s="30"/>
    </x:row>
    <x:row r="610">
      <x:c r="B610" s="28"/>
      <x:c r="I610" t="str">
        <x:f>IF(OR(G610="",H610=""),"",G610+H610)</x:f>
      </x:c>
      <x:c r="J610" t="str">
        <x:f>IF(I610="","",IF(I610&gt;2.5,"OVER","UNDER"))</x:f>
      </x:c>
      <x:c r="K610" s="30"/>
      <x:c r="L610" s="30"/>
      <x:c r="M610" s="30"/>
      <x:c r="N610" s="30"/>
      <x:c r="Y610" s="30"/>
      <x:c r="Z610" s="30"/>
      <x:c r="AA610" s="30"/>
      <x:c r="AB610" s="30"/>
    </x:row>
    <x:row r="611">
      <x:c r="B611" s="28"/>
      <x:c r="I611" t="str">
        <x:f>IF(OR(G611="",H611=""),"",G611+H611)</x:f>
      </x:c>
      <x:c r="J611" t="str">
        <x:f>IF(I611="","",IF(I611&gt;2.5,"OVER","UNDER"))</x:f>
      </x:c>
      <x:c r="K611" s="30"/>
      <x:c r="L611" s="30"/>
      <x:c r="M611" s="30"/>
      <x:c r="N611" s="30"/>
      <x:c r="Y611" s="30"/>
      <x:c r="Z611" s="30"/>
      <x:c r="AA611" s="30"/>
      <x:c r="AB611" s="30"/>
    </x:row>
    <x:row r="612">
      <x:c r="B612" s="28"/>
      <x:c r="I612" t="str">
        <x:f>IF(OR(G612="",H612=""),"",G612+H612)</x:f>
      </x:c>
      <x:c r="J612" t="str">
        <x:f>IF(I612="","",IF(I612&gt;2.5,"OVER","UNDER"))</x:f>
      </x:c>
      <x:c r="K612" s="30"/>
      <x:c r="L612" s="30"/>
      <x:c r="M612" s="30"/>
      <x:c r="N612" s="30"/>
      <x:c r="Y612" s="30"/>
      <x:c r="Z612" s="30"/>
      <x:c r="AA612" s="30"/>
      <x:c r="AB612" s="30"/>
    </x:row>
    <x:row r="613">
      <x:c r="B613" s="28"/>
      <x:c r="I613" t="str">
        <x:f>IF(OR(G613="",H613=""),"",G613+H613)</x:f>
      </x:c>
      <x:c r="J613" t="str">
        <x:f>IF(I613="","",IF(I613&gt;2.5,"OVER","UNDER"))</x:f>
      </x:c>
      <x:c r="K613" s="30"/>
      <x:c r="L613" s="30"/>
      <x:c r="M613" s="30"/>
      <x:c r="N613" s="30"/>
      <x:c r="Y613" s="30"/>
      <x:c r="Z613" s="30"/>
      <x:c r="AA613" s="30"/>
      <x:c r="AB613" s="30"/>
    </x:row>
    <x:row r="614">
      <x:c r="B614" s="28"/>
      <x:c r="I614" t="str">
        <x:f>IF(OR(G614="",H614=""),"",G614+H614)</x:f>
      </x:c>
      <x:c r="J614" t="str">
        <x:f>IF(I614="","",IF(I614&gt;2.5,"OVER","UNDER"))</x:f>
      </x:c>
      <x:c r="K614" s="30"/>
      <x:c r="L614" s="30"/>
      <x:c r="M614" s="30"/>
      <x:c r="N614" s="30"/>
      <x:c r="Y614" s="30"/>
      <x:c r="Z614" s="30"/>
      <x:c r="AA614" s="30"/>
      <x:c r="AB614" s="30"/>
    </x:row>
    <x:row r="615">
      <x:c r="B615" s="28"/>
      <x:c r="I615" t="str">
        <x:f>IF(OR(G615="",H615=""),"",G615+H615)</x:f>
      </x:c>
      <x:c r="J615" t="str">
        <x:f>IF(I615="","",IF(I615&gt;2.5,"OVER","UNDER"))</x:f>
      </x:c>
      <x:c r="K615" s="30"/>
      <x:c r="L615" s="30"/>
      <x:c r="M615" s="30"/>
      <x:c r="N615" s="30"/>
      <x:c r="Y615" s="30"/>
      <x:c r="Z615" s="30"/>
      <x:c r="AA615" s="30"/>
      <x:c r="AB615" s="30"/>
    </x:row>
    <x:row r="616">
      <x:c r="B616" s="28"/>
      <x:c r="I616" t="str">
        <x:f>IF(OR(G616="",H616=""),"",G616+H616)</x:f>
      </x:c>
      <x:c r="J616" t="str">
        <x:f>IF(I616="","",IF(I616&gt;2.5,"OVER","UNDER"))</x:f>
      </x:c>
      <x:c r="K616" s="30"/>
      <x:c r="L616" s="30"/>
      <x:c r="M616" s="30"/>
      <x:c r="N616" s="30"/>
      <x:c r="Y616" s="30"/>
      <x:c r="Z616" s="30"/>
      <x:c r="AA616" s="30"/>
      <x:c r="AB616" s="30"/>
    </x:row>
    <x:row r="617">
      <x:c r="B617" s="28"/>
      <x:c r="I617" t="str">
        <x:f>IF(OR(G617="",H617=""),"",G617+H617)</x:f>
      </x:c>
      <x:c r="J617" t="str">
        <x:f>IF(I617="","",IF(I617&gt;2.5,"OVER","UNDER"))</x:f>
      </x:c>
      <x:c r="K617" s="30"/>
      <x:c r="L617" s="30"/>
      <x:c r="M617" s="30"/>
      <x:c r="N617" s="30"/>
      <x:c r="Y617" s="30"/>
      <x:c r="Z617" s="30"/>
      <x:c r="AA617" s="30"/>
      <x:c r="AB617" s="30"/>
    </x:row>
    <x:row r="618">
      <x:c r="B618" s="28"/>
      <x:c r="I618" t="str">
        <x:f>IF(OR(G618="",H618=""),"",G618+H618)</x:f>
      </x:c>
      <x:c r="J618" t="str">
        <x:f>IF(I618="","",IF(I618&gt;2.5,"OVER","UNDER"))</x:f>
      </x:c>
      <x:c r="K618" s="30"/>
      <x:c r="L618" s="30"/>
      <x:c r="M618" s="30"/>
      <x:c r="N618" s="30"/>
      <x:c r="Y618" s="30"/>
      <x:c r="Z618" s="30"/>
      <x:c r="AA618" s="30"/>
      <x:c r="AB618" s="30"/>
    </x:row>
    <x:row r="619">
      <x:c r="B619" s="28"/>
      <x:c r="I619" t="str">
        <x:f>IF(OR(G619="",H619=""),"",G619+H619)</x:f>
      </x:c>
      <x:c r="J619" t="str">
        <x:f>IF(I619="","",IF(I619&gt;2.5,"OVER","UNDER"))</x:f>
      </x:c>
      <x:c r="K619" s="30"/>
      <x:c r="L619" s="30"/>
      <x:c r="M619" s="30"/>
      <x:c r="N619" s="30"/>
      <x:c r="Y619" s="30"/>
      <x:c r="Z619" s="30"/>
      <x:c r="AA619" s="30"/>
      <x:c r="AB619" s="30"/>
    </x:row>
    <x:row r="620">
      <x:c r="B620" s="28"/>
      <x:c r="I620" t="str">
        <x:f>IF(OR(G620="",H620=""),"",G620+H620)</x:f>
      </x:c>
      <x:c r="J620" t="str">
        <x:f>IF(I620="","",IF(I620&gt;2.5,"OVER","UNDER"))</x:f>
      </x:c>
      <x:c r="K620" s="30"/>
      <x:c r="L620" s="30"/>
      <x:c r="M620" s="30"/>
      <x:c r="N620" s="30"/>
      <x:c r="Y620" s="30"/>
      <x:c r="Z620" s="30"/>
      <x:c r="AA620" s="30"/>
      <x:c r="AB620" s="30"/>
    </x:row>
    <x:row r="621">
      <x:c r="B621" s="28"/>
      <x:c r="I621" t="str">
        <x:f>IF(OR(G621="",H621=""),"",G621+H621)</x:f>
      </x:c>
      <x:c r="J621" t="str">
        <x:f>IF(I621="","",IF(I621&gt;2.5,"OVER","UNDER"))</x:f>
      </x:c>
      <x:c r="K621" s="30"/>
      <x:c r="L621" s="30"/>
      <x:c r="M621" s="30"/>
      <x:c r="N621" s="30"/>
      <x:c r="Y621" s="30"/>
      <x:c r="Z621" s="30"/>
      <x:c r="AA621" s="30"/>
      <x:c r="AB621" s="30"/>
    </x:row>
    <x:row r="622">
      <x:c r="B622" s="28"/>
      <x:c r="I622" t="str">
        <x:f>IF(OR(G622="",H622=""),"",G622+H622)</x:f>
      </x:c>
      <x:c r="J622" t="str">
        <x:f>IF(I622="","",IF(I622&gt;2.5,"OVER","UNDER"))</x:f>
      </x:c>
      <x:c r="K622" s="30"/>
      <x:c r="L622" s="30"/>
      <x:c r="M622" s="30"/>
      <x:c r="N622" s="30"/>
      <x:c r="Y622" s="30"/>
      <x:c r="Z622" s="30"/>
      <x:c r="AA622" s="30"/>
      <x:c r="AB622" s="30"/>
    </x:row>
    <x:row r="623">
      <x:c r="B623" s="28"/>
      <x:c r="I623" t="str">
        <x:f>IF(OR(G623="",H623=""),"",G623+H623)</x:f>
      </x:c>
      <x:c r="J623" t="str">
        <x:f>IF(I623="","",IF(I623&gt;2.5,"OVER","UNDER"))</x:f>
      </x:c>
      <x:c r="K623" s="30"/>
      <x:c r="L623" s="30"/>
      <x:c r="M623" s="30"/>
      <x:c r="N623" s="30"/>
      <x:c r="Y623" s="30"/>
      <x:c r="Z623" s="30"/>
      <x:c r="AA623" s="30"/>
      <x:c r="AB623" s="30"/>
    </x:row>
    <x:row r="624">
      <x:c r="B624" s="28"/>
      <x:c r="I624" t="str">
        <x:f>IF(OR(G624="",H624=""),"",G624+H624)</x:f>
      </x:c>
      <x:c r="J624" t="str">
        <x:f>IF(I624="","",IF(I624&gt;2.5,"OVER","UNDER"))</x:f>
      </x:c>
      <x:c r="K624" s="30"/>
      <x:c r="L624" s="30"/>
      <x:c r="M624" s="30"/>
      <x:c r="N624" s="30"/>
      <x:c r="Y624" s="30"/>
      <x:c r="Z624" s="30"/>
      <x:c r="AA624" s="30"/>
      <x:c r="AB624" s="30"/>
    </x:row>
    <x:row r="625">
      <x:c r="B625" s="28"/>
      <x:c r="I625" t="str">
        <x:f>IF(OR(G625="",H625=""),"",G625+H625)</x:f>
      </x:c>
      <x:c r="J625" t="str">
        <x:f>IF(I625="","",IF(I625&gt;2.5,"OVER","UNDER"))</x:f>
      </x:c>
      <x:c r="K625" s="30"/>
      <x:c r="L625" s="30"/>
      <x:c r="M625" s="30"/>
      <x:c r="N625" s="30"/>
      <x:c r="Y625" s="30"/>
      <x:c r="Z625" s="30"/>
      <x:c r="AA625" s="30"/>
      <x:c r="AB625" s="30"/>
    </x:row>
    <x:row r="626">
      <x:c r="B626" s="28"/>
      <x:c r="I626" t="str">
        <x:f>IF(OR(G626="",H626=""),"",G626+H626)</x:f>
      </x:c>
      <x:c r="J626" t="str">
        <x:f>IF(I626="","",IF(I626&gt;2.5,"OVER","UNDER"))</x:f>
      </x:c>
      <x:c r="K626" s="30"/>
      <x:c r="L626" s="30"/>
      <x:c r="M626" s="30"/>
      <x:c r="N626" s="30"/>
      <x:c r="Y626" s="30"/>
      <x:c r="Z626" s="30"/>
      <x:c r="AA626" s="30"/>
      <x:c r="AB626" s="30"/>
    </x:row>
    <x:row r="627">
      <x:c r="B627" s="28"/>
      <x:c r="I627" t="str">
        <x:f>IF(OR(G627="",H627=""),"",G627+H627)</x:f>
      </x:c>
      <x:c r="J627" t="str">
        <x:f>IF(I627="","",IF(I627&gt;2.5,"OVER","UNDER"))</x:f>
      </x:c>
      <x:c r="K627" s="30"/>
      <x:c r="L627" s="30"/>
      <x:c r="M627" s="30"/>
      <x:c r="N627" s="30"/>
      <x:c r="Y627" s="30"/>
      <x:c r="Z627" s="30"/>
      <x:c r="AA627" s="30"/>
      <x:c r="AB627" s="30"/>
    </x:row>
    <x:row r="628">
      <x:c r="B628" s="28"/>
      <x:c r="I628" t="str">
        <x:f>IF(OR(G628="",H628=""),"",G628+H628)</x:f>
      </x:c>
      <x:c r="J628" t="str">
        <x:f>IF(I628="","",IF(I628&gt;2.5,"OVER","UNDER"))</x:f>
      </x:c>
      <x:c r="K628" s="30"/>
      <x:c r="L628" s="30"/>
      <x:c r="M628" s="30"/>
      <x:c r="N628" s="30"/>
      <x:c r="Y628" s="30"/>
      <x:c r="Z628" s="30"/>
      <x:c r="AA628" s="30"/>
      <x:c r="AB628" s="30"/>
    </x:row>
    <x:row r="629">
      <x:c r="B629" s="28"/>
      <x:c r="I629" t="str">
        <x:f>IF(OR(G629="",H629=""),"",G629+H629)</x:f>
      </x:c>
      <x:c r="J629" t="str">
        <x:f>IF(I629="","",IF(I629&gt;2.5,"OVER","UNDER"))</x:f>
      </x:c>
      <x:c r="K629" s="30"/>
      <x:c r="L629" s="30"/>
      <x:c r="M629" s="30"/>
      <x:c r="N629" s="30"/>
      <x:c r="Y629" s="30"/>
      <x:c r="Z629" s="30"/>
      <x:c r="AA629" s="30"/>
      <x:c r="AB629" s="30"/>
    </x:row>
    <x:row r="630">
      <x:c r="B630" s="28"/>
      <x:c r="I630" t="str">
        <x:f>IF(OR(G630="",H630=""),"",G630+H630)</x:f>
      </x:c>
      <x:c r="J630" t="str">
        <x:f>IF(I630="","",IF(I630&gt;2.5,"OVER","UNDER"))</x:f>
      </x:c>
      <x:c r="K630" s="30"/>
      <x:c r="L630" s="30"/>
      <x:c r="M630" s="30"/>
      <x:c r="N630" s="30"/>
      <x:c r="Y630" s="30"/>
      <x:c r="Z630" s="30"/>
      <x:c r="AA630" s="30"/>
      <x:c r="AB630" s="30"/>
    </x:row>
    <x:row r="631">
      <x:c r="B631" s="28"/>
      <x:c r="I631" t="str">
        <x:f>IF(OR(G631="",H631=""),"",G631+H631)</x:f>
      </x:c>
      <x:c r="J631" t="str">
        <x:f>IF(I631="","",IF(I631&gt;2.5,"OVER","UNDER"))</x:f>
      </x:c>
      <x:c r="K631" s="30"/>
      <x:c r="L631" s="30"/>
      <x:c r="M631" s="30"/>
      <x:c r="N631" s="30"/>
      <x:c r="Y631" s="30"/>
      <x:c r="Z631" s="30"/>
      <x:c r="AA631" s="30"/>
      <x:c r="AB631" s="30"/>
    </x:row>
    <x:row r="632">
      <x:c r="B632" s="28"/>
      <x:c r="I632" t="str">
        <x:f>IF(OR(G632="",H632=""),"",G632+H632)</x:f>
      </x:c>
      <x:c r="J632" t="str">
        <x:f>IF(I632="","",IF(I632&gt;2.5,"OVER","UNDER"))</x:f>
      </x:c>
      <x:c r="K632" s="30"/>
      <x:c r="L632" s="30"/>
      <x:c r="M632" s="30"/>
      <x:c r="N632" s="30"/>
      <x:c r="Y632" s="30"/>
      <x:c r="Z632" s="30"/>
      <x:c r="AA632" s="30"/>
      <x:c r="AB632" s="30"/>
    </x:row>
    <x:row r="633">
      <x:c r="B633" s="28"/>
      <x:c r="I633" t="str">
        <x:f>IF(OR(G633="",H633=""),"",G633+H633)</x:f>
      </x:c>
      <x:c r="J633" t="str">
        <x:f>IF(I633="","",IF(I633&gt;2.5,"OVER","UNDER"))</x:f>
      </x:c>
      <x:c r="K633" s="30"/>
      <x:c r="L633" s="30"/>
      <x:c r="M633" s="30"/>
      <x:c r="N633" s="30"/>
      <x:c r="Y633" s="30"/>
      <x:c r="Z633" s="30"/>
      <x:c r="AA633" s="30"/>
      <x:c r="AB633" s="30"/>
    </x:row>
    <x:row r="634">
      <x:c r="B634" s="28"/>
      <x:c r="I634" t="str">
        <x:f>IF(OR(G634="",H634=""),"",G634+H634)</x:f>
      </x:c>
      <x:c r="J634" t="str">
        <x:f>IF(I634="","",IF(I634&gt;2.5,"OVER","UNDER"))</x:f>
      </x:c>
      <x:c r="K634" s="30"/>
      <x:c r="L634" s="30"/>
      <x:c r="M634" s="30"/>
      <x:c r="N634" s="30"/>
      <x:c r="Y634" s="30"/>
      <x:c r="Z634" s="30"/>
      <x:c r="AA634" s="30"/>
      <x:c r="AB634" s="30"/>
    </x:row>
    <x:row r="635">
      <x:c r="B635" s="28"/>
      <x:c r="I635" t="str">
        <x:f>IF(OR(G635="",H635=""),"",G635+H635)</x:f>
      </x:c>
      <x:c r="J635" t="str">
        <x:f>IF(I635="","",IF(I635&gt;2.5,"OVER","UNDER"))</x:f>
      </x:c>
      <x:c r="K635" s="30"/>
      <x:c r="L635" s="30"/>
      <x:c r="M635" s="30"/>
      <x:c r="N635" s="30"/>
      <x:c r="Y635" s="30"/>
      <x:c r="Z635" s="30"/>
      <x:c r="AA635" s="30"/>
      <x:c r="AB635" s="30"/>
    </x:row>
    <x:row r="636">
      <x:c r="B636" s="28"/>
      <x:c r="I636" t="str">
        <x:f>IF(OR(G636="",H636=""),"",G636+H636)</x:f>
      </x:c>
      <x:c r="J636" t="str">
        <x:f>IF(I636="","",IF(I636&gt;2.5,"OVER","UNDER"))</x:f>
      </x:c>
      <x:c r="K636" s="30"/>
      <x:c r="L636" s="30"/>
      <x:c r="M636" s="30"/>
      <x:c r="N636" s="30"/>
      <x:c r="Y636" s="30"/>
      <x:c r="Z636" s="30"/>
      <x:c r="AA636" s="30"/>
      <x:c r="AB636" s="30"/>
    </x:row>
    <x:row r="637">
      <x:c r="B637" s="28"/>
      <x:c r="I637" t="str">
        <x:f>IF(OR(G637="",H637=""),"",G637+H637)</x:f>
      </x:c>
      <x:c r="J637" t="str">
        <x:f>IF(I637="","",IF(I637&gt;2.5,"OVER","UNDER"))</x:f>
      </x:c>
      <x:c r="K637" s="30"/>
      <x:c r="L637" s="30"/>
      <x:c r="M637" s="30"/>
      <x:c r="N637" s="30"/>
      <x:c r="Y637" s="30"/>
      <x:c r="Z637" s="30"/>
      <x:c r="AA637" s="30"/>
      <x:c r="AB637" s="30"/>
    </x:row>
    <x:row r="638">
      <x:c r="B638" s="28"/>
      <x:c r="I638" t="str">
        <x:f>IF(OR(G638="",H638=""),"",G638+H638)</x:f>
      </x:c>
      <x:c r="J638" t="str">
        <x:f>IF(I638="","",IF(I638&gt;2.5,"OVER","UNDER"))</x:f>
      </x:c>
      <x:c r="K638" s="30"/>
      <x:c r="L638" s="30"/>
      <x:c r="M638" s="30"/>
      <x:c r="N638" s="30"/>
      <x:c r="Y638" s="30"/>
      <x:c r="Z638" s="30"/>
      <x:c r="AA638" s="30"/>
      <x:c r="AB638" s="30"/>
    </x:row>
    <x:row r="639">
      <x:c r="B639" s="28"/>
      <x:c r="I639" t="str">
        <x:f>IF(OR(G639="",H639=""),"",G639+H639)</x:f>
      </x:c>
      <x:c r="J639" t="str">
        <x:f>IF(I639="","",IF(I639&gt;2.5,"OVER","UNDER"))</x:f>
      </x:c>
      <x:c r="K639" s="30"/>
      <x:c r="L639" s="30"/>
      <x:c r="M639" s="30"/>
      <x:c r="N639" s="30"/>
      <x:c r="Y639" s="30"/>
      <x:c r="Z639" s="30"/>
      <x:c r="AA639" s="30"/>
      <x:c r="AB639" s="30"/>
    </x:row>
    <x:row r="640">
      <x:c r="B640" s="28"/>
      <x:c r="I640" t="str">
        <x:f>IF(OR(G640="",H640=""),"",G640+H640)</x:f>
      </x:c>
      <x:c r="J640" t="str">
        <x:f>IF(I640="","",IF(I640&gt;2.5,"OVER","UNDER"))</x:f>
      </x:c>
      <x:c r="K640" s="30"/>
      <x:c r="L640" s="30"/>
      <x:c r="M640" s="30"/>
      <x:c r="N640" s="30"/>
      <x:c r="Y640" s="30"/>
      <x:c r="Z640" s="30"/>
      <x:c r="AA640" s="30"/>
      <x:c r="AB640" s="30"/>
    </x:row>
    <x:row r="641">
      <x:c r="B641" s="28"/>
      <x:c r="I641" t="str">
        <x:f>IF(OR(G641="",H641=""),"",G641+H641)</x:f>
      </x:c>
      <x:c r="J641" t="str">
        <x:f>IF(I641="","",IF(I641&gt;2.5,"OVER","UNDER"))</x:f>
      </x:c>
      <x:c r="K641" s="30"/>
      <x:c r="L641" s="30"/>
      <x:c r="M641" s="30"/>
      <x:c r="N641" s="30"/>
      <x:c r="Y641" s="30"/>
      <x:c r="Z641" s="30"/>
      <x:c r="AA641" s="30"/>
      <x:c r="AB641" s="30"/>
    </x:row>
    <x:row r="642">
      <x:c r="B642" s="28"/>
      <x:c r="I642" t="str">
        <x:f>IF(OR(G642="",H642=""),"",G642+H642)</x:f>
      </x:c>
      <x:c r="J642" t="str">
        <x:f>IF(I642="","",IF(I642&gt;2.5,"OVER","UNDER"))</x:f>
      </x:c>
      <x:c r="K642" s="30"/>
      <x:c r="L642" s="30"/>
      <x:c r="M642" s="30"/>
      <x:c r="N642" s="30"/>
      <x:c r="Y642" s="30"/>
      <x:c r="Z642" s="30"/>
      <x:c r="AA642" s="30"/>
      <x:c r="AB642" s="30"/>
    </x:row>
    <x:row r="643">
      <x:c r="B643" s="28"/>
      <x:c r="I643" t="str">
        <x:f>IF(OR(G643="",H643=""),"",G643+H643)</x:f>
      </x:c>
      <x:c r="J643" t="str">
        <x:f>IF(I643="","",IF(I643&gt;2.5,"OVER","UNDER"))</x:f>
      </x:c>
      <x:c r="K643" s="30"/>
      <x:c r="L643" s="30"/>
      <x:c r="M643" s="30"/>
      <x:c r="N643" s="30"/>
      <x:c r="Y643" s="30"/>
      <x:c r="Z643" s="30"/>
      <x:c r="AA643" s="30"/>
      <x:c r="AB643" s="30"/>
    </x:row>
    <x:row r="644">
      <x:c r="B644" s="28"/>
      <x:c r="I644" t="str">
        <x:f>IF(OR(G644="",H644=""),"",G644+H644)</x:f>
      </x:c>
      <x:c r="J644" t="str">
        <x:f>IF(I644="","",IF(I644&gt;2.5,"OVER","UNDER"))</x:f>
      </x:c>
      <x:c r="K644" s="30"/>
      <x:c r="L644" s="30"/>
      <x:c r="M644" s="30"/>
      <x:c r="N644" s="30"/>
      <x:c r="Y644" s="30"/>
      <x:c r="Z644" s="30"/>
      <x:c r="AA644" s="30"/>
      <x:c r="AB644" s="30"/>
    </x:row>
    <x:row r="645">
      <x:c r="B645" s="28"/>
      <x:c r="I645" t="str">
        <x:f>IF(OR(G645="",H645=""),"",G645+H645)</x:f>
      </x:c>
      <x:c r="J645" t="str">
        <x:f>IF(I645="","",IF(I645&gt;2.5,"OVER","UNDER"))</x:f>
      </x:c>
      <x:c r="K645" s="30"/>
      <x:c r="L645" s="30"/>
      <x:c r="M645" s="30"/>
      <x:c r="N645" s="30"/>
      <x:c r="Y645" s="30"/>
      <x:c r="Z645" s="30"/>
      <x:c r="AA645" s="30"/>
      <x:c r="AB645" s="30"/>
    </x:row>
    <x:row r="646">
      <x:c r="B646" s="28"/>
      <x:c r="I646" t="str">
        <x:f>IF(OR(G646="",H646=""),"",G646+H646)</x:f>
      </x:c>
      <x:c r="J646" t="str">
        <x:f>IF(I646="","",IF(I646&gt;2.5,"OVER","UNDER"))</x:f>
      </x:c>
      <x:c r="K646" s="30"/>
      <x:c r="L646" s="30"/>
      <x:c r="M646" s="30"/>
      <x:c r="N646" s="30"/>
      <x:c r="Y646" s="30"/>
      <x:c r="Z646" s="30"/>
      <x:c r="AA646" s="30"/>
      <x:c r="AB646" s="30"/>
    </x:row>
    <x:row r="647">
      <x:c r="B647" s="28"/>
      <x:c r="I647" t="str">
        <x:f>IF(OR(G647="",H647=""),"",G647+H647)</x:f>
      </x:c>
      <x:c r="J647" t="str">
        <x:f>IF(I647="","",IF(I647&gt;2.5,"OVER","UNDER"))</x:f>
      </x:c>
      <x:c r="K647" s="30"/>
      <x:c r="L647" s="30"/>
      <x:c r="M647" s="30"/>
      <x:c r="N647" s="30"/>
      <x:c r="Y647" s="30"/>
      <x:c r="Z647" s="30"/>
      <x:c r="AA647" s="30"/>
      <x:c r="AB647" s="30"/>
    </x:row>
    <x:row r="648">
      <x:c r="B648" s="28"/>
      <x:c r="I648" t="str">
        <x:f>IF(OR(G648="",H648=""),"",G648+H648)</x:f>
      </x:c>
      <x:c r="J648" t="str">
        <x:f>IF(I648="","",IF(I648&gt;2.5,"OVER","UNDER"))</x:f>
      </x:c>
      <x:c r="K648" s="30"/>
      <x:c r="L648" s="30"/>
      <x:c r="M648" s="30"/>
      <x:c r="N648" s="30"/>
      <x:c r="Y648" s="30"/>
      <x:c r="Z648" s="30"/>
      <x:c r="AA648" s="30"/>
      <x:c r="AB648" s="30"/>
    </x:row>
    <x:row r="649">
      <x:c r="B649" s="28"/>
      <x:c r="I649" t="str">
        <x:f>IF(OR(G649="",H649=""),"",G649+H649)</x:f>
      </x:c>
      <x:c r="J649" t="str">
        <x:f>IF(I649="","",IF(I649&gt;2.5,"OVER","UNDER"))</x:f>
      </x:c>
      <x:c r="K649" s="30"/>
      <x:c r="L649" s="30"/>
      <x:c r="M649" s="30"/>
      <x:c r="N649" s="30"/>
      <x:c r="Y649" s="30"/>
      <x:c r="Z649" s="30"/>
      <x:c r="AA649" s="30"/>
      <x:c r="AB649" s="30"/>
    </x:row>
    <x:row r="650">
      <x:c r="B650" s="28"/>
      <x:c r="I650" t="str">
        <x:f>IF(OR(G650="",H650=""),"",G650+H650)</x:f>
      </x:c>
      <x:c r="J650" t="str">
        <x:f>IF(I650="","",IF(I650&gt;2.5,"OVER","UNDER"))</x:f>
      </x:c>
      <x:c r="K650" s="30"/>
      <x:c r="L650" s="30"/>
      <x:c r="M650" s="30"/>
      <x:c r="N650" s="30"/>
      <x:c r="Y650" s="30"/>
      <x:c r="Z650" s="30"/>
      <x:c r="AA650" s="30"/>
      <x:c r="AB650" s="30"/>
    </x:row>
    <x:row r="651">
      <x:c r="B651" s="28"/>
      <x:c r="I651" t="str">
        <x:f>IF(OR(G651="",H651=""),"",G651+H651)</x:f>
      </x:c>
      <x:c r="J651" t="str">
        <x:f>IF(I651="","",IF(I651&gt;2.5,"OVER","UNDER"))</x:f>
      </x:c>
      <x:c r="K651" s="30"/>
      <x:c r="L651" s="30"/>
      <x:c r="M651" s="30"/>
      <x:c r="N651" s="30"/>
      <x:c r="Y651" s="30"/>
      <x:c r="Z651" s="30"/>
      <x:c r="AA651" s="30"/>
      <x:c r="AB651" s="30"/>
    </x:row>
    <x:row r="652">
      <x:c r="B652" s="28"/>
      <x:c r="I652" t="str">
        <x:f>IF(OR(G652="",H652=""),"",G652+H652)</x:f>
      </x:c>
      <x:c r="J652" t="str">
        <x:f>IF(I652="","",IF(I652&gt;2.5,"OVER","UNDER"))</x:f>
      </x:c>
      <x:c r="K652" s="30"/>
      <x:c r="L652" s="30"/>
      <x:c r="M652" s="30"/>
      <x:c r="N652" s="30"/>
      <x:c r="Y652" s="30"/>
      <x:c r="Z652" s="30"/>
      <x:c r="AA652" s="30"/>
      <x:c r="AB652" s="30"/>
    </x:row>
    <x:row r="653">
      <x:c r="B653" s="28"/>
      <x:c r="I653" t="str">
        <x:f>IF(OR(G653="",H653=""),"",G653+H653)</x:f>
      </x:c>
      <x:c r="J653" t="str">
        <x:f>IF(I653="","",IF(I653&gt;2.5,"OVER","UNDER"))</x:f>
      </x:c>
      <x:c r="K653" s="30"/>
      <x:c r="L653" s="30"/>
      <x:c r="M653" s="30"/>
      <x:c r="N653" s="30"/>
      <x:c r="Y653" s="30"/>
      <x:c r="Z653" s="30"/>
      <x:c r="AA653" s="30"/>
      <x:c r="AB653" s="30"/>
    </x:row>
    <x:row r="654">
      <x:c r="B654" s="28"/>
      <x:c r="I654" t="str">
        <x:f>IF(OR(G654="",H654=""),"",G654+H654)</x:f>
      </x:c>
      <x:c r="J654" t="str">
        <x:f>IF(I654="","",IF(I654&gt;2.5,"OVER","UNDER"))</x:f>
      </x:c>
      <x:c r="K654" s="30"/>
      <x:c r="L654" s="30"/>
      <x:c r="M654" s="30"/>
      <x:c r="N654" s="30"/>
      <x:c r="Y654" s="30"/>
      <x:c r="Z654" s="30"/>
      <x:c r="AA654" s="30"/>
      <x:c r="AB654" s="30"/>
    </x:row>
    <x:row r="655">
      <x:c r="B655" s="28"/>
      <x:c r="I655" t="str">
        <x:f>IF(OR(G655="",H655=""),"",G655+H655)</x:f>
      </x:c>
      <x:c r="J655" t="str">
        <x:f>IF(I655="","",IF(I655&gt;2.5,"OVER","UNDER"))</x:f>
      </x:c>
      <x:c r="K655" s="30"/>
      <x:c r="L655" s="30"/>
      <x:c r="M655" s="30"/>
      <x:c r="N655" s="30"/>
      <x:c r="Y655" s="30"/>
      <x:c r="Z655" s="30"/>
      <x:c r="AA655" s="30"/>
      <x:c r="AB655" s="30"/>
    </x:row>
    <x:row r="656">
      <x:c r="B656" s="28"/>
      <x:c r="I656" t="str">
        <x:f>IF(OR(G656="",H656=""),"",G656+H656)</x:f>
      </x:c>
      <x:c r="J656" t="str">
        <x:f>IF(I656="","",IF(I656&gt;2.5,"OVER","UNDER"))</x:f>
      </x:c>
      <x:c r="K656" s="30"/>
      <x:c r="L656" s="30"/>
      <x:c r="M656" s="30"/>
      <x:c r="N656" s="30"/>
      <x:c r="Y656" s="30"/>
      <x:c r="Z656" s="30"/>
      <x:c r="AA656" s="30"/>
      <x:c r="AB656" s="30"/>
    </x:row>
    <x:row r="657">
      <x:c r="B657" s="28"/>
      <x:c r="I657" t="str">
        <x:f>IF(OR(G657="",H657=""),"",G657+H657)</x:f>
      </x:c>
      <x:c r="J657" t="str">
        <x:f>IF(I657="","",IF(I657&gt;2.5,"OVER","UNDER"))</x:f>
      </x:c>
      <x:c r="K657" s="30"/>
      <x:c r="L657" s="30"/>
      <x:c r="M657" s="30"/>
      <x:c r="N657" s="30"/>
      <x:c r="Y657" s="30"/>
      <x:c r="Z657" s="30"/>
      <x:c r="AA657" s="30"/>
      <x:c r="AB657" s="30"/>
    </x:row>
    <x:row r="658">
      <x:c r="B658" s="28"/>
      <x:c r="I658" t="str">
        <x:f>IF(OR(G658="",H658=""),"",G658+H658)</x:f>
      </x:c>
      <x:c r="J658" t="str">
        <x:f>IF(I658="","",IF(I658&gt;2.5,"OVER","UNDER"))</x:f>
      </x:c>
      <x:c r="K658" s="30"/>
      <x:c r="L658" s="30"/>
      <x:c r="M658" s="30"/>
      <x:c r="N658" s="30"/>
      <x:c r="Y658" s="30"/>
      <x:c r="Z658" s="30"/>
      <x:c r="AA658" s="30"/>
      <x:c r="AB658" s="30"/>
    </x:row>
    <x:row r="659">
      <x:c r="B659" s="28"/>
      <x:c r="I659" t="str">
        <x:f>IF(OR(G659="",H659=""),"",G659+H659)</x:f>
      </x:c>
      <x:c r="J659" t="str">
        <x:f>IF(I659="","",IF(I659&gt;2.5,"OVER","UNDER"))</x:f>
      </x:c>
      <x:c r="K659" s="30"/>
      <x:c r="L659" s="30"/>
      <x:c r="M659" s="30"/>
      <x:c r="N659" s="30"/>
      <x:c r="Y659" s="30"/>
      <x:c r="Z659" s="30"/>
      <x:c r="AA659" s="30"/>
      <x:c r="AB659" s="30"/>
    </x:row>
    <x:row r="660">
      <x:c r="B660" s="28"/>
      <x:c r="I660" t="str">
        <x:f>IF(OR(G660="",H660=""),"",G660+H660)</x:f>
      </x:c>
      <x:c r="J660" t="str">
        <x:f>IF(I660="","",IF(I660&gt;2.5,"OVER","UNDER"))</x:f>
      </x:c>
      <x:c r="K660" s="30"/>
      <x:c r="L660" s="30"/>
      <x:c r="M660" s="30"/>
      <x:c r="N660" s="30"/>
      <x:c r="Y660" s="30"/>
      <x:c r="Z660" s="30"/>
      <x:c r="AA660" s="30"/>
      <x:c r="AB660" s="30"/>
    </x:row>
    <x:row r="661">
      <x:c r="B661" s="28"/>
      <x:c r="I661" t="str">
        <x:f>IF(OR(G661="",H661=""),"",G661+H661)</x:f>
      </x:c>
      <x:c r="J661" t="str">
        <x:f>IF(I661="","",IF(I661&gt;2.5,"OVER","UNDER"))</x:f>
      </x:c>
      <x:c r="K661" s="30"/>
      <x:c r="L661" s="30"/>
      <x:c r="M661" s="30"/>
      <x:c r="N661" s="30"/>
      <x:c r="Y661" s="30"/>
      <x:c r="Z661" s="30"/>
      <x:c r="AA661" s="30"/>
      <x:c r="AB661" s="30"/>
    </x:row>
    <x:row r="662">
      <x:c r="B662" s="28"/>
      <x:c r="I662" t="str">
        <x:f>IF(OR(G662="",H662=""),"",G662+H662)</x:f>
      </x:c>
      <x:c r="J662" t="str">
        <x:f>IF(I662="","",IF(I662&gt;2.5,"OVER","UNDER"))</x:f>
      </x:c>
      <x:c r="K662" s="30"/>
      <x:c r="L662" s="30"/>
      <x:c r="M662" s="30"/>
      <x:c r="N662" s="30"/>
      <x:c r="Y662" s="30"/>
      <x:c r="Z662" s="30"/>
      <x:c r="AA662" s="30"/>
      <x:c r="AB662" s="30"/>
    </x:row>
    <x:row r="663">
      <x:c r="B663" s="28"/>
      <x:c r="I663" t="str">
        <x:f>IF(OR(G663="",H663=""),"",G663+H663)</x:f>
      </x:c>
      <x:c r="J663" t="str">
        <x:f>IF(I663="","",IF(I663&gt;2.5,"OVER","UNDER"))</x:f>
      </x:c>
      <x:c r="K663" s="30"/>
      <x:c r="L663" s="30"/>
      <x:c r="M663" s="30"/>
      <x:c r="N663" s="30"/>
      <x:c r="Y663" s="30"/>
      <x:c r="Z663" s="30"/>
      <x:c r="AA663" s="30"/>
      <x:c r="AB663" s="30"/>
    </x:row>
    <x:row r="664">
      <x:c r="B664" s="28"/>
      <x:c r="I664" t="str">
        <x:f>IF(OR(G664="",H664=""),"",G664+H664)</x:f>
      </x:c>
      <x:c r="J664" t="str">
        <x:f>IF(I664="","",IF(I664&gt;2.5,"OVER","UNDER"))</x:f>
      </x:c>
      <x:c r="K664" s="30"/>
      <x:c r="L664" s="30"/>
      <x:c r="M664" s="30"/>
      <x:c r="N664" s="30"/>
      <x:c r="Y664" s="30"/>
      <x:c r="Z664" s="30"/>
      <x:c r="AA664" s="30"/>
      <x:c r="AB664" s="30"/>
    </x:row>
    <x:row r="665">
      <x:c r="B665" s="28"/>
      <x:c r="I665" t="str">
        <x:f>IF(OR(G665="",H665=""),"",G665+H665)</x:f>
      </x:c>
      <x:c r="J665" t="str">
        <x:f>IF(I665="","",IF(I665&gt;2.5,"OVER","UNDER"))</x:f>
      </x:c>
      <x:c r="K665" s="30"/>
      <x:c r="L665" s="30"/>
      <x:c r="M665" s="30"/>
      <x:c r="N665" s="30"/>
      <x:c r="Y665" s="30"/>
      <x:c r="Z665" s="30"/>
      <x:c r="AA665" s="30"/>
      <x:c r="AB665" s="30"/>
    </x:row>
    <x:row r="666">
      <x:c r="B666" s="28"/>
      <x:c r="I666" t="str">
        <x:f>IF(OR(G666="",H666=""),"",G666+H666)</x:f>
      </x:c>
      <x:c r="J666" t="str">
        <x:f>IF(I666="","",IF(I666&gt;2.5,"OVER","UNDER"))</x:f>
      </x:c>
      <x:c r="K666" s="30"/>
      <x:c r="L666" s="30"/>
      <x:c r="M666" s="30"/>
      <x:c r="N666" s="30"/>
      <x:c r="Y666" s="30"/>
      <x:c r="Z666" s="30"/>
      <x:c r="AA666" s="30"/>
      <x:c r="AB666" s="30"/>
    </x:row>
    <x:row r="667">
      <x:c r="B667" s="28"/>
      <x:c r="I667" t="str">
        <x:f>IF(OR(G667="",H667=""),"",G667+H667)</x:f>
      </x:c>
      <x:c r="J667" t="str">
        <x:f>IF(I667="","",IF(I667&gt;2.5,"OVER","UNDER"))</x:f>
      </x:c>
      <x:c r="K667" s="30"/>
      <x:c r="L667" s="30"/>
      <x:c r="M667" s="30"/>
      <x:c r="N667" s="30"/>
      <x:c r="Y667" s="30"/>
      <x:c r="Z667" s="30"/>
      <x:c r="AA667" s="30"/>
      <x:c r="AB667" s="30"/>
    </x:row>
    <x:row r="668">
      <x:c r="B668" s="28"/>
      <x:c r="I668" t="str">
        <x:f>IF(OR(G668="",H668=""),"",G668+H668)</x:f>
      </x:c>
      <x:c r="J668" t="str">
        <x:f>IF(I668="","",IF(I668&gt;2.5,"OVER","UNDER"))</x:f>
      </x:c>
      <x:c r="K668" s="30"/>
      <x:c r="L668" s="30"/>
      <x:c r="M668" s="30"/>
      <x:c r="N668" s="30"/>
      <x:c r="Y668" s="30"/>
      <x:c r="Z668" s="30"/>
      <x:c r="AA668" s="30"/>
      <x:c r="AB668" s="30"/>
    </x:row>
    <x:row r="669">
      <x:c r="B669" s="28"/>
      <x:c r="I669" t="str">
        <x:f>IF(OR(G669="",H669=""),"",G669+H669)</x:f>
      </x:c>
      <x:c r="J669" t="str">
        <x:f>IF(I669="","",IF(I669&gt;2.5,"OVER","UNDER"))</x:f>
      </x:c>
      <x:c r="K669" s="30"/>
      <x:c r="L669" s="30"/>
      <x:c r="M669" s="30"/>
      <x:c r="N669" s="30"/>
      <x:c r="Y669" s="30"/>
      <x:c r="Z669" s="30"/>
      <x:c r="AA669" s="30"/>
      <x:c r="AB669" s="30"/>
    </x:row>
    <x:row r="670">
      <x:c r="B670" s="28"/>
      <x:c r="I670" t="str">
        <x:f>IF(OR(G670="",H670=""),"",G670+H670)</x:f>
      </x:c>
      <x:c r="J670" t="str">
        <x:f>IF(I670="","",IF(I670&gt;2.5,"OVER","UNDER"))</x:f>
      </x:c>
      <x:c r="K670" s="30"/>
      <x:c r="L670" s="30"/>
      <x:c r="M670" s="30"/>
      <x:c r="N670" s="30"/>
      <x:c r="Y670" s="30"/>
      <x:c r="Z670" s="30"/>
      <x:c r="AA670" s="30"/>
      <x:c r="AB670" s="30"/>
    </x:row>
    <x:row r="671">
      <x:c r="B671" s="28"/>
      <x:c r="I671" t="str">
        <x:f>IF(OR(G671="",H671=""),"",G671+H671)</x:f>
      </x:c>
      <x:c r="J671" t="str">
        <x:f>IF(I671="","",IF(I671&gt;2.5,"OVER","UNDER"))</x:f>
      </x:c>
      <x:c r="K671" s="30"/>
      <x:c r="L671" s="30"/>
      <x:c r="M671" s="30"/>
      <x:c r="N671" s="30"/>
      <x:c r="Y671" s="30"/>
      <x:c r="Z671" s="30"/>
      <x:c r="AA671" s="30"/>
      <x:c r="AB671" s="30"/>
    </x:row>
    <x:row r="672">
      <x:c r="B672" s="28"/>
      <x:c r="I672" t="str">
        <x:f>IF(OR(G672="",H672=""),"",G672+H672)</x:f>
      </x:c>
      <x:c r="J672" t="str">
        <x:f>IF(I672="","",IF(I672&gt;2.5,"OVER","UNDER"))</x:f>
      </x:c>
      <x:c r="K672" s="30"/>
      <x:c r="L672" s="30"/>
      <x:c r="M672" s="30"/>
      <x:c r="N672" s="30"/>
      <x:c r="Y672" s="30"/>
      <x:c r="Z672" s="30"/>
      <x:c r="AA672" s="30"/>
      <x:c r="AB672" s="30"/>
    </x:row>
    <x:row r="673">
      <x:c r="B673" s="28"/>
      <x:c r="I673" t="str">
        <x:f>IF(OR(G673="",H673=""),"",G673+H673)</x:f>
      </x:c>
      <x:c r="J673" t="str">
        <x:f>IF(I673="","",IF(I673&gt;2.5,"OVER","UNDER"))</x:f>
      </x:c>
      <x:c r="K673" s="30"/>
      <x:c r="L673" s="30"/>
      <x:c r="M673" s="30"/>
      <x:c r="N673" s="30"/>
      <x:c r="Y673" s="30"/>
      <x:c r="Z673" s="30"/>
      <x:c r="AA673" s="30"/>
      <x:c r="AB673" s="30"/>
    </x:row>
    <x:row r="674">
      <x:c r="B674" s="28"/>
      <x:c r="I674" t="str">
        <x:f>IF(OR(G674="",H674=""),"",G674+H674)</x:f>
      </x:c>
      <x:c r="J674" t="str">
        <x:f>IF(I674="","",IF(I674&gt;2.5,"OVER","UNDER"))</x:f>
      </x:c>
      <x:c r="K674" s="30"/>
      <x:c r="L674" s="30"/>
      <x:c r="M674" s="30"/>
      <x:c r="N674" s="30"/>
      <x:c r="Y674" s="30"/>
      <x:c r="Z674" s="30"/>
      <x:c r="AA674" s="30"/>
      <x:c r="AB674" s="30"/>
    </x:row>
    <x:row r="675">
      <x:c r="B675" s="28"/>
      <x:c r="I675" t="str">
        <x:f>IF(OR(G675="",H675=""),"",G675+H675)</x:f>
      </x:c>
      <x:c r="J675" t="str">
        <x:f>IF(I675="","",IF(I675&gt;2.5,"OVER","UNDER"))</x:f>
      </x:c>
      <x:c r="K675" s="30"/>
      <x:c r="L675" s="30"/>
      <x:c r="M675" s="30"/>
      <x:c r="N675" s="30"/>
      <x:c r="Y675" s="30"/>
      <x:c r="Z675" s="30"/>
      <x:c r="AA675" s="30"/>
      <x:c r="AB675" s="30"/>
    </x:row>
    <x:row r="676">
      <x:c r="B676" s="28"/>
      <x:c r="I676" t="str">
        <x:f>IF(OR(G676="",H676=""),"",G676+H676)</x:f>
      </x:c>
      <x:c r="J676" t="str">
        <x:f>IF(I676="","",IF(I676&gt;2.5,"OVER","UNDER"))</x:f>
      </x:c>
      <x:c r="K676" s="30"/>
      <x:c r="L676" s="30"/>
      <x:c r="M676" s="30"/>
      <x:c r="N676" s="30"/>
      <x:c r="Y676" s="30"/>
      <x:c r="Z676" s="30"/>
      <x:c r="AA676" s="30"/>
      <x:c r="AB676" s="30"/>
    </x:row>
    <x:row r="677">
      <x:c r="B677" s="28"/>
      <x:c r="I677" t="str">
        <x:f>IF(OR(G677="",H677=""),"",G677+H677)</x:f>
      </x:c>
      <x:c r="J677" t="str">
        <x:f>IF(I677="","",IF(I677&gt;2.5,"OVER","UNDER"))</x:f>
      </x:c>
      <x:c r="K677" s="30"/>
      <x:c r="L677" s="30"/>
      <x:c r="M677" s="30"/>
      <x:c r="N677" s="30"/>
      <x:c r="Y677" s="30"/>
      <x:c r="Z677" s="30"/>
      <x:c r="AA677" s="30"/>
      <x:c r="AB677" s="30"/>
    </x:row>
    <x:row r="678">
      <x:c r="B678" s="28"/>
      <x:c r="I678" t="str">
        <x:f>IF(OR(G678="",H678=""),"",G678+H678)</x:f>
      </x:c>
      <x:c r="J678" t="str">
        <x:f>IF(I678="","",IF(I678&gt;2.5,"OVER","UNDER"))</x:f>
      </x:c>
      <x:c r="K678" s="30"/>
      <x:c r="L678" s="30"/>
      <x:c r="M678" s="30"/>
      <x:c r="N678" s="30"/>
      <x:c r="Y678" s="30"/>
      <x:c r="Z678" s="30"/>
      <x:c r="AA678" s="30"/>
      <x:c r="AB678" s="30"/>
    </x:row>
    <x:row r="679">
      <x:c r="B679" s="28"/>
      <x:c r="I679" t="str">
        <x:f>IF(OR(G679="",H679=""),"",G679+H679)</x:f>
      </x:c>
      <x:c r="J679" t="str">
        <x:f>IF(I679="","",IF(I679&gt;2.5,"OVER","UNDER"))</x:f>
      </x:c>
      <x:c r="K679" s="30"/>
      <x:c r="L679" s="30"/>
      <x:c r="M679" s="30"/>
      <x:c r="N679" s="30"/>
      <x:c r="Y679" s="30"/>
      <x:c r="Z679" s="30"/>
      <x:c r="AA679" s="30"/>
      <x:c r="AB679" s="30"/>
    </x:row>
    <x:row r="680">
      <x:c r="B680" s="28"/>
      <x:c r="I680" t="str">
        <x:f>IF(OR(G680="",H680=""),"",G680+H680)</x:f>
      </x:c>
      <x:c r="J680" t="str">
        <x:f>IF(I680="","",IF(I680&gt;2.5,"OVER","UNDER"))</x:f>
      </x:c>
      <x:c r="K680" s="30"/>
      <x:c r="L680" s="30"/>
      <x:c r="M680" s="30"/>
      <x:c r="N680" s="30"/>
      <x:c r="Y680" s="30"/>
      <x:c r="Z680" s="30"/>
      <x:c r="AA680" s="30"/>
      <x:c r="AB680" s="30"/>
    </x:row>
    <x:row r="681">
      <x:c r="B681" s="28"/>
      <x:c r="I681" t="str">
        <x:f>IF(OR(G681="",H681=""),"",G681+H681)</x:f>
      </x:c>
      <x:c r="J681" t="str">
        <x:f>IF(I681="","",IF(I681&gt;2.5,"OVER","UNDER"))</x:f>
      </x:c>
      <x:c r="K681" s="30"/>
      <x:c r="L681" s="30"/>
      <x:c r="M681" s="30"/>
      <x:c r="N681" s="30"/>
      <x:c r="Y681" s="30"/>
      <x:c r="Z681" s="30"/>
      <x:c r="AA681" s="30"/>
      <x:c r="AB681" s="30"/>
    </x:row>
    <x:row r="682">
      <x:c r="B682" s="28"/>
      <x:c r="I682" t="str">
        <x:f>IF(OR(G682="",H682=""),"",G682+H682)</x:f>
      </x:c>
      <x:c r="J682" t="str">
        <x:f>IF(I682="","",IF(I682&gt;2.5,"OVER","UNDER"))</x:f>
      </x:c>
      <x:c r="K682" s="30"/>
      <x:c r="L682" s="30"/>
      <x:c r="M682" s="30"/>
      <x:c r="N682" s="30"/>
      <x:c r="Y682" s="30"/>
      <x:c r="Z682" s="30"/>
      <x:c r="AA682" s="30"/>
      <x:c r="AB682" s="30"/>
    </x:row>
    <x:row r="683">
      <x:c r="B683" s="28"/>
      <x:c r="I683" t="str">
        <x:f>IF(OR(G683="",H683=""),"",G683+H683)</x:f>
      </x:c>
      <x:c r="J683" t="str">
        <x:f>IF(I683="","",IF(I683&gt;2.5,"OVER","UNDER"))</x:f>
      </x:c>
      <x:c r="K683" s="30"/>
      <x:c r="L683" s="30"/>
      <x:c r="M683" s="30"/>
      <x:c r="N683" s="30"/>
      <x:c r="Y683" s="30"/>
      <x:c r="Z683" s="30"/>
      <x:c r="AA683" s="30"/>
      <x:c r="AB683" s="30"/>
    </x:row>
    <x:row r="684">
      <x:c r="B684" s="28"/>
      <x:c r="I684" t="str">
        <x:f>IF(OR(G684="",H684=""),"",G684+H684)</x:f>
      </x:c>
      <x:c r="J684" t="str">
        <x:f>IF(I684="","",IF(I684&gt;2.5,"OVER","UNDER"))</x:f>
      </x:c>
      <x:c r="K684" s="30"/>
      <x:c r="L684" s="30"/>
      <x:c r="M684" s="30"/>
      <x:c r="N684" s="30"/>
      <x:c r="Y684" s="30"/>
      <x:c r="Z684" s="30"/>
      <x:c r="AA684" s="30"/>
      <x:c r="AB684" s="30"/>
    </x:row>
    <x:row r="685">
      <x:c r="B685" s="28"/>
      <x:c r="I685" t="str">
        <x:f>IF(OR(G685="",H685=""),"",G685+H685)</x:f>
      </x:c>
      <x:c r="J685" t="str">
        <x:f>IF(I685="","",IF(I685&gt;2.5,"OVER","UNDER"))</x:f>
      </x:c>
      <x:c r="K685" s="30"/>
      <x:c r="L685" s="30"/>
      <x:c r="M685" s="30"/>
      <x:c r="N685" s="30"/>
      <x:c r="Y685" s="30"/>
      <x:c r="Z685" s="30"/>
      <x:c r="AA685" s="30"/>
      <x:c r="AB685" s="30"/>
    </x:row>
    <x:row r="686">
      <x:c r="B686" s="28"/>
      <x:c r="I686" t="str">
        <x:f>IF(OR(G686="",H686=""),"",G686+H686)</x:f>
      </x:c>
      <x:c r="J686" t="str">
        <x:f>IF(I686="","",IF(I686&gt;2.5,"OVER","UNDER"))</x:f>
      </x:c>
      <x:c r="K686" s="30"/>
      <x:c r="L686" s="30"/>
      <x:c r="M686" s="30"/>
      <x:c r="N686" s="30"/>
      <x:c r="Y686" s="30"/>
      <x:c r="Z686" s="30"/>
      <x:c r="AA686" s="30"/>
      <x:c r="AB686" s="30"/>
    </x:row>
    <x:row r="687">
      <x:c r="B687" s="28"/>
      <x:c r="I687" t="str">
        <x:f>IF(OR(G687="",H687=""),"",G687+H687)</x:f>
      </x:c>
      <x:c r="J687" t="str">
        <x:f>IF(I687="","",IF(I687&gt;2.5,"OVER","UNDER"))</x:f>
      </x:c>
      <x:c r="K687" s="30"/>
      <x:c r="L687" s="30"/>
      <x:c r="M687" s="30"/>
      <x:c r="N687" s="30"/>
      <x:c r="Y687" s="30"/>
      <x:c r="Z687" s="30"/>
      <x:c r="AA687" s="30"/>
      <x:c r="AB687" s="30"/>
    </x:row>
    <x:row r="688">
      <x:c r="B688" s="28"/>
      <x:c r="I688" t="str">
        <x:f>IF(OR(G688="",H688=""),"",G688+H688)</x:f>
      </x:c>
      <x:c r="J688" t="str">
        <x:f>IF(I688="","",IF(I688&gt;2.5,"OVER","UNDER"))</x:f>
      </x:c>
      <x:c r="K688" s="30"/>
      <x:c r="L688" s="30"/>
      <x:c r="M688" s="30"/>
      <x:c r="N688" s="30"/>
      <x:c r="Y688" s="30"/>
      <x:c r="Z688" s="30"/>
      <x:c r="AA688" s="30"/>
      <x:c r="AB688" s="30"/>
    </x:row>
    <x:row r="689">
      <x:c r="B689" s="28"/>
      <x:c r="I689" t="str">
        <x:f>IF(OR(G689="",H689=""),"",G689+H689)</x:f>
      </x:c>
      <x:c r="J689" t="str">
        <x:f>IF(I689="","",IF(I689&gt;2.5,"OVER","UNDER"))</x:f>
      </x:c>
      <x:c r="K689" s="30"/>
      <x:c r="L689" s="30"/>
      <x:c r="M689" s="30"/>
      <x:c r="N689" s="30"/>
      <x:c r="Y689" s="30"/>
      <x:c r="Z689" s="30"/>
      <x:c r="AA689" s="30"/>
      <x:c r="AB689" s="30"/>
    </x:row>
    <x:row r="690">
      <x:c r="B690" s="28"/>
      <x:c r="I690" t="str">
        <x:f>IF(OR(G690="",H690=""),"",G690+H690)</x:f>
      </x:c>
      <x:c r="J690" t="str">
        <x:f>IF(I690="","",IF(I690&gt;2.5,"OVER","UNDER"))</x:f>
      </x:c>
      <x:c r="K690" s="30"/>
      <x:c r="L690" s="30"/>
      <x:c r="M690" s="30"/>
      <x:c r="N690" s="30"/>
      <x:c r="Y690" s="30"/>
      <x:c r="Z690" s="30"/>
      <x:c r="AA690" s="30"/>
      <x:c r="AB690" s="30"/>
    </x:row>
    <x:row r="691">
      <x:c r="B691" s="28"/>
      <x:c r="I691" t="str">
        <x:f>IF(OR(G691="",H691=""),"",G691+H691)</x:f>
      </x:c>
      <x:c r="J691" t="str">
        <x:f>IF(I691="","",IF(I691&gt;2.5,"OVER","UNDER"))</x:f>
      </x:c>
      <x:c r="K691" s="30"/>
      <x:c r="L691" s="30"/>
      <x:c r="M691" s="30"/>
      <x:c r="N691" s="30"/>
      <x:c r="Y691" s="30"/>
      <x:c r="Z691" s="30"/>
      <x:c r="AA691" s="30"/>
      <x:c r="AB691" s="30"/>
    </x:row>
    <x:row r="692">
      <x:c r="B692" s="28"/>
      <x:c r="I692" t="str">
        <x:f>IF(OR(G692="",H692=""),"",G692+H692)</x:f>
      </x:c>
      <x:c r="J692" t="str">
        <x:f>IF(I692="","",IF(I692&gt;2.5,"OVER","UNDER"))</x:f>
      </x:c>
      <x:c r="K692" s="30"/>
      <x:c r="L692" s="30"/>
      <x:c r="M692" s="30"/>
      <x:c r="N692" s="30"/>
      <x:c r="Y692" s="30"/>
      <x:c r="Z692" s="30"/>
      <x:c r="AA692" s="30"/>
      <x:c r="AB692" s="30"/>
    </x:row>
    <x:row r="693">
      <x:c r="B693" s="28"/>
      <x:c r="I693" t="str">
        <x:f>IF(OR(G693="",H693=""),"",G693+H693)</x:f>
      </x:c>
      <x:c r="J693" t="str">
        <x:f>IF(I693="","",IF(I693&gt;2.5,"OVER","UNDER"))</x:f>
      </x:c>
      <x:c r="K693" s="30"/>
      <x:c r="L693" s="30"/>
      <x:c r="M693" s="30"/>
      <x:c r="N693" s="30"/>
      <x:c r="Y693" s="30"/>
      <x:c r="Z693" s="30"/>
      <x:c r="AA693" s="30"/>
      <x:c r="AB693" s="30"/>
    </x:row>
    <x:row r="694">
      <x:c r="B694" s="28"/>
      <x:c r="I694" t="str">
        <x:f>IF(OR(G694="",H694=""),"",G694+H694)</x:f>
      </x:c>
      <x:c r="J694" t="str">
        <x:f>IF(I694="","",IF(I694&gt;2.5,"OVER","UNDER"))</x:f>
      </x:c>
      <x:c r="K694" s="30"/>
      <x:c r="L694" s="30"/>
      <x:c r="M694" s="30"/>
      <x:c r="N694" s="30"/>
      <x:c r="Y694" s="30"/>
      <x:c r="Z694" s="30"/>
      <x:c r="AA694" s="30"/>
      <x:c r="AB694" s="30"/>
    </x:row>
    <x:row r="695">
      <x:c r="B695" s="28"/>
      <x:c r="I695" t="str">
        <x:f>IF(OR(G695="",H695=""),"",G695+H695)</x:f>
      </x:c>
      <x:c r="J695" t="str">
        <x:f>IF(I695="","",IF(I695&gt;2.5,"OVER","UNDER"))</x:f>
      </x:c>
      <x:c r="K695" s="30"/>
      <x:c r="L695" s="30"/>
      <x:c r="M695" s="30"/>
      <x:c r="N695" s="30"/>
      <x:c r="Y695" s="30"/>
      <x:c r="Z695" s="30"/>
      <x:c r="AA695" s="30"/>
      <x:c r="AB695" s="30"/>
    </x:row>
    <x:row r="696">
      <x:c r="B696" s="28"/>
      <x:c r="I696" t="str">
        <x:f>IF(OR(G696="",H696=""),"",G696+H696)</x:f>
      </x:c>
      <x:c r="J696" t="str">
        <x:f>IF(I696="","",IF(I696&gt;2.5,"OVER","UNDER"))</x:f>
      </x:c>
      <x:c r="K696" s="30"/>
      <x:c r="L696" s="30"/>
      <x:c r="M696" s="30"/>
      <x:c r="N696" s="30"/>
      <x:c r="Y696" s="30"/>
      <x:c r="Z696" s="30"/>
      <x:c r="AA696" s="30"/>
      <x:c r="AB696" s="30"/>
    </x:row>
    <x:row r="697">
      <x:c r="B697" s="28"/>
      <x:c r="I697" t="str">
        <x:f>IF(OR(G697="",H697=""),"",G697+H697)</x:f>
      </x:c>
      <x:c r="J697" t="str">
        <x:f>IF(I697="","",IF(I697&gt;2.5,"OVER","UNDER"))</x:f>
      </x:c>
      <x:c r="K697" s="30"/>
      <x:c r="L697" s="30"/>
      <x:c r="M697" s="30"/>
      <x:c r="N697" s="30"/>
      <x:c r="Y697" s="30"/>
      <x:c r="Z697" s="30"/>
      <x:c r="AA697" s="30"/>
      <x:c r="AB697" s="30"/>
    </x:row>
    <x:row r="698">
      <x:c r="B698" s="28"/>
      <x:c r="I698" t="str">
        <x:f>IF(OR(G698="",H698=""),"",G698+H698)</x:f>
      </x:c>
      <x:c r="J698" t="str">
        <x:f>IF(I698="","",IF(I698&gt;2.5,"OVER","UNDER"))</x:f>
      </x:c>
      <x:c r="K698" s="30"/>
      <x:c r="L698" s="30"/>
      <x:c r="M698" s="30"/>
      <x:c r="N698" s="30"/>
      <x:c r="Y698" s="30"/>
      <x:c r="Z698" s="30"/>
      <x:c r="AA698" s="30"/>
      <x:c r="AB698" s="30"/>
    </x:row>
    <x:row r="699">
      <x:c r="B699" s="28"/>
      <x:c r="I699" t="str">
        <x:f>IF(OR(G699="",H699=""),"",G699+H699)</x:f>
      </x:c>
      <x:c r="J699" t="str">
        <x:f>IF(I699="","",IF(I699&gt;2.5,"OVER","UNDER"))</x:f>
      </x:c>
      <x:c r="K699" s="30"/>
      <x:c r="L699" s="30"/>
      <x:c r="M699" s="30"/>
      <x:c r="N699" s="30"/>
      <x:c r="Y699" s="30"/>
      <x:c r="Z699" s="30"/>
      <x:c r="AA699" s="30"/>
      <x:c r="AB699" s="30"/>
    </x:row>
    <x:row r="700">
      <x:c r="B700" s="28"/>
      <x:c r="I700" t="str">
        <x:f>IF(OR(G700="",H700=""),"",G700+H700)</x:f>
      </x:c>
      <x:c r="J700" t="str">
        <x:f>IF(I700="","",IF(I700&gt;2.5,"OVER","UNDER"))</x:f>
      </x:c>
      <x:c r="K700" s="30"/>
      <x:c r="L700" s="30"/>
      <x:c r="M700" s="30"/>
      <x:c r="N700" s="30"/>
      <x:c r="Y700" s="30"/>
      <x:c r="Z700" s="30"/>
      <x:c r="AA700" s="30"/>
      <x:c r="AB700" s="30"/>
    </x:row>
    <x:row r="701">
      <x:c r="B701" s="28"/>
      <x:c r="I701" t="str">
        <x:f>IF(OR(G701="",H701=""),"",G701+H701)</x:f>
      </x:c>
      <x:c r="J701" t="str">
        <x:f>IF(I701="","",IF(I701&gt;2.5,"OVER","UNDER"))</x:f>
      </x:c>
      <x:c r="K701" s="30"/>
      <x:c r="L701" s="30"/>
      <x:c r="M701" s="30"/>
      <x:c r="N701" s="30"/>
      <x:c r="Y701" s="30"/>
      <x:c r="Z701" s="30"/>
      <x:c r="AA701" s="30"/>
      <x:c r="AB701" s="30"/>
    </x:row>
    <x:row r="702">
      <x:c r="B702" s="28"/>
      <x:c r="I702" t="str">
        <x:f>IF(OR(G702="",H702=""),"",G702+H702)</x:f>
      </x:c>
      <x:c r="J702" t="str">
        <x:f>IF(I702="","",IF(I702&gt;2.5,"OVER","UNDER"))</x:f>
      </x:c>
      <x:c r="K702" s="30"/>
      <x:c r="L702" s="30"/>
      <x:c r="M702" s="30"/>
      <x:c r="N702" s="30"/>
      <x:c r="Y702" s="30"/>
      <x:c r="Z702" s="30"/>
      <x:c r="AA702" s="30"/>
      <x:c r="AB702" s="30"/>
    </x:row>
    <x:row r="703">
      <x:c r="B703" s="28"/>
      <x:c r="I703" t="str">
        <x:f>IF(OR(G703="",H703=""),"",G703+H703)</x:f>
      </x:c>
      <x:c r="J703" t="str">
        <x:f>IF(I703="","",IF(I703&gt;2.5,"OVER","UNDER"))</x:f>
      </x:c>
      <x:c r="K703" s="30"/>
      <x:c r="L703" s="30"/>
      <x:c r="M703" s="30"/>
      <x:c r="N703" s="30"/>
      <x:c r="Y703" s="30"/>
      <x:c r="Z703" s="30"/>
      <x:c r="AA703" s="30"/>
      <x:c r="AB703" s="30"/>
    </x:row>
    <x:row r="704">
      <x:c r="B704" s="28"/>
      <x:c r="I704" t="str">
        <x:f>IF(OR(G704="",H704=""),"",G704+H704)</x:f>
      </x:c>
      <x:c r="J704" t="str">
        <x:f>IF(I704="","",IF(I704&gt;2.5,"OVER","UNDER"))</x:f>
      </x:c>
      <x:c r="K704" s="30"/>
      <x:c r="L704" s="30"/>
      <x:c r="M704" s="30"/>
      <x:c r="N704" s="30"/>
      <x:c r="Y704" s="30"/>
      <x:c r="Z704" s="30"/>
      <x:c r="AA704" s="30"/>
      <x:c r="AB704" s="30"/>
    </x:row>
    <x:row r="705">
      <x:c r="B705" s="28"/>
      <x:c r="I705" t="str">
        <x:f>IF(OR(G705="",H705=""),"",G705+H705)</x:f>
      </x:c>
      <x:c r="J705" t="str">
        <x:f>IF(I705="","",IF(I705&gt;2.5,"OVER","UNDER"))</x:f>
      </x:c>
      <x:c r="K705" s="30"/>
      <x:c r="L705" s="30"/>
      <x:c r="M705" s="30"/>
      <x:c r="N705" s="30"/>
      <x:c r="Y705" s="30"/>
      <x:c r="Z705" s="30"/>
      <x:c r="AA705" s="30"/>
      <x:c r="AB705" s="30"/>
    </x:row>
    <x:row r="706">
      <x:c r="B706" s="28"/>
      <x:c r="I706" t="str">
        <x:f>IF(OR(G706="",H706=""),"",G706+H706)</x:f>
      </x:c>
      <x:c r="J706" t="str">
        <x:f>IF(I706="","",IF(I706&gt;2.5,"OVER","UNDER"))</x:f>
      </x:c>
      <x:c r="K706" s="30"/>
      <x:c r="L706" s="30"/>
      <x:c r="M706" s="30"/>
      <x:c r="N706" s="30"/>
      <x:c r="Y706" s="30"/>
      <x:c r="Z706" s="30"/>
      <x:c r="AA706" s="30"/>
      <x:c r="AB706" s="30"/>
    </x:row>
    <x:row r="707">
      <x:c r="B707" s="28"/>
      <x:c r="I707" t="str">
        <x:f>IF(OR(G707="",H707=""),"",G707+H707)</x:f>
      </x:c>
      <x:c r="J707" t="str">
        <x:f>IF(I707="","",IF(I707&gt;2.5,"OVER","UNDER"))</x:f>
      </x:c>
      <x:c r="K707" s="30"/>
      <x:c r="L707" s="30"/>
      <x:c r="M707" s="30"/>
      <x:c r="N707" s="30"/>
      <x:c r="Y707" s="30"/>
      <x:c r="Z707" s="30"/>
      <x:c r="AA707" s="30"/>
      <x:c r="AB707" s="30"/>
    </x:row>
    <x:row r="708">
      <x:c r="B708" s="28"/>
      <x:c r="I708" t="str">
        <x:f>IF(OR(G708="",H708=""),"",G708+H708)</x:f>
      </x:c>
      <x:c r="J708" t="str">
        <x:f>IF(I708="","",IF(I708&gt;2.5,"OVER","UNDER"))</x:f>
      </x:c>
      <x:c r="K708" s="30"/>
      <x:c r="L708" s="30"/>
      <x:c r="M708" s="30"/>
      <x:c r="N708" s="30"/>
      <x:c r="Y708" s="30"/>
      <x:c r="Z708" s="30"/>
      <x:c r="AA708" s="30"/>
      <x:c r="AB708" s="30"/>
    </x:row>
    <x:row r="709">
      <x:c r="B709" s="28"/>
      <x:c r="I709" t="str">
        <x:f>IF(OR(G709="",H709=""),"",G709+H709)</x:f>
      </x:c>
      <x:c r="J709" t="str">
        <x:f>IF(I709="","",IF(I709&gt;2.5,"OVER","UNDER"))</x:f>
      </x:c>
      <x:c r="K709" s="30"/>
      <x:c r="L709" s="30"/>
      <x:c r="M709" s="30"/>
      <x:c r="N709" s="30"/>
      <x:c r="Y709" s="30"/>
      <x:c r="Z709" s="30"/>
      <x:c r="AA709" s="30"/>
      <x:c r="AB709" s="30"/>
    </x:row>
    <x:row r="710">
      <x:c r="B710" s="28"/>
      <x:c r="I710" t="str">
        <x:f>IF(OR(G710="",H710=""),"",G710+H710)</x:f>
      </x:c>
      <x:c r="J710" t="str">
        <x:f>IF(I710="","",IF(I710&gt;2.5,"OVER","UNDER"))</x:f>
      </x:c>
      <x:c r="K710" s="30"/>
      <x:c r="L710" s="30"/>
      <x:c r="M710" s="30"/>
      <x:c r="N710" s="30"/>
      <x:c r="Y710" s="30"/>
      <x:c r="Z710" s="30"/>
      <x:c r="AA710" s="30"/>
      <x:c r="AB710" s="30"/>
    </x:row>
    <x:row r="711">
      <x:c r="B711" s="28"/>
      <x:c r="I711" t="str">
        <x:f>IF(OR(G711="",H711=""),"",G711+H711)</x:f>
      </x:c>
      <x:c r="J711" t="str">
        <x:f>IF(I711="","",IF(I711&gt;2.5,"OVER","UNDER"))</x:f>
      </x:c>
      <x:c r="K711" s="30"/>
      <x:c r="L711" s="30"/>
      <x:c r="M711" s="30"/>
      <x:c r="N711" s="30"/>
      <x:c r="Y711" s="30"/>
      <x:c r="Z711" s="30"/>
      <x:c r="AA711" s="30"/>
      <x:c r="AB711" s="30"/>
    </x:row>
    <x:row r="712">
      <x:c r="B712" s="28"/>
      <x:c r="I712" t="str">
        <x:f>IF(OR(G712="",H712=""),"",G712+H712)</x:f>
      </x:c>
      <x:c r="J712" t="str">
        <x:f>IF(I712="","",IF(I712&gt;2.5,"OVER","UNDER"))</x:f>
      </x:c>
      <x:c r="K712" s="30"/>
      <x:c r="L712" s="30"/>
      <x:c r="M712" s="30"/>
      <x:c r="N712" s="30"/>
      <x:c r="Y712" s="30"/>
      <x:c r="Z712" s="30"/>
      <x:c r="AA712" s="30"/>
      <x:c r="AB712" s="30"/>
    </x:row>
    <x:row r="713">
      <x:c r="B713" s="28"/>
      <x:c r="I713" t="str">
        <x:f>IF(OR(G713="",H713=""),"",G713+H713)</x:f>
      </x:c>
      <x:c r="J713" t="str">
        <x:f>IF(I713="","",IF(I713&gt;2.5,"OVER","UNDER"))</x:f>
      </x:c>
      <x:c r="K713" s="30"/>
      <x:c r="L713" s="30"/>
      <x:c r="M713" s="30"/>
      <x:c r="N713" s="30"/>
      <x:c r="Y713" s="30"/>
      <x:c r="Z713" s="30"/>
      <x:c r="AA713" s="30"/>
      <x:c r="AB713" s="30"/>
    </x:row>
    <x:row r="714">
      <x:c r="B714" s="28"/>
      <x:c r="I714" t="str">
        <x:f>IF(OR(G714="",H714=""),"",G714+H714)</x:f>
      </x:c>
      <x:c r="J714" t="str">
        <x:f>IF(I714="","",IF(I714&gt;2.5,"OVER","UNDER"))</x:f>
      </x:c>
      <x:c r="K714" s="30"/>
      <x:c r="L714" s="30"/>
      <x:c r="M714" s="30"/>
      <x:c r="N714" s="30"/>
      <x:c r="Y714" s="30"/>
      <x:c r="Z714" s="30"/>
      <x:c r="AA714" s="30"/>
      <x:c r="AB714" s="30"/>
    </x:row>
    <x:row r="715">
      <x:c r="B715" s="28"/>
      <x:c r="I715" t="str">
        <x:f>IF(OR(G715="",H715=""),"",G715+H715)</x:f>
      </x:c>
      <x:c r="J715" t="str">
        <x:f>IF(I715="","",IF(I715&gt;2.5,"OVER","UNDER"))</x:f>
      </x:c>
      <x:c r="K715" s="30"/>
      <x:c r="L715" s="30"/>
      <x:c r="M715" s="30"/>
      <x:c r="N715" s="30"/>
      <x:c r="Y715" s="30"/>
      <x:c r="Z715" s="30"/>
      <x:c r="AA715" s="30"/>
      <x:c r="AB715" s="30"/>
    </x:row>
    <x:row r="716">
      <x:c r="B716" s="28"/>
      <x:c r="I716" t="str">
        <x:f>IF(OR(G716="",H716=""),"",G716+H716)</x:f>
      </x:c>
      <x:c r="J716" t="str">
        <x:f>IF(I716="","",IF(I716&gt;2.5,"OVER","UNDER"))</x:f>
      </x:c>
      <x:c r="K716" s="30"/>
      <x:c r="L716" s="30"/>
      <x:c r="M716" s="30"/>
      <x:c r="N716" s="30"/>
      <x:c r="Y716" s="30"/>
      <x:c r="Z716" s="30"/>
      <x:c r="AA716" s="30"/>
      <x:c r="AB716" s="30"/>
    </x:row>
    <x:row r="717">
      <x:c r="B717" s="28"/>
      <x:c r="I717" t="str">
        <x:f>IF(OR(G717="",H717=""),"",G717+H717)</x:f>
      </x:c>
      <x:c r="J717" t="str">
        <x:f>IF(I717="","",IF(I717&gt;2.5,"OVER","UNDER"))</x:f>
      </x:c>
      <x:c r="K717" s="30"/>
      <x:c r="L717" s="30"/>
      <x:c r="M717" s="30"/>
      <x:c r="N717" s="30"/>
      <x:c r="Y717" s="30"/>
      <x:c r="Z717" s="30"/>
      <x:c r="AA717" s="30"/>
      <x:c r="AB717" s="30"/>
    </x:row>
    <x:row r="718">
      <x:c r="B718" s="28"/>
      <x:c r="I718" t="str">
        <x:f>IF(OR(G718="",H718=""),"",G718+H718)</x:f>
      </x:c>
      <x:c r="J718" t="str">
        <x:f>IF(I718="","",IF(I718&gt;2.5,"OVER","UNDER"))</x:f>
      </x:c>
      <x:c r="K718" s="30"/>
      <x:c r="L718" s="30"/>
      <x:c r="M718" s="30"/>
      <x:c r="N718" s="30"/>
      <x:c r="Y718" s="30"/>
      <x:c r="Z718" s="30"/>
      <x:c r="AA718" s="30"/>
      <x:c r="AB718" s="30"/>
    </x:row>
    <x:row r="719">
      <x:c r="B719" s="28"/>
      <x:c r="I719" t="str">
        <x:f>IF(OR(G719="",H719=""),"",G719+H719)</x:f>
      </x:c>
      <x:c r="J719" t="str">
        <x:f>IF(I719="","",IF(I719&gt;2.5,"OVER","UNDER"))</x:f>
      </x:c>
      <x:c r="K719" s="30"/>
      <x:c r="L719" s="30"/>
      <x:c r="M719" s="30"/>
      <x:c r="N719" s="30"/>
      <x:c r="Y719" s="30"/>
      <x:c r="Z719" s="30"/>
      <x:c r="AA719" s="30"/>
      <x:c r="AB719" s="30"/>
    </x:row>
    <x:row r="720">
      <x:c r="B720" s="28"/>
      <x:c r="I720" t="str">
        <x:f>IF(OR(G720="",H720=""),"",G720+H720)</x:f>
      </x:c>
      <x:c r="J720" t="str">
        <x:f>IF(I720="","",IF(I720&gt;2.5,"OVER","UNDER"))</x:f>
      </x:c>
      <x:c r="K720" s="30"/>
      <x:c r="L720" s="30"/>
      <x:c r="M720" s="30"/>
      <x:c r="N720" s="30"/>
      <x:c r="Y720" s="30"/>
      <x:c r="Z720" s="30"/>
      <x:c r="AA720" s="30"/>
      <x:c r="AB720" s="30"/>
    </x:row>
    <x:row r="721">
      <x:c r="B721" s="28"/>
      <x:c r="I721" t="str">
        <x:f>IF(OR(G721="",H721=""),"",G721+H721)</x:f>
      </x:c>
      <x:c r="J721" t="str">
        <x:f>IF(I721="","",IF(I721&gt;2.5,"OVER","UNDER"))</x:f>
      </x:c>
      <x:c r="K721" s="30"/>
      <x:c r="L721" s="30"/>
      <x:c r="M721" s="30"/>
      <x:c r="N721" s="30"/>
      <x:c r="Y721" s="30"/>
      <x:c r="Z721" s="30"/>
      <x:c r="AA721" s="30"/>
      <x:c r="AB721" s="30"/>
    </x:row>
    <x:row r="722">
      <x:c r="B722" s="28"/>
      <x:c r="I722" t="str">
        <x:f>IF(OR(G722="",H722=""),"",G722+H722)</x:f>
      </x:c>
      <x:c r="J722" t="str">
        <x:f>IF(I722="","",IF(I722&gt;2.5,"OVER","UNDER"))</x:f>
      </x:c>
      <x:c r="K722" s="30"/>
      <x:c r="L722" s="30"/>
      <x:c r="M722" s="30"/>
      <x:c r="N722" s="30"/>
      <x:c r="Y722" s="30"/>
      <x:c r="Z722" s="30"/>
      <x:c r="AA722" s="30"/>
      <x:c r="AB722" s="30"/>
    </x:row>
    <x:row r="723">
      <x:c r="B723" s="28"/>
      <x:c r="I723" t="str">
        <x:f>IF(OR(G723="",H723=""),"",G723+H723)</x:f>
      </x:c>
      <x:c r="J723" t="str">
        <x:f>IF(I723="","",IF(I723&gt;2.5,"OVER","UNDER"))</x:f>
      </x:c>
      <x:c r="K723" s="30"/>
      <x:c r="L723" s="30"/>
      <x:c r="M723" s="30"/>
      <x:c r="N723" s="30"/>
      <x:c r="Y723" s="30"/>
      <x:c r="Z723" s="30"/>
      <x:c r="AA723" s="30"/>
      <x:c r="AB723" s="30"/>
    </x:row>
    <x:row r="724">
      <x:c r="B724" s="28"/>
      <x:c r="I724" t="str">
        <x:f>IF(OR(G724="",H724=""),"",G724+H724)</x:f>
      </x:c>
      <x:c r="J724" t="str">
        <x:f>IF(I724="","",IF(I724&gt;2.5,"OVER","UNDER"))</x:f>
      </x:c>
      <x:c r="K724" s="30"/>
      <x:c r="L724" s="30"/>
      <x:c r="M724" s="30"/>
      <x:c r="N724" s="30"/>
      <x:c r="Y724" s="30"/>
      <x:c r="Z724" s="30"/>
      <x:c r="AA724" s="30"/>
      <x:c r="AB724" s="30"/>
    </x:row>
    <x:row r="725">
      <x:c r="B725" s="28"/>
      <x:c r="I725" t="str">
        <x:f>IF(OR(G725="",H725=""),"",G725+H725)</x:f>
      </x:c>
      <x:c r="J725" t="str">
        <x:f>IF(I725="","",IF(I725&gt;2.5,"OVER","UNDER"))</x:f>
      </x:c>
      <x:c r="K725" s="30"/>
      <x:c r="L725" s="30"/>
      <x:c r="M725" s="30"/>
      <x:c r="N725" s="30"/>
      <x:c r="Y725" s="30"/>
      <x:c r="Z725" s="30"/>
      <x:c r="AA725" s="30"/>
      <x:c r="AB725" s="30"/>
    </x:row>
    <x:row r="726">
      <x:c r="B726" s="28"/>
      <x:c r="I726" t="str">
        <x:f>IF(OR(G726="",H726=""),"",G726+H726)</x:f>
      </x:c>
      <x:c r="J726" t="str">
        <x:f>IF(I726="","",IF(I726&gt;2.5,"OVER","UNDER"))</x:f>
      </x:c>
      <x:c r="K726" s="30"/>
      <x:c r="L726" s="30"/>
      <x:c r="M726" s="30"/>
      <x:c r="N726" s="30"/>
      <x:c r="Y726" s="30"/>
      <x:c r="Z726" s="30"/>
      <x:c r="AA726" s="30"/>
      <x:c r="AB726" s="30"/>
    </x:row>
    <x:row r="727">
      <x:c r="B727" s="28"/>
      <x:c r="I727" t="str">
        <x:f>IF(OR(G727="",H727=""),"",G727+H727)</x:f>
      </x:c>
      <x:c r="J727" t="str">
        <x:f>IF(I727="","",IF(I727&gt;2.5,"OVER","UNDER"))</x:f>
      </x:c>
      <x:c r="K727" s="30"/>
      <x:c r="L727" s="30"/>
      <x:c r="M727" s="30"/>
      <x:c r="N727" s="30"/>
      <x:c r="Y727" s="30"/>
      <x:c r="Z727" s="30"/>
      <x:c r="AA727" s="30"/>
      <x:c r="AB727" s="30"/>
    </x:row>
    <x:row r="728">
      <x:c r="B728" s="28"/>
      <x:c r="I728" t="str">
        <x:f>IF(OR(G728="",H728=""),"",G728+H728)</x:f>
      </x:c>
      <x:c r="J728" t="str">
        <x:f>IF(I728="","",IF(I728&gt;2.5,"OVER","UNDER"))</x:f>
      </x:c>
      <x:c r="K728" s="30"/>
      <x:c r="L728" s="30"/>
      <x:c r="M728" s="30"/>
      <x:c r="N728" s="30"/>
      <x:c r="Y728" s="30"/>
      <x:c r="Z728" s="30"/>
      <x:c r="AA728" s="30"/>
      <x:c r="AB728" s="30"/>
    </x:row>
    <x:row r="729">
      <x:c r="B729" s="28"/>
      <x:c r="I729" t="str">
        <x:f>IF(OR(G729="",H729=""),"",G729+H729)</x:f>
      </x:c>
      <x:c r="J729" t="str">
        <x:f>IF(I729="","",IF(I729&gt;2.5,"OVER","UNDER"))</x:f>
      </x:c>
      <x:c r="K729" s="30"/>
      <x:c r="L729" s="30"/>
      <x:c r="M729" s="30"/>
      <x:c r="N729" s="30"/>
      <x:c r="Y729" s="30"/>
      <x:c r="Z729" s="30"/>
      <x:c r="AA729" s="30"/>
      <x:c r="AB729" s="30"/>
    </x:row>
    <x:row r="730">
      <x:c r="B730" s="28"/>
      <x:c r="I730" t="str">
        <x:f>IF(OR(G730="",H730=""),"",G730+H730)</x:f>
      </x:c>
      <x:c r="J730" t="str">
        <x:f>IF(I730="","",IF(I730&gt;2.5,"OVER","UNDER"))</x:f>
      </x:c>
      <x:c r="K730" s="30"/>
      <x:c r="L730" s="30"/>
      <x:c r="M730" s="30"/>
      <x:c r="N730" s="30"/>
      <x:c r="Y730" s="30"/>
      <x:c r="Z730" s="30"/>
      <x:c r="AA730" s="30"/>
      <x:c r="AB730" s="30"/>
    </x:row>
    <x:row r="731">
      <x:c r="B731" s="28"/>
      <x:c r="I731" t="str">
        <x:f>IF(OR(G731="",H731=""),"",G731+H731)</x:f>
      </x:c>
      <x:c r="J731" t="str">
        <x:f>IF(I731="","",IF(I731&gt;2.5,"OVER","UNDER"))</x:f>
      </x:c>
      <x:c r="K731" s="30"/>
      <x:c r="L731" s="30"/>
      <x:c r="M731" s="30"/>
      <x:c r="N731" s="30"/>
      <x:c r="Y731" s="30"/>
      <x:c r="Z731" s="30"/>
      <x:c r="AA731" s="30"/>
      <x:c r="AB731" s="30"/>
    </x:row>
    <x:row r="732">
      <x:c r="B732" s="28"/>
      <x:c r="I732" t="str">
        <x:f>IF(OR(G732="",H732=""),"",G732+H732)</x:f>
      </x:c>
      <x:c r="J732" t="str">
        <x:f>IF(I732="","",IF(I732&gt;2.5,"OVER","UNDER"))</x:f>
      </x:c>
      <x:c r="K732" s="30"/>
      <x:c r="L732" s="30"/>
      <x:c r="M732" s="30"/>
      <x:c r="N732" s="30"/>
      <x:c r="Y732" s="30"/>
      <x:c r="Z732" s="30"/>
      <x:c r="AA732" s="30"/>
      <x:c r="AB732" s="30"/>
    </x:row>
    <x:row r="733">
      <x:c r="B733" s="28"/>
      <x:c r="I733" t="str">
        <x:f>IF(OR(G733="",H733=""),"",G733+H733)</x:f>
      </x:c>
      <x:c r="J733" t="str">
        <x:f>IF(I733="","",IF(I733&gt;2.5,"OVER","UNDER"))</x:f>
      </x:c>
      <x:c r="K733" s="30"/>
      <x:c r="L733" s="30"/>
      <x:c r="M733" s="30"/>
      <x:c r="N733" s="30"/>
      <x:c r="Y733" s="30"/>
      <x:c r="Z733" s="30"/>
      <x:c r="AA733" s="30"/>
      <x:c r="AB733" s="30"/>
    </x:row>
    <x:row r="734">
      <x:c r="B734" s="28"/>
      <x:c r="I734" t="str">
        <x:f>IF(OR(G734="",H734=""),"",G734+H734)</x:f>
      </x:c>
      <x:c r="J734" t="str">
        <x:f>IF(I734="","",IF(I734&gt;2.5,"OVER","UNDER"))</x:f>
      </x:c>
      <x:c r="K734" s="30"/>
      <x:c r="L734" s="30"/>
      <x:c r="M734" s="30"/>
      <x:c r="N734" s="30"/>
      <x:c r="Y734" s="30"/>
      <x:c r="Z734" s="30"/>
      <x:c r="AA734" s="30"/>
      <x:c r="AB734" s="30"/>
    </x:row>
    <x:row r="735">
      <x:c r="B735" s="28"/>
      <x:c r="I735" t="str">
        <x:f>IF(OR(G735="",H735=""),"",G735+H735)</x:f>
      </x:c>
      <x:c r="J735" t="str">
        <x:f>IF(I735="","",IF(I735&gt;2.5,"OVER","UNDER"))</x:f>
      </x:c>
      <x:c r="K735" s="30"/>
      <x:c r="L735" s="30"/>
      <x:c r="M735" s="30"/>
      <x:c r="N735" s="30"/>
      <x:c r="Y735" s="30"/>
      <x:c r="Z735" s="30"/>
      <x:c r="AA735" s="30"/>
      <x:c r="AB735" s="30"/>
    </x:row>
    <x:row r="736">
      <x:c r="B736" s="28"/>
      <x:c r="I736" t="str">
        <x:f>IF(OR(G736="",H736=""),"",G736+H736)</x:f>
      </x:c>
      <x:c r="J736" t="str">
        <x:f>IF(I736="","",IF(I736&gt;2.5,"OVER","UNDER"))</x:f>
      </x:c>
      <x:c r="K736" s="30"/>
      <x:c r="L736" s="30"/>
      <x:c r="M736" s="30"/>
      <x:c r="N736" s="30"/>
      <x:c r="Y736" s="30"/>
      <x:c r="Z736" s="30"/>
      <x:c r="AA736" s="30"/>
      <x:c r="AB736" s="30"/>
    </x:row>
    <x:row r="737">
      <x:c r="B737" s="28"/>
      <x:c r="I737" t="str">
        <x:f>IF(OR(G737="",H737=""),"",G737+H737)</x:f>
      </x:c>
      <x:c r="J737" t="str">
        <x:f>IF(I737="","",IF(I737&gt;2.5,"OVER","UNDER"))</x:f>
      </x:c>
      <x:c r="K737" s="30"/>
      <x:c r="L737" s="30"/>
      <x:c r="M737" s="30"/>
      <x:c r="N737" s="30"/>
      <x:c r="Y737" s="30"/>
      <x:c r="Z737" s="30"/>
      <x:c r="AA737" s="30"/>
      <x:c r="AB737" s="30"/>
    </x:row>
    <x:row r="738">
      <x:c r="B738" s="28"/>
      <x:c r="I738" t="str">
        <x:f>IF(OR(G738="",H738=""),"",G738+H738)</x:f>
      </x:c>
      <x:c r="J738" t="str">
        <x:f>IF(I738="","",IF(I738&gt;2.5,"OVER","UNDER"))</x:f>
      </x:c>
      <x:c r="K738" s="30"/>
      <x:c r="L738" s="30"/>
      <x:c r="M738" s="30"/>
      <x:c r="N738" s="30"/>
      <x:c r="Y738" s="30"/>
      <x:c r="Z738" s="30"/>
      <x:c r="AA738" s="30"/>
      <x:c r="AB738" s="30"/>
    </x:row>
    <x:row r="739">
      <x:c r="B739" s="28"/>
      <x:c r="I739" t="str">
        <x:f>IF(OR(G739="",H739=""),"",G739+H739)</x:f>
      </x:c>
      <x:c r="J739" t="str">
        <x:f>IF(I739="","",IF(I739&gt;2.5,"OVER","UNDER"))</x:f>
      </x:c>
      <x:c r="K739" s="30"/>
      <x:c r="L739" s="30"/>
      <x:c r="M739" s="30"/>
      <x:c r="N739" s="30"/>
      <x:c r="Y739" s="30"/>
      <x:c r="Z739" s="30"/>
      <x:c r="AA739" s="30"/>
      <x:c r="AB739" s="30"/>
    </x:row>
    <x:row r="740">
      <x:c r="B740" s="28"/>
      <x:c r="I740" t="str">
        <x:f>IF(OR(G740="",H740=""),"",G740+H740)</x:f>
      </x:c>
      <x:c r="J740" t="str">
        <x:f>IF(I740="","",IF(I740&gt;2.5,"OVER","UNDER"))</x:f>
      </x:c>
      <x:c r="K740" s="30"/>
      <x:c r="L740" s="30"/>
      <x:c r="M740" s="30"/>
      <x:c r="N740" s="30"/>
      <x:c r="Y740" s="30"/>
      <x:c r="Z740" s="30"/>
      <x:c r="AA740" s="30"/>
      <x:c r="AB740" s="30"/>
    </x:row>
    <x:row r="741">
      <x:c r="B741" s="28"/>
      <x:c r="I741" t="str">
        <x:f>IF(OR(G741="",H741=""),"",G741+H741)</x:f>
      </x:c>
      <x:c r="J741" t="str">
        <x:f>IF(I741="","",IF(I741&gt;2.5,"OVER","UNDER"))</x:f>
      </x:c>
      <x:c r="K741" s="30"/>
      <x:c r="L741" s="30"/>
      <x:c r="M741" s="30"/>
      <x:c r="N741" s="30"/>
      <x:c r="Y741" s="30"/>
      <x:c r="Z741" s="30"/>
      <x:c r="AA741" s="30"/>
      <x:c r="AB741" s="30"/>
    </x:row>
    <x:row r="742">
      <x:c r="B742" s="28"/>
      <x:c r="I742" t="str">
        <x:f>IF(OR(G742="",H742=""),"",G742+H742)</x:f>
      </x:c>
      <x:c r="J742" t="str">
        <x:f>IF(I742="","",IF(I742&gt;2.5,"OVER","UNDER"))</x:f>
      </x:c>
      <x:c r="K742" s="30"/>
      <x:c r="L742" s="30"/>
      <x:c r="M742" s="30"/>
      <x:c r="N742" s="30"/>
      <x:c r="Y742" s="30"/>
      <x:c r="Z742" s="30"/>
      <x:c r="AA742" s="30"/>
      <x:c r="AB742" s="30"/>
    </x:row>
    <x:row r="743">
      <x:c r="B743" s="28"/>
      <x:c r="I743" t="str">
        <x:f>IF(OR(G743="",H743=""),"",G743+H743)</x:f>
      </x:c>
      <x:c r="J743" t="str">
        <x:f>IF(I743="","",IF(I743&gt;2.5,"OVER","UNDER"))</x:f>
      </x:c>
      <x:c r="K743" s="30"/>
      <x:c r="L743" s="30"/>
      <x:c r="M743" s="30"/>
      <x:c r="N743" s="30"/>
      <x:c r="Y743" s="30"/>
      <x:c r="Z743" s="30"/>
      <x:c r="AA743" s="30"/>
      <x:c r="AB743" s="30"/>
    </x:row>
    <x:row r="744">
      <x:c r="B744" s="28"/>
      <x:c r="I744" t="str">
        <x:f>IF(OR(G744="",H744=""),"",G744+H744)</x:f>
      </x:c>
      <x:c r="J744" t="str">
        <x:f>IF(I744="","",IF(I744&gt;2.5,"OVER","UNDER"))</x:f>
      </x:c>
      <x:c r="K744" s="30"/>
      <x:c r="L744" s="30"/>
      <x:c r="M744" s="30"/>
      <x:c r="N744" s="30"/>
      <x:c r="Y744" s="30"/>
      <x:c r="Z744" s="30"/>
      <x:c r="AA744" s="30"/>
      <x:c r="AB744" s="30"/>
    </x:row>
    <x:row r="745">
      <x:c r="B745" s="28"/>
      <x:c r="I745" t="str">
        <x:f>IF(OR(G745="",H745=""),"",G745+H745)</x:f>
      </x:c>
      <x:c r="J745" t="str">
        <x:f>IF(I745="","",IF(I745&gt;2.5,"OVER","UNDER"))</x:f>
      </x:c>
      <x:c r="K745" s="30"/>
      <x:c r="L745" s="30"/>
      <x:c r="M745" s="30"/>
      <x:c r="N745" s="30"/>
      <x:c r="Y745" s="30"/>
      <x:c r="Z745" s="30"/>
      <x:c r="AA745" s="30"/>
      <x:c r="AB745" s="30"/>
    </x:row>
    <x:row r="746">
      <x:c r="B746" s="28"/>
      <x:c r="I746" t="str">
        <x:f>IF(OR(G746="",H746=""),"",G746+H746)</x:f>
      </x:c>
      <x:c r="J746" t="str">
        <x:f>IF(I746="","",IF(I746&gt;2.5,"OVER","UNDER"))</x:f>
      </x:c>
      <x:c r="K746" s="30"/>
      <x:c r="L746" s="30"/>
      <x:c r="M746" s="30"/>
      <x:c r="N746" s="30"/>
      <x:c r="Y746" s="30"/>
      <x:c r="Z746" s="30"/>
      <x:c r="AA746" s="30"/>
      <x:c r="AB746" s="30"/>
    </x:row>
    <x:row r="747">
      <x:c r="B747" s="28"/>
      <x:c r="I747" t="str">
        <x:f>IF(OR(G747="",H747=""),"",G747+H747)</x:f>
      </x:c>
      <x:c r="J747" t="str">
        <x:f>IF(I747="","",IF(I747&gt;2.5,"OVER","UNDER"))</x:f>
      </x:c>
      <x:c r="K747" s="30"/>
      <x:c r="L747" s="30"/>
      <x:c r="M747" s="30"/>
      <x:c r="N747" s="30"/>
      <x:c r="Y747" s="30"/>
      <x:c r="Z747" s="30"/>
      <x:c r="AA747" s="30"/>
      <x:c r="AB747" s="30"/>
    </x:row>
    <x:row r="748">
      <x:c r="B748" s="28"/>
      <x:c r="I748" t="str">
        <x:f>IF(OR(G748="",H748=""),"",G748+H748)</x:f>
      </x:c>
      <x:c r="J748" t="str">
        <x:f>IF(I748="","",IF(I748&gt;2.5,"OVER","UNDER"))</x:f>
      </x:c>
      <x:c r="K748" s="30"/>
      <x:c r="L748" s="30"/>
      <x:c r="M748" s="30"/>
      <x:c r="N748" s="30"/>
      <x:c r="Y748" s="30"/>
      <x:c r="Z748" s="30"/>
      <x:c r="AA748" s="30"/>
      <x:c r="AB748" s="30"/>
    </x:row>
    <x:row r="749">
      <x:c r="B749" s="28"/>
      <x:c r="I749" t="str">
        <x:f>IF(OR(G749="",H749=""),"",G749+H749)</x:f>
      </x:c>
      <x:c r="J749" t="str">
        <x:f>IF(I749="","",IF(I749&gt;2.5,"OVER","UNDER"))</x:f>
      </x:c>
      <x:c r="K749" s="30"/>
      <x:c r="L749" s="30"/>
      <x:c r="M749" s="30"/>
      <x:c r="N749" s="30"/>
      <x:c r="Y749" s="30"/>
      <x:c r="Z749" s="30"/>
      <x:c r="AA749" s="30"/>
      <x:c r="AB749" s="30"/>
    </x:row>
    <x:row r="750">
      <x:c r="B750" s="28"/>
      <x:c r="I750" t="str">
        <x:f>IF(OR(G750="",H750=""),"",G750+H750)</x:f>
      </x:c>
      <x:c r="J750" t="str">
        <x:f>IF(I750="","",IF(I750&gt;2.5,"OVER","UNDER"))</x:f>
      </x:c>
      <x:c r="K750" s="30"/>
      <x:c r="L750" s="30"/>
      <x:c r="M750" s="30"/>
      <x:c r="N750" s="30"/>
      <x:c r="Y750" s="30"/>
      <x:c r="Z750" s="30"/>
      <x:c r="AA750" s="30"/>
      <x:c r="AB750" s="30"/>
    </x:row>
    <x:row r="751">
      <x:c r="B751" s="28"/>
      <x:c r="I751" t="str">
        <x:f>IF(OR(G751="",H751=""),"",G751+H751)</x:f>
      </x:c>
      <x:c r="J751" t="str">
        <x:f>IF(I751="","",IF(I751&gt;2.5,"OVER","UNDER"))</x:f>
      </x:c>
      <x:c r="K751" s="30"/>
      <x:c r="L751" s="30"/>
      <x:c r="M751" s="30"/>
      <x:c r="N751" s="30"/>
      <x:c r="Y751" s="30"/>
      <x:c r="Z751" s="30"/>
      <x:c r="AA751" s="30"/>
      <x:c r="AB751" s="30"/>
    </x:row>
    <x:row r="752">
      <x:c r="B752" s="28"/>
      <x:c r="I752" t="str">
        <x:f>IF(OR(G752="",H752=""),"",G752+H752)</x:f>
      </x:c>
      <x:c r="J752" t="str">
        <x:f>IF(I752="","",IF(I752&gt;2.5,"OVER","UNDER"))</x:f>
      </x:c>
      <x:c r="K752" s="30"/>
      <x:c r="L752" s="30"/>
      <x:c r="M752" s="30"/>
      <x:c r="N752" s="30"/>
      <x:c r="Y752" s="30"/>
      <x:c r="Z752" s="30"/>
      <x:c r="AA752" s="30"/>
      <x:c r="AB752" s="30"/>
    </x:row>
    <x:row r="753">
      <x:c r="B753" s="28"/>
      <x:c r="I753" t="str">
        <x:f>IF(OR(G753="",H753=""),"",G753+H753)</x:f>
      </x:c>
      <x:c r="J753" t="str">
        <x:f>IF(I753="","",IF(I753&gt;2.5,"OVER","UNDER"))</x:f>
      </x:c>
      <x:c r="K753" s="30"/>
      <x:c r="L753" s="30"/>
      <x:c r="M753" s="30"/>
      <x:c r="N753" s="30"/>
      <x:c r="Y753" s="30"/>
      <x:c r="Z753" s="30"/>
      <x:c r="AA753" s="30"/>
      <x:c r="AB753" s="30"/>
    </x:row>
    <x:row r="754">
      <x:c r="B754" s="28"/>
      <x:c r="I754" t="str">
        <x:f>IF(OR(G754="",H754=""),"",G754+H754)</x:f>
      </x:c>
      <x:c r="J754" t="str">
        <x:f>IF(I754="","",IF(I754&gt;2.5,"OVER","UNDER"))</x:f>
      </x:c>
      <x:c r="K754" s="30"/>
      <x:c r="L754" s="30"/>
      <x:c r="M754" s="30"/>
      <x:c r="N754" s="30"/>
      <x:c r="Y754" s="30"/>
      <x:c r="Z754" s="30"/>
      <x:c r="AA754" s="30"/>
      <x:c r="AB754" s="30"/>
    </x:row>
    <x:row r="755">
      <x:c r="B755" s="28"/>
      <x:c r="I755" t="str">
        <x:f>IF(OR(G755="",H755=""),"",G755+H755)</x:f>
      </x:c>
      <x:c r="J755" t="str">
        <x:f>IF(I755="","",IF(I755&gt;2.5,"OVER","UNDER"))</x:f>
      </x:c>
      <x:c r="K755" s="30"/>
      <x:c r="L755" s="30"/>
      <x:c r="M755" s="30"/>
      <x:c r="N755" s="30"/>
      <x:c r="Y755" s="30"/>
      <x:c r="Z755" s="30"/>
      <x:c r="AA755" s="30"/>
      <x:c r="AB755" s="30"/>
    </x:row>
    <x:row r="756">
      <x:c r="B756" s="28"/>
      <x:c r="I756" t="str">
        <x:f>IF(OR(G756="",H756=""),"",G756+H756)</x:f>
      </x:c>
      <x:c r="J756" t="str">
        <x:f>IF(I756="","",IF(I756&gt;2.5,"OVER","UNDER"))</x:f>
      </x:c>
      <x:c r="K756" s="30"/>
      <x:c r="L756" s="30"/>
      <x:c r="M756" s="30"/>
      <x:c r="N756" s="30"/>
      <x:c r="Y756" s="30"/>
      <x:c r="Z756" s="30"/>
      <x:c r="AA756" s="30"/>
      <x:c r="AB756" s="30"/>
    </x:row>
    <x:row r="757">
      <x:c r="B757" s="28"/>
      <x:c r="I757" t="str">
        <x:f>IF(OR(G757="",H757=""),"",G757+H757)</x:f>
      </x:c>
      <x:c r="J757" t="str">
        <x:f>IF(I757="","",IF(I757&gt;2.5,"OVER","UNDER"))</x:f>
      </x:c>
      <x:c r="K757" s="30"/>
      <x:c r="L757" s="30"/>
      <x:c r="M757" s="30"/>
      <x:c r="N757" s="30"/>
      <x:c r="Y757" s="30"/>
      <x:c r="Z757" s="30"/>
      <x:c r="AA757" s="30"/>
      <x:c r="AB757" s="30"/>
    </x:row>
    <x:row r="758">
      <x:c r="B758" s="28"/>
      <x:c r="I758" t="str">
        <x:f>IF(OR(G758="",H758=""),"",G758+H758)</x:f>
      </x:c>
      <x:c r="J758" t="str">
        <x:f>IF(I758="","",IF(I758&gt;2.5,"OVER","UNDER"))</x:f>
      </x:c>
      <x:c r="K758" s="30"/>
      <x:c r="L758" s="30"/>
      <x:c r="M758" s="30"/>
      <x:c r="N758" s="30"/>
      <x:c r="Y758" s="30"/>
      <x:c r="Z758" s="30"/>
      <x:c r="AA758" s="30"/>
      <x:c r="AB758" s="30"/>
    </x:row>
    <x:row r="759">
      <x:c r="B759" s="28"/>
      <x:c r="I759" t="str">
        <x:f>IF(OR(G759="",H759=""),"",G759+H759)</x:f>
      </x:c>
      <x:c r="J759" t="str">
        <x:f>IF(I759="","",IF(I759&gt;2.5,"OVER","UNDER"))</x:f>
      </x:c>
      <x:c r="K759" s="30"/>
      <x:c r="L759" s="30"/>
      <x:c r="M759" s="30"/>
      <x:c r="N759" s="30"/>
      <x:c r="Y759" s="30"/>
      <x:c r="Z759" s="30"/>
      <x:c r="AA759" s="30"/>
      <x:c r="AB759" s="30"/>
    </x:row>
    <x:row r="760">
      <x:c r="B760" s="28"/>
      <x:c r="I760" t="str">
        <x:f>IF(OR(G760="",H760=""),"",G760+H760)</x:f>
      </x:c>
      <x:c r="J760" t="str">
        <x:f>IF(I760="","",IF(I760&gt;2.5,"OVER","UNDER"))</x:f>
      </x:c>
      <x:c r="K760" s="30"/>
      <x:c r="L760" s="30"/>
      <x:c r="M760" s="30"/>
      <x:c r="N760" s="30"/>
      <x:c r="Y760" s="30"/>
      <x:c r="Z760" s="30"/>
      <x:c r="AA760" s="30"/>
      <x:c r="AB760" s="30"/>
    </x:row>
    <x:row r="761">
      <x:c r="B761" s="28"/>
      <x:c r="I761" t="str">
        <x:f>IF(OR(G761="",H761=""),"",G761+H761)</x:f>
      </x:c>
      <x:c r="J761" t="str">
        <x:f>IF(I761="","",IF(I761&gt;2.5,"OVER","UNDER"))</x:f>
      </x:c>
      <x:c r="K761" s="30"/>
      <x:c r="L761" s="30"/>
      <x:c r="M761" s="30"/>
      <x:c r="N761" s="30"/>
      <x:c r="Y761" s="30"/>
      <x:c r="Z761" s="30"/>
      <x:c r="AA761" s="30"/>
      <x:c r="AB761" s="30"/>
    </x:row>
    <x:row r="762">
      <x:c r="B762" s="28"/>
      <x:c r="I762" t="str">
        <x:f>IF(OR(G762="",H762=""),"",G762+H762)</x:f>
      </x:c>
      <x:c r="J762" t="str">
        <x:f>IF(I762="","",IF(I762&gt;2.5,"OVER","UNDER"))</x:f>
      </x:c>
      <x:c r="K762" s="30"/>
      <x:c r="L762" s="30"/>
      <x:c r="M762" s="30"/>
      <x:c r="N762" s="30"/>
      <x:c r="Y762" s="30"/>
      <x:c r="Z762" s="30"/>
      <x:c r="AA762" s="30"/>
      <x:c r="AB762" s="30"/>
    </x:row>
    <x:row r="763">
      <x:c r="B763" s="28"/>
      <x:c r="I763" t="str">
        <x:f>IF(OR(G763="",H763=""),"",G763+H763)</x:f>
      </x:c>
      <x:c r="J763" t="str">
        <x:f>IF(I763="","",IF(I763&gt;2.5,"OVER","UNDER"))</x:f>
      </x:c>
      <x:c r="K763" s="30"/>
      <x:c r="L763" s="30"/>
      <x:c r="M763" s="30"/>
      <x:c r="N763" s="30"/>
      <x:c r="Y763" s="30"/>
      <x:c r="Z763" s="30"/>
      <x:c r="AA763" s="30"/>
      <x:c r="AB763" s="30"/>
    </x:row>
    <x:row r="764">
      <x:c r="B764" s="28"/>
      <x:c r="I764" t="str">
        <x:f>IF(OR(G764="",H764=""),"",G764+H764)</x:f>
      </x:c>
      <x:c r="J764" t="str">
        <x:f>IF(I764="","",IF(I764&gt;2.5,"OVER","UNDER"))</x:f>
      </x:c>
      <x:c r="K764" s="30"/>
      <x:c r="L764" s="30"/>
      <x:c r="M764" s="30"/>
      <x:c r="N764" s="30"/>
      <x:c r="Y764" s="30"/>
      <x:c r="Z764" s="30"/>
      <x:c r="AA764" s="30"/>
      <x:c r="AB764" s="30"/>
    </x:row>
    <x:row r="765">
      <x:c r="B765" s="28"/>
      <x:c r="I765" t="str">
        <x:f>IF(OR(G765="",H765=""),"",G765+H765)</x:f>
      </x:c>
      <x:c r="J765" t="str">
        <x:f>IF(I765="","",IF(I765&gt;2.5,"OVER","UNDER"))</x:f>
      </x:c>
      <x:c r="K765" s="30"/>
      <x:c r="L765" s="30"/>
      <x:c r="M765" s="30"/>
      <x:c r="N765" s="30"/>
      <x:c r="Y765" s="30"/>
      <x:c r="Z765" s="30"/>
      <x:c r="AA765" s="30"/>
      <x:c r="AB765" s="30"/>
    </x:row>
    <x:row r="766">
      <x:c r="B766" s="28"/>
      <x:c r="I766" t="str">
        <x:f>IF(OR(G766="",H766=""),"",G766+H766)</x:f>
      </x:c>
      <x:c r="J766" t="str">
        <x:f>IF(I766="","",IF(I766&gt;2.5,"OVER","UNDER"))</x:f>
      </x:c>
      <x:c r="K766" s="30"/>
      <x:c r="L766" s="30"/>
      <x:c r="M766" s="30"/>
      <x:c r="N766" s="30"/>
      <x:c r="Y766" s="30"/>
      <x:c r="Z766" s="30"/>
      <x:c r="AA766" s="30"/>
      <x:c r="AB766" s="30"/>
    </x:row>
    <x:row r="767">
      <x:c r="B767" s="28"/>
      <x:c r="I767" t="str">
        <x:f>IF(OR(G767="",H767=""),"",G767+H767)</x:f>
      </x:c>
      <x:c r="J767" t="str">
        <x:f>IF(I767="","",IF(I767&gt;2.5,"OVER","UNDER"))</x:f>
      </x:c>
      <x:c r="K767" s="30"/>
      <x:c r="L767" s="30"/>
      <x:c r="M767" s="30"/>
      <x:c r="N767" s="30"/>
      <x:c r="Y767" s="30"/>
      <x:c r="Z767" s="30"/>
      <x:c r="AA767" s="30"/>
      <x:c r="AB767" s="30"/>
    </x:row>
    <x:row r="768">
      <x:c r="B768" s="28"/>
      <x:c r="I768" t="str">
        <x:f>IF(OR(G768="",H768=""),"",G768+H768)</x:f>
      </x:c>
      <x:c r="J768" t="str">
        <x:f>IF(I768="","",IF(I768&gt;2.5,"OVER","UNDER"))</x:f>
      </x:c>
      <x:c r="K768" s="30"/>
      <x:c r="L768" s="30"/>
      <x:c r="M768" s="30"/>
      <x:c r="N768" s="30"/>
      <x:c r="Y768" s="30"/>
      <x:c r="Z768" s="30"/>
      <x:c r="AA768" s="30"/>
      <x:c r="AB768" s="30"/>
    </x:row>
    <x:row r="769">
      <x:c r="B769" s="28"/>
      <x:c r="I769" t="str">
        <x:f>IF(OR(G769="",H769=""),"",G769+H769)</x:f>
      </x:c>
      <x:c r="J769" t="str">
        <x:f>IF(I769="","",IF(I769&gt;2.5,"OVER","UNDER"))</x:f>
      </x:c>
      <x:c r="K769" s="30"/>
      <x:c r="L769" s="30"/>
      <x:c r="M769" s="30"/>
      <x:c r="N769" s="30"/>
      <x:c r="Y769" s="30"/>
      <x:c r="Z769" s="30"/>
      <x:c r="AA769" s="30"/>
      <x:c r="AB769" s="30"/>
    </x:row>
    <x:row r="770">
      <x:c r="B770" s="28"/>
      <x:c r="I770" t="str">
        <x:f>IF(OR(G770="",H770=""),"",G770+H770)</x:f>
      </x:c>
      <x:c r="J770" t="str">
        <x:f>IF(I770="","",IF(I770&gt;2.5,"OVER","UNDER"))</x:f>
      </x:c>
      <x:c r="K770" s="30"/>
      <x:c r="L770" s="30"/>
      <x:c r="M770" s="30"/>
      <x:c r="N770" s="30"/>
      <x:c r="Y770" s="30"/>
      <x:c r="Z770" s="30"/>
      <x:c r="AA770" s="30"/>
      <x:c r="AB770" s="30"/>
    </x:row>
    <x:row r="771">
      <x:c r="B771" s="28"/>
      <x:c r="I771" t="str">
        <x:f>IF(OR(G771="",H771=""),"",G771+H771)</x:f>
      </x:c>
      <x:c r="J771" t="str">
        <x:f>IF(I771="","",IF(I771&gt;2.5,"OVER","UNDER"))</x:f>
      </x:c>
      <x:c r="K771" s="30"/>
      <x:c r="L771" s="30"/>
      <x:c r="M771" s="30"/>
      <x:c r="N771" s="30"/>
      <x:c r="Y771" s="30"/>
      <x:c r="Z771" s="30"/>
      <x:c r="AA771" s="30"/>
      <x:c r="AB771" s="30"/>
    </x:row>
    <x:row r="772">
      <x:c r="B772" s="28"/>
      <x:c r="I772" t="str">
        <x:f>IF(OR(G772="",H772=""),"",G772+H772)</x:f>
      </x:c>
      <x:c r="J772" t="str">
        <x:f>IF(I772="","",IF(I772&gt;2.5,"OVER","UNDER"))</x:f>
      </x:c>
      <x:c r="K772" s="30"/>
      <x:c r="L772" s="30"/>
      <x:c r="M772" s="30"/>
      <x:c r="N772" s="30"/>
      <x:c r="Y772" s="30"/>
      <x:c r="Z772" s="30"/>
      <x:c r="AA772" s="30"/>
      <x:c r="AB772" s="30"/>
    </x:row>
    <x:row r="773">
      <x:c r="B773" s="28"/>
      <x:c r="I773" t="str">
        <x:f>IF(OR(G773="",H773=""),"",G773+H773)</x:f>
      </x:c>
      <x:c r="J773" t="str">
        <x:f>IF(I773="","",IF(I773&gt;2.5,"OVER","UNDER"))</x:f>
      </x:c>
      <x:c r="K773" s="30"/>
      <x:c r="L773" s="30"/>
      <x:c r="M773" s="30"/>
      <x:c r="N773" s="30"/>
      <x:c r="Y773" s="30"/>
      <x:c r="Z773" s="30"/>
      <x:c r="AA773" s="30"/>
      <x:c r="AB773" s="30"/>
    </x:row>
    <x:row r="774">
      <x:c r="B774" s="28"/>
      <x:c r="I774" t="str">
        <x:f>IF(OR(G774="",H774=""),"",G774+H774)</x:f>
      </x:c>
      <x:c r="J774" t="str">
        <x:f>IF(I774="","",IF(I774&gt;2.5,"OVER","UNDER"))</x:f>
      </x:c>
      <x:c r="K774" s="30"/>
      <x:c r="L774" s="30"/>
      <x:c r="M774" s="30"/>
      <x:c r="N774" s="30"/>
      <x:c r="Y774" s="30"/>
      <x:c r="Z774" s="30"/>
      <x:c r="AA774" s="30"/>
      <x:c r="AB774" s="30"/>
    </x:row>
    <x:row r="775">
      <x:c r="B775" s="28"/>
      <x:c r="I775" t="str">
        <x:f>IF(OR(G775="",H775=""),"",G775+H775)</x:f>
      </x:c>
      <x:c r="J775" t="str">
        <x:f>IF(I775="","",IF(I775&gt;2.5,"OVER","UNDER"))</x:f>
      </x:c>
      <x:c r="K775" s="30"/>
      <x:c r="L775" s="30"/>
      <x:c r="M775" s="30"/>
      <x:c r="N775" s="30"/>
      <x:c r="Y775" s="30"/>
      <x:c r="Z775" s="30"/>
      <x:c r="AA775" s="30"/>
      <x:c r="AB775" s="30"/>
    </x:row>
    <x:row r="776">
      <x:c r="B776" s="28"/>
      <x:c r="I776" t="str">
        <x:f>IF(OR(G776="",H776=""),"",G776+H776)</x:f>
      </x:c>
      <x:c r="J776" t="str">
        <x:f>IF(I776="","",IF(I776&gt;2.5,"OVER","UNDER"))</x:f>
      </x:c>
      <x:c r="K776" s="30"/>
      <x:c r="L776" s="30"/>
      <x:c r="M776" s="30"/>
      <x:c r="N776" s="30"/>
      <x:c r="Y776" s="30"/>
      <x:c r="Z776" s="30"/>
      <x:c r="AA776" s="30"/>
      <x:c r="AB776" s="30"/>
    </x:row>
    <x:row r="777">
      <x:c r="B777" s="28"/>
      <x:c r="I777" t="str">
        <x:f>IF(OR(G777="",H777=""),"",G777+H777)</x:f>
      </x:c>
      <x:c r="J777" t="str">
        <x:f>IF(I777="","",IF(I777&gt;2.5,"OVER","UNDER"))</x:f>
      </x:c>
      <x:c r="K777" s="30"/>
      <x:c r="L777" s="30"/>
      <x:c r="M777" s="30"/>
      <x:c r="N777" s="30"/>
      <x:c r="Y777" s="30"/>
      <x:c r="Z777" s="30"/>
      <x:c r="AA777" s="30"/>
      <x:c r="AB777" s="30"/>
    </x:row>
    <x:row r="778">
      <x:c r="B778" s="28"/>
      <x:c r="I778" t="str">
        <x:f>IF(OR(G778="",H778=""),"",G778+H778)</x:f>
      </x:c>
      <x:c r="J778" t="str">
        <x:f>IF(I778="","",IF(I778&gt;2.5,"OVER","UNDER"))</x:f>
      </x:c>
      <x:c r="K778" s="30"/>
      <x:c r="L778" s="30"/>
      <x:c r="M778" s="30"/>
      <x:c r="N778" s="30"/>
      <x:c r="Y778" s="30"/>
      <x:c r="Z778" s="30"/>
      <x:c r="AA778" s="30"/>
      <x:c r="AB778" s="30"/>
    </x:row>
    <x:row r="779">
      <x:c r="B779" s="28"/>
      <x:c r="I779" t="str">
        <x:f>IF(OR(G779="",H779=""),"",G779+H779)</x:f>
      </x:c>
      <x:c r="J779" t="str">
        <x:f>IF(I779="","",IF(I779&gt;2.5,"OVER","UNDER"))</x:f>
      </x:c>
      <x:c r="K779" s="30"/>
      <x:c r="L779" s="30"/>
      <x:c r="M779" s="30"/>
      <x:c r="N779" s="30"/>
      <x:c r="Y779" s="30"/>
      <x:c r="Z779" s="30"/>
      <x:c r="AA779" s="30"/>
      <x:c r="AB779" s="30"/>
    </x:row>
    <x:row r="780">
      <x:c r="B780" s="28"/>
      <x:c r="I780" t="str">
        <x:f>IF(OR(G780="",H780=""),"",G780+H780)</x:f>
      </x:c>
      <x:c r="J780" t="str">
        <x:f>IF(I780="","",IF(I780&gt;2.5,"OVER","UNDER"))</x:f>
      </x:c>
      <x:c r="K780" s="30"/>
      <x:c r="L780" s="30"/>
      <x:c r="M780" s="30"/>
      <x:c r="N780" s="30"/>
      <x:c r="Y780" s="30"/>
      <x:c r="Z780" s="30"/>
      <x:c r="AA780" s="30"/>
      <x:c r="AB780" s="30"/>
    </x:row>
    <x:row r="781">
      <x:c r="B781" s="28"/>
      <x:c r="I781" t="str">
        <x:f>IF(OR(G781="",H781=""),"",G781+H781)</x:f>
      </x:c>
      <x:c r="J781" t="str">
        <x:f>IF(I781="","",IF(I781&gt;2.5,"OVER","UNDER"))</x:f>
      </x:c>
      <x:c r="K781" s="30"/>
      <x:c r="L781" s="30"/>
      <x:c r="M781" s="30"/>
      <x:c r="N781" s="30"/>
      <x:c r="Y781" s="30"/>
      <x:c r="Z781" s="30"/>
      <x:c r="AA781" s="30"/>
      <x:c r="AB781" s="30"/>
    </x:row>
    <x:row r="782">
      <x:c r="B782" s="28"/>
      <x:c r="I782" t="str">
        <x:f>IF(OR(G782="",H782=""),"",G782+H782)</x:f>
      </x:c>
      <x:c r="J782" t="str">
        <x:f>IF(I782="","",IF(I782&gt;2.5,"OVER","UNDER"))</x:f>
      </x:c>
      <x:c r="K782" s="30"/>
      <x:c r="L782" s="30"/>
      <x:c r="M782" s="30"/>
      <x:c r="N782" s="30"/>
      <x:c r="Y782" s="30"/>
      <x:c r="Z782" s="30"/>
      <x:c r="AA782" s="30"/>
      <x:c r="AB782" s="30"/>
    </x:row>
    <x:row r="783">
      <x:c r="B783" s="28"/>
      <x:c r="I783" t="str">
        <x:f>IF(OR(G783="",H783=""),"",G783+H783)</x:f>
      </x:c>
      <x:c r="J783" t="str">
        <x:f>IF(I783="","",IF(I783&gt;2.5,"OVER","UNDER"))</x:f>
      </x:c>
      <x:c r="K783" s="30"/>
      <x:c r="L783" s="30"/>
      <x:c r="M783" s="30"/>
      <x:c r="N783" s="30"/>
      <x:c r="Y783" s="30"/>
      <x:c r="Z783" s="30"/>
      <x:c r="AA783" s="30"/>
      <x:c r="AB783" s="30"/>
    </x:row>
    <x:row r="784">
      <x:c r="B784" s="28"/>
      <x:c r="I784" t="str">
        <x:f>IF(OR(G784="",H784=""),"",G784+H784)</x:f>
      </x:c>
      <x:c r="J784" t="str">
        <x:f>IF(I784="","",IF(I784&gt;2.5,"OVER","UNDER"))</x:f>
      </x:c>
      <x:c r="K784" s="30"/>
      <x:c r="L784" s="30"/>
      <x:c r="M784" s="30"/>
      <x:c r="N784" s="30"/>
      <x:c r="Y784" s="30"/>
      <x:c r="Z784" s="30"/>
      <x:c r="AA784" s="30"/>
      <x:c r="AB784" s="30"/>
    </x:row>
    <x:row r="785">
      <x:c r="B785" s="28"/>
      <x:c r="I785" t="str">
        <x:f>IF(OR(G785="",H785=""),"",G785+H785)</x:f>
      </x:c>
      <x:c r="J785" t="str">
        <x:f>IF(I785="","",IF(I785&gt;2.5,"OVER","UNDER"))</x:f>
      </x:c>
      <x:c r="K785" s="30"/>
      <x:c r="L785" s="30"/>
      <x:c r="M785" s="30"/>
      <x:c r="N785" s="30"/>
      <x:c r="Y785" s="30"/>
      <x:c r="Z785" s="30"/>
      <x:c r="AA785" s="30"/>
      <x:c r="AB785" s="30"/>
    </x:row>
    <x:row r="786">
      <x:c r="B786" s="28"/>
      <x:c r="I786" t="str">
        <x:f>IF(OR(G786="",H786=""),"",G786+H786)</x:f>
      </x:c>
      <x:c r="J786" t="str">
        <x:f>IF(I786="","",IF(I786&gt;2.5,"OVER","UNDER"))</x:f>
      </x:c>
      <x:c r="K786" s="30"/>
      <x:c r="L786" s="30"/>
      <x:c r="M786" s="30"/>
      <x:c r="N786" s="30"/>
      <x:c r="Y786" s="30"/>
      <x:c r="Z786" s="30"/>
      <x:c r="AA786" s="30"/>
      <x:c r="AB786" s="30"/>
    </x:row>
    <x:row r="787">
      <x:c r="B787" s="28"/>
      <x:c r="I787" t="str">
        <x:f>IF(OR(G787="",H787=""),"",G787+H787)</x:f>
      </x:c>
      <x:c r="J787" t="str">
        <x:f>IF(I787="","",IF(I787&gt;2.5,"OVER","UNDER"))</x:f>
      </x:c>
      <x:c r="K787" s="30"/>
      <x:c r="L787" s="30"/>
      <x:c r="M787" s="30"/>
      <x:c r="N787" s="30"/>
      <x:c r="Y787" s="30"/>
      <x:c r="Z787" s="30"/>
      <x:c r="AA787" s="30"/>
      <x:c r="AB787" s="30"/>
    </x:row>
    <x:row r="788">
      <x:c r="B788" s="28"/>
      <x:c r="I788" t="str">
        <x:f>IF(OR(G788="",H788=""),"",G788+H788)</x:f>
      </x:c>
      <x:c r="J788" t="str">
        <x:f>IF(I788="","",IF(I788&gt;2.5,"OVER","UNDER"))</x:f>
      </x:c>
      <x:c r="K788" s="30"/>
      <x:c r="L788" s="30"/>
      <x:c r="M788" s="30"/>
      <x:c r="N788" s="30"/>
      <x:c r="Y788" s="30"/>
      <x:c r="Z788" s="30"/>
      <x:c r="AA788" s="30"/>
      <x:c r="AB788" s="30"/>
    </x:row>
    <x:row r="789">
      <x:c r="B789" s="28"/>
      <x:c r="I789" t="str">
        <x:f>IF(OR(G789="",H789=""),"",G789+H789)</x:f>
      </x:c>
      <x:c r="J789" t="str">
        <x:f>IF(I789="","",IF(I789&gt;2.5,"OVER","UNDER"))</x:f>
      </x:c>
      <x:c r="K789" s="30"/>
      <x:c r="L789" s="30"/>
      <x:c r="M789" s="30"/>
      <x:c r="N789" s="30"/>
      <x:c r="Y789" s="30"/>
      <x:c r="Z789" s="30"/>
      <x:c r="AA789" s="30"/>
      <x:c r="AB789" s="30"/>
    </x:row>
    <x:row r="790">
      <x:c r="B790" s="28"/>
      <x:c r="I790" t="str">
        <x:f>IF(OR(G790="",H790=""),"",G790+H790)</x:f>
      </x:c>
      <x:c r="J790" t="str">
        <x:f>IF(I790="","",IF(I790&gt;2.5,"OVER","UNDER"))</x:f>
      </x:c>
      <x:c r="K790" s="30"/>
      <x:c r="L790" s="30"/>
      <x:c r="M790" s="30"/>
      <x:c r="N790" s="30"/>
      <x:c r="Y790" s="30"/>
      <x:c r="Z790" s="30"/>
      <x:c r="AA790" s="30"/>
      <x:c r="AB790" s="30"/>
    </x:row>
    <x:row r="791">
      <x:c r="B791" s="28"/>
      <x:c r="I791" t="str">
        <x:f>IF(OR(G791="",H791=""),"",G791+H791)</x:f>
      </x:c>
      <x:c r="J791" t="str">
        <x:f>IF(I791="","",IF(I791&gt;2.5,"OVER","UNDER"))</x:f>
      </x:c>
      <x:c r="K791" s="30"/>
      <x:c r="L791" s="30"/>
      <x:c r="M791" s="30"/>
      <x:c r="N791" s="30"/>
      <x:c r="Y791" s="30"/>
      <x:c r="Z791" s="30"/>
      <x:c r="AA791" s="30"/>
      <x:c r="AB791" s="30"/>
    </x:row>
    <x:row r="792">
      <x:c r="B792" s="28"/>
      <x:c r="I792" t="str">
        <x:f>IF(OR(G792="",H792=""),"",G792+H792)</x:f>
      </x:c>
      <x:c r="J792" t="str">
        <x:f>IF(I792="","",IF(I792&gt;2.5,"OVER","UNDER"))</x:f>
      </x:c>
      <x:c r="K792" s="30"/>
      <x:c r="L792" s="30"/>
      <x:c r="M792" s="30"/>
      <x:c r="N792" s="30"/>
      <x:c r="Y792" s="30"/>
      <x:c r="Z792" s="30"/>
      <x:c r="AA792" s="30"/>
      <x:c r="AB792" s="30"/>
    </x:row>
    <x:row r="793">
      <x:c r="B793" s="28"/>
      <x:c r="I793" t="str">
        <x:f>IF(OR(G793="",H793=""),"",G793+H793)</x:f>
      </x:c>
      <x:c r="J793" t="str">
        <x:f>IF(I793="","",IF(I793&gt;2.5,"OVER","UNDER"))</x:f>
      </x:c>
      <x:c r="K793" s="30"/>
      <x:c r="L793" s="30"/>
      <x:c r="M793" s="30"/>
      <x:c r="N793" s="30"/>
      <x:c r="Y793" s="30"/>
      <x:c r="Z793" s="30"/>
      <x:c r="AA793" s="30"/>
      <x:c r="AB793" s="30"/>
    </x:row>
    <x:row r="794">
      <x:c r="B794" s="28"/>
      <x:c r="I794" t="str">
        <x:f>IF(OR(G794="",H794=""),"",G794+H794)</x:f>
      </x:c>
      <x:c r="J794" t="str">
        <x:f>IF(I794="","",IF(I794&gt;2.5,"OVER","UNDER"))</x:f>
      </x:c>
      <x:c r="K794" s="30"/>
      <x:c r="L794" s="30"/>
      <x:c r="M794" s="30"/>
      <x:c r="N794" s="30"/>
      <x:c r="Y794" s="30"/>
      <x:c r="Z794" s="30"/>
      <x:c r="AA794" s="30"/>
      <x:c r="AB794" s="30"/>
    </x:row>
    <x:row r="795">
      <x:c r="B795" s="28"/>
      <x:c r="I795" t="str">
        <x:f>IF(OR(G795="",H795=""),"",G795+H795)</x:f>
      </x:c>
      <x:c r="J795" t="str">
        <x:f>IF(I795="","",IF(I795&gt;2.5,"OVER","UNDER"))</x:f>
      </x:c>
      <x:c r="K795" s="30"/>
      <x:c r="L795" s="30"/>
      <x:c r="M795" s="30"/>
      <x:c r="N795" s="30"/>
      <x:c r="Y795" s="30"/>
      <x:c r="Z795" s="30"/>
      <x:c r="AA795" s="30"/>
      <x:c r="AB795" s="30"/>
    </x:row>
    <x:row r="796">
      <x:c r="B796" s="28"/>
      <x:c r="I796" t="str">
        <x:f>IF(OR(G796="",H796=""),"",G796+H796)</x:f>
      </x:c>
      <x:c r="J796" t="str">
        <x:f>IF(I796="","",IF(I796&gt;2.5,"OVER","UNDER"))</x:f>
      </x:c>
      <x:c r="K796" s="30"/>
      <x:c r="L796" s="30"/>
      <x:c r="M796" s="30"/>
      <x:c r="N796" s="30"/>
      <x:c r="Y796" s="30"/>
      <x:c r="Z796" s="30"/>
      <x:c r="AA796" s="30"/>
      <x:c r="AB796" s="30"/>
    </x:row>
    <x:row r="797">
      <x:c r="B797" s="28"/>
      <x:c r="I797" t="str">
        <x:f>IF(OR(G797="",H797=""),"",G797+H797)</x:f>
      </x:c>
      <x:c r="J797" t="str">
        <x:f>IF(I797="","",IF(I797&gt;2.5,"OVER","UNDER"))</x:f>
      </x:c>
      <x:c r="K797" s="30"/>
      <x:c r="L797" s="30"/>
      <x:c r="M797" s="30"/>
      <x:c r="N797" s="30"/>
      <x:c r="Y797" s="30"/>
      <x:c r="Z797" s="30"/>
      <x:c r="AA797" s="30"/>
      <x:c r="AB797" s="30"/>
    </x:row>
    <x:row r="798">
      <x:c r="B798" s="28"/>
      <x:c r="I798" t="str">
        <x:f>IF(OR(G798="",H798=""),"",G798+H798)</x:f>
      </x:c>
      <x:c r="J798" t="str">
        <x:f>IF(I798="","",IF(I798&gt;2.5,"OVER","UNDER"))</x:f>
      </x:c>
      <x:c r="K798" s="30"/>
      <x:c r="L798" s="30"/>
      <x:c r="M798" s="30"/>
      <x:c r="N798" s="30"/>
      <x:c r="Y798" s="30"/>
      <x:c r="Z798" s="30"/>
      <x:c r="AA798" s="30"/>
      <x:c r="AB798" s="30"/>
    </x:row>
    <x:row r="799">
      <x:c r="B799" s="28"/>
      <x:c r="I799" t="str">
        <x:f>IF(OR(G799="",H799=""),"",G799+H799)</x:f>
      </x:c>
      <x:c r="J799" t="str">
        <x:f>IF(I799="","",IF(I799&gt;2.5,"OVER","UNDER"))</x:f>
      </x:c>
      <x:c r="K799" s="30"/>
      <x:c r="L799" s="30"/>
      <x:c r="M799" s="30"/>
      <x:c r="N799" s="30"/>
      <x:c r="Y799" s="30"/>
      <x:c r="Z799" s="30"/>
      <x:c r="AA799" s="30"/>
      <x:c r="AB799" s="30"/>
    </x:row>
    <x:row r="800">
      <x:c r="B800" s="28"/>
      <x:c r="I800" t="str">
        <x:f>IF(OR(G800="",H800=""),"",G800+H800)</x:f>
      </x:c>
      <x:c r="J800" t="str">
        <x:f>IF(I800="","",IF(I800&gt;2.5,"OVER","UNDER"))</x:f>
      </x:c>
      <x:c r="K800" s="30"/>
      <x:c r="L800" s="30"/>
      <x:c r="M800" s="30"/>
      <x:c r="N800" s="30"/>
      <x:c r="Y800" s="30"/>
      <x:c r="Z800" s="30"/>
      <x:c r="AA800" s="30"/>
      <x:c r="AB800" s="30"/>
    </x:row>
    <x:row r="801">
      <x:c r="B801" s="28"/>
      <x:c r="I801" t="str">
        <x:f>IF(OR(G801="",H801=""),"",G801+H801)</x:f>
      </x:c>
      <x:c r="J801" t="str">
        <x:f>IF(I801="","",IF(I801&gt;2.5,"OVER","UNDER"))</x:f>
      </x:c>
      <x:c r="K801" s="30"/>
      <x:c r="L801" s="30"/>
      <x:c r="M801" s="30"/>
      <x:c r="N801" s="30"/>
      <x:c r="Y801" s="30"/>
      <x:c r="Z801" s="30"/>
      <x:c r="AA801" s="30"/>
      <x:c r="AB801" s="30"/>
    </x:row>
    <x:row r="802">
      <x:c r="B802" s="28"/>
      <x:c r="I802" t="str">
        <x:f>IF(OR(G802="",H802=""),"",G802+H802)</x:f>
      </x:c>
      <x:c r="J802" t="str">
        <x:f>IF(I802="","",IF(I802&gt;2.5,"OVER","UNDER"))</x:f>
      </x:c>
      <x:c r="K802" s="30"/>
      <x:c r="L802" s="30"/>
      <x:c r="M802" s="30"/>
      <x:c r="N802" s="30"/>
      <x:c r="Y802" s="30"/>
      <x:c r="Z802" s="30"/>
      <x:c r="AA802" s="30"/>
      <x:c r="AB802" s="30"/>
    </x:row>
    <x:row r="803">
      <x:c r="B803" s="28"/>
      <x:c r="I803" t="str">
        <x:f>IF(OR(G803="",H803=""),"",G803+H803)</x:f>
      </x:c>
      <x:c r="J803" t="str">
        <x:f>IF(I803="","",IF(I803&gt;2.5,"OVER","UNDER"))</x:f>
      </x:c>
      <x:c r="K803" s="30"/>
      <x:c r="L803" s="30"/>
      <x:c r="M803" s="30"/>
      <x:c r="N803" s="30"/>
      <x:c r="Y803" s="30"/>
      <x:c r="Z803" s="30"/>
      <x:c r="AA803" s="30"/>
      <x:c r="AB803" s="30"/>
    </x:row>
    <x:row r="804">
      <x:c r="B804" s="28"/>
      <x:c r="I804" t="str">
        <x:f>IF(OR(G804="",H804=""),"",G804+H804)</x:f>
      </x:c>
      <x:c r="J804" t="str">
        <x:f>IF(I804="","",IF(I804&gt;2.5,"OVER","UNDER"))</x:f>
      </x:c>
      <x:c r="K804" s="30"/>
      <x:c r="L804" s="30"/>
      <x:c r="M804" s="30"/>
      <x:c r="N804" s="30"/>
      <x:c r="Y804" s="30"/>
      <x:c r="Z804" s="30"/>
      <x:c r="AA804" s="30"/>
      <x:c r="AB804" s="30"/>
    </x:row>
    <x:row r="805">
      <x:c r="B805" s="28"/>
      <x:c r="I805" t="str">
        <x:f>IF(OR(G805="",H805=""),"",G805+H805)</x:f>
      </x:c>
      <x:c r="J805" t="str">
        <x:f>IF(I805="","",IF(I805&gt;2.5,"OVER","UNDER"))</x:f>
      </x:c>
      <x:c r="K805" s="30"/>
      <x:c r="L805" s="30"/>
      <x:c r="M805" s="30"/>
      <x:c r="N805" s="30"/>
      <x:c r="Y805" s="30"/>
      <x:c r="Z805" s="30"/>
      <x:c r="AA805" s="30"/>
      <x:c r="AB805" s="30"/>
    </x:row>
    <x:row r="806">
      <x:c r="B806" s="28"/>
      <x:c r="I806" t="str">
        <x:f>IF(OR(G806="",H806=""),"",G806+H806)</x:f>
      </x:c>
      <x:c r="J806" t="str">
        <x:f>IF(I806="","",IF(I806&gt;2.5,"OVER","UNDER"))</x:f>
      </x:c>
      <x:c r="K806" s="30"/>
      <x:c r="L806" s="30"/>
      <x:c r="M806" s="30"/>
      <x:c r="N806" s="30"/>
      <x:c r="Y806" s="30"/>
      <x:c r="Z806" s="30"/>
      <x:c r="AA806" s="30"/>
      <x:c r="AB806" s="30"/>
    </x:row>
    <x:row r="807">
      <x:c r="B807" s="28"/>
      <x:c r="I807" t="str">
        <x:f>IF(OR(G807="",H807=""),"",G807+H807)</x:f>
      </x:c>
      <x:c r="J807" t="str">
        <x:f>IF(I807="","",IF(I807&gt;2.5,"OVER","UNDER"))</x:f>
      </x:c>
      <x:c r="K807" s="30"/>
      <x:c r="L807" s="30"/>
      <x:c r="M807" s="30"/>
      <x:c r="N807" s="30"/>
      <x:c r="Y807" s="30"/>
      <x:c r="Z807" s="30"/>
      <x:c r="AA807" s="30"/>
      <x:c r="AB807" s="30"/>
    </x:row>
    <x:row r="808">
      <x:c r="B808" s="28"/>
      <x:c r="I808" t="str">
        <x:f>IF(OR(G808="",H808=""),"",G808+H808)</x:f>
      </x:c>
      <x:c r="J808" t="str">
        <x:f>IF(I808="","",IF(I808&gt;2.5,"OVER","UNDER"))</x:f>
      </x:c>
      <x:c r="K808" s="30"/>
      <x:c r="L808" s="30"/>
      <x:c r="M808" s="30"/>
      <x:c r="N808" s="30"/>
      <x:c r="Y808" s="30"/>
      <x:c r="Z808" s="30"/>
      <x:c r="AA808" s="30"/>
      <x:c r="AB808" s="30"/>
    </x:row>
    <x:row r="809">
      <x:c r="B809" s="28"/>
      <x:c r="I809" t="str">
        <x:f>IF(OR(G809="",H809=""),"",G809+H809)</x:f>
      </x:c>
      <x:c r="J809" t="str">
        <x:f>IF(I809="","",IF(I809&gt;2.5,"OVER","UNDER"))</x:f>
      </x:c>
      <x:c r="K809" s="30"/>
      <x:c r="L809" s="30"/>
      <x:c r="M809" s="30"/>
      <x:c r="N809" s="30"/>
      <x:c r="Y809" s="30"/>
      <x:c r="Z809" s="30"/>
      <x:c r="AA809" s="30"/>
      <x:c r="AB809" s="30"/>
    </x:row>
    <x:row r="810">
      <x:c r="B810" s="28"/>
      <x:c r="I810" t="str">
        <x:f>IF(OR(G810="",H810=""),"",G810+H810)</x:f>
      </x:c>
      <x:c r="J810" t="str">
        <x:f>IF(I810="","",IF(I810&gt;2.5,"OVER","UNDER"))</x:f>
      </x:c>
      <x:c r="K810" s="30"/>
      <x:c r="L810" s="30"/>
      <x:c r="M810" s="30"/>
      <x:c r="N810" s="30"/>
      <x:c r="Y810" s="30"/>
      <x:c r="Z810" s="30"/>
      <x:c r="AA810" s="30"/>
      <x:c r="AB810" s="30"/>
    </x:row>
    <x:row r="811">
      <x:c r="B811" s="28"/>
      <x:c r="I811" t="str">
        <x:f>IF(OR(G811="",H811=""),"",G811+H811)</x:f>
      </x:c>
      <x:c r="J811" t="str">
        <x:f>IF(I811="","",IF(I811&gt;2.5,"OVER","UNDER"))</x:f>
      </x:c>
      <x:c r="K811" s="30"/>
      <x:c r="L811" s="30"/>
      <x:c r="M811" s="30"/>
      <x:c r="N811" s="30"/>
      <x:c r="Y811" s="30"/>
      <x:c r="Z811" s="30"/>
      <x:c r="AA811" s="30"/>
      <x:c r="AB811" s="30"/>
    </x:row>
    <x:row r="812">
      <x:c r="B812" s="28"/>
      <x:c r="I812" t="str">
        <x:f>IF(OR(G812="",H812=""),"",G812+H812)</x:f>
      </x:c>
      <x:c r="J812" t="str">
        <x:f>IF(I812="","",IF(I812&gt;2.5,"OVER","UNDER"))</x:f>
      </x:c>
      <x:c r="K812" s="30"/>
      <x:c r="L812" s="30"/>
      <x:c r="M812" s="30"/>
      <x:c r="N812" s="30"/>
      <x:c r="Y812" s="30"/>
      <x:c r="Z812" s="30"/>
      <x:c r="AA812" s="30"/>
      <x:c r="AB812" s="30"/>
    </x:row>
    <x:row r="813">
      <x:c r="B813" s="28"/>
      <x:c r="I813" t="str">
        <x:f>IF(OR(G813="",H813=""),"",G813+H813)</x:f>
      </x:c>
      <x:c r="J813" t="str">
        <x:f>IF(I813="","",IF(I813&gt;2.5,"OVER","UNDER"))</x:f>
      </x:c>
      <x:c r="K813" s="30"/>
      <x:c r="L813" s="30"/>
      <x:c r="M813" s="30"/>
      <x:c r="N813" s="30"/>
      <x:c r="Y813" s="30"/>
      <x:c r="Z813" s="30"/>
      <x:c r="AA813" s="30"/>
      <x:c r="AB813" s="30"/>
    </x:row>
    <x:row r="814">
      <x:c r="B814" s="28"/>
      <x:c r="I814" t="str">
        <x:f>IF(OR(G814="",H814=""),"",G814+H814)</x:f>
      </x:c>
      <x:c r="J814" t="str">
        <x:f>IF(I814="","",IF(I814&gt;2.5,"OVER","UNDER"))</x:f>
      </x:c>
      <x:c r="K814" s="30"/>
      <x:c r="L814" s="30"/>
      <x:c r="M814" s="30"/>
      <x:c r="N814" s="30"/>
      <x:c r="Y814" s="30"/>
      <x:c r="Z814" s="30"/>
      <x:c r="AA814" s="30"/>
      <x:c r="AB814" s="30"/>
    </x:row>
    <x:row r="815">
      <x:c r="B815" s="28"/>
      <x:c r="I815" t="str">
        <x:f>IF(OR(G815="",H815=""),"",G815+H815)</x:f>
      </x:c>
      <x:c r="J815" t="str">
        <x:f>IF(I815="","",IF(I815&gt;2.5,"OVER","UNDER"))</x:f>
      </x:c>
      <x:c r="K815" s="30"/>
      <x:c r="L815" s="30"/>
      <x:c r="M815" s="30"/>
      <x:c r="N815" s="30"/>
      <x:c r="Y815" s="30"/>
      <x:c r="Z815" s="30"/>
      <x:c r="AA815" s="30"/>
      <x:c r="AB815" s="30"/>
    </x:row>
    <x:row r="816">
      <x:c r="B816" s="28"/>
      <x:c r="I816" t="str">
        <x:f>IF(OR(G816="",H816=""),"",G816+H816)</x:f>
      </x:c>
      <x:c r="J816" t="str">
        <x:f>IF(I816="","",IF(I816&gt;2.5,"OVER","UNDER"))</x:f>
      </x:c>
      <x:c r="K816" s="30"/>
      <x:c r="L816" s="30"/>
      <x:c r="M816" s="30"/>
      <x:c r="N816" s="30"/>
      <x:c r="Y816" s="30"/>
      <x:c r="Z816" s="30"/>
      <x:c r="AA816" s="30"/>
      <x:c r="AB816" s="30"/>
    </x:row>
    <x:row r="817">
      <x:c r="B817" s="28"/>
      <x:c r="I817" t="str">
        <x:f>IF(OR(G817="",H817=""),"",G817+H817)</x:f>
      </x:c>
      <x:c r="J817" t="str">
        <x:f>IF(I817="","",IF(I817&gt;2.5,"OVER","UNDER"))</x:f>
      </x:c>
      <x:c r="K817" s="30"/>
      <x:c r="L817" s="30"/>
      <x:c r="M817" s="30"/>
      <x:c r="N817" s="30"/>
      <x:c r="Y817" s="30"/>
      <x:c r="Z817" s="30"/>
      <x:c r="AA817" s="30"/>
      <x:c r="AB817" s="30"/>
    </x:row>
    <x:row r="818">
      <x:c r="B818" s="28"/>
      <x:c r="I818" t="str">
        <x:f>IF(OR(G818="",H818=""),"",G818+H818)</x:f>
      </x:c>
      <x:c r="J818" t="str">
        <x:f>IF(I818="","",IF(I818&gt;2.5,"OVER","UNDER"))</x:f>
      </x:c>
      <x:c r="K818" s="30"/>
      <x:c r="L818" s="30"/>
      <x:c r="M818" s="30"/>
      <x:c r="N818" s="30"/>
      <x:c r="Y818" s="30"/>
      <x:c r="Z818" s="30"/>
      <x:c r="AA818" s="30"/>
      <x:c r="AB818" s="30"/>
    </x:row>
    <x:row r="819">
      <x:c r="B819" s="28"/>
      <x:c r="I819" t="str">
        <x:f>IF(OR(G819="",H819=""),"",G819+H819)</x:f>
      </x:c>
      <x:c r="J819" t="str">
        <x:f>IF(I819="","",IF(I819&gt;2.5,"OVER","UNDER"))</x:f>
      </x:c>
      <x:c r="K819" s="30"/>
      <x:c r="L819" s="30"/>
      <x:c r="M819" s="30"/>
      <x:c r="N819" s="30"/>
      <x:c r="Y819" s="30"/>
      <x:c r="Z819" s="30"/>
      <x:c r="AA819" s="30"/>
      <x:c r="AB819" s="30"/>
    </x:row>
    <x:row r="820">
      <x:c r="B820" s="28"/>
      <x:c r="I820" t="str">
        <x:f>IF(OR(G820="",H820=""),"",G820+H820)</x:f>
      </x:c>
      <x:c r="J820" t="str">
        <x:f>IF(I820="","",IF(I820&gt;2.5,"OVER","UNDER"))</x:f>
      </x:c>
      <x:c r="K820" s="30"/>
      <x:c r="L820" s="30"/>
      <x:c r="M820" s="30"/>
      <x:c r="N820" s="30"/>
      <x:c r="Y820" s="30"/>
      <x:c r="Z820" s="30"/>
      <x:c r="AA820" s="30"/>
      <x:c r="AB820" s="30"/>
    </x:row>
    <x:row r="821">
      <x:c r="B821" s="28"/>
      <x:c r="I821" t="str">
        <x:f>IF(OR(G821="",H821=""),"",G821+H821)</x:f>
      </x:c>
      <x:c r="J821" t="str">
        <x:f>IF(I821="","",IF(I821&gt;2.5,"OVER","UNDER"))</x:f>
      </x:c>
      <x:c r="K821" s="30"/>
      <x:c r="L821" s="30"/>
      <x:c r="M821" s="30"/>
      <x:c r="N821" s="30"/>
      <x:c r="Y821" s="30"/>
      <x:c r="Z821" s="30"/>
      <x:c r="AA821" s="30"/>
      <x:c r="AB821" s="30"/>
    </x:row>
    <x:row r="822">
      <x:c r="B822" s="28"/>
      <x:c r="I822" t="str">
        <x:f>IF(OR(G822="",H822=""),"",G822+H822)</x:f>
      </x:c>
      <x:c r="J822" t="str">
        <x:f>IF(I822="","",IF(I822&gt;2.5,"OVER","UNDER"))</x:f>
      </x:c>
      <x:c r="K822" s="30"/>
      <x:c r="L822" s="30"/>
      <x:c r="M822" s="30"/>
      <x:c r="N822" s="30"/>
      <x:c r="Y822" s="30"/>
      <x:c r="Z822" s="30"/>
      <x:c r="AA822" s="30"/>
      <x:c r="AB822" s="30"/>
    </x:row>
    <x:row r="823">
      <x:c r="B823" s="28"/>
      <x:c r="I823" t="str">
        <x:f>IF(OR(G823="",H823=""),"",G823+H823)</x:f>
      </x:c>
      <x:c r="J823" t="str">
        <x:f>IF(I823="","",IF(I823&gt;2.5,"OVER","UNDER"))</x:f>
      </x:c>
      <x:c r="K823" s="30"/>
      <x:c r="L823" s="30"/>
      <x:c r="M823" s="30"/>
      <x:c r="N823" s="30"/>
      <x:c r="Y823" s="30"/>
      <x:c r="Z823" s="30"/>
      <x:c r="AA823" s="30"/>
      <x:c r="AB823" s="30"/>
    </x:row>
    <x:row r="824">
      <x:c r="B824" s="28"/>
      <x:c r="I824" t="str">
        <x:f>IF(OR(G824="",H824=""),"",G824+H824)</x:f>
      </x:c>
      <x:c r="J824" t="str">
        <x:f>IF(I824="","",IF(I824&gt;2.5,"OVER","UNDER"))</x:f>
      </x:c>
      <x:c r="K824" s="30"/>
      <x:c r="L824" s="30"/>
      <x:c r="M824" s="30"/>
      <x:c r="N824" s="30"/>
      <x:c r="Y824" s="30"/>
      <x:c r="Z824" s="30"/>
      <x:c r="AA824" s="30"/>
      <x:c r="AB824" s="30"/>
    </x:row>
    <x:row r="825">
      <x:c r="B825" s="28"/>
      <x:c r="I825" t="str">
        <x:f>IF(OR(G825="",H825=""),"",G825+H825)</x:f>
      </x:c>
      <x:c r="J825" t="str">
        <x:f>IF(I825="","",IF(I825&gt;2.5,"OVER","UNDER"))</x:f>
      </x:c>
      <x:c r="K825" s="30"/>
      <x:c r="L825" s="30"/>
      <x:c r="M825" s="30"/>
      <x:c r="N825" s="30"/>
      <x:c r="Y825" s="30"/>
      <x:c r="Z825" s="30"/>
      <x:c r="AA825" s="30"/>
      <x:c r="AB825" s="30"/>
    </x:row>
    <x:row r="826">
      <x:c r="B826" s="28"/>
      <x:c r="I826" t="str">
        <x:f>IF(OR(G826="",H826=""),"",G826+H826)</x:f>
      </x:c>
      <x:c r="J826" t="str">
        <x:f>IF(I826="","",IF(I826&gt;2.5,"OVER","UNDER"))</x:f>
      </x:c>
      <x:c r="K826" s="30"/>
      <x:c r="L826" s="30"/>
      <x:c r="M826" s="30"/>
      <x:c r="N826" s="30"/>
      <x:c r="Y826" s="30"/>
      <x:c r="Z826" s="30"/>
      <x:c r="AA826" s="30"/>
      <x:c r="AB826" s="30"/>
    </x:row>
    <x:row r="827">
      <x:c r="B827" s="28"/>
      <x:c r="I827" t="str">
        <x:f>IF(OR(G827="",H827=""),"",G827+H827)</x:f>
      </x:c>
      <x:c r="J827" t="str">
        <x:f>IF(I827="","",IF(I827&gt;2.5,"OVER","UNDER"))</x:f>
      </x:c>
      <x:c r="K827" s="30"/>
      <x:c r="L827" s="30"/>
      <x:c r="M827" s="30"/>
      <x:c r="N827" s="30"/>
      <x:c r="Y827" s="30"/>
      <x:c r="Z827" s="30"/>
      <x:c r="AA827" s="30"/>
      <x:c r="AB827" s="30"/>
    </x:row>
    <x:row r="828">
      <x:c r="B828" s="28"/>
      <x:c r="I828" t="str">
        <x:f>IF(OR(G828="",H828=""),"",G828+H828)</x:f>
      </x:c>
      <x:c r="J828" t="str">
        <x:f>IF(I828="","",IF(I828&gt;2.5,"OVER","UNDER"))</x:f>
      </x:c>
      <x:c r="K828" s="30"/>
      <x:c r="L828" s="30"/>
      <x:c r="M828" s="30"/>
      <x:c r="N828" s="30"/>
      <x:c r="Y828" s="30"/>
      <x:c r="Z828" s="30"/>
      <x:c r="AA828" s="30"/>
      <x:c r="AB828" s="30"/>
    </x:row>
    <x:row r="829">
      <x:c r="B829" s="28"/>
      <x:c r="I829" t="str">
        <x:f>IF(OR(G829="",H829=""),"",G829+H829)</x:f>
      </x:c>
      <x:c r="J829" t="str">
        <x:f>IF(I829="","",IF(I829&gt;2.5,"OVER","UNDER"))</x:f>
      </x:c>
      <x:c r="K829" s="30"/>
      <x:c r="L829" s="30"/>
      <x:c r="M829" s="30"/>
      <x:c r="N829" s="30"/>
      <x:c r="Y829" s="30"/>
      <x:c r="Z829" s="30"/>
      <x:c r="AA829" s="30"/>
      <x:c r="AB829" s="30"/>
    </x:row>
    <x:row r="830">
      <x:c r="B830" s="28"/>
      <x:c r="I830" t="str">
        <x:f>IF(OR(G830="",H830=""),"",G830+H830)</x:f>
      </x:c>
      <x:c r="J830" t="str">
        <x:f>IF(I830="","",IF(I830&gt;2.5,"OVER","UNDER"))</x:f>
      </x:c>
      <x:c r="K830" s="30"/>
      <x:c r="L830" s="30"/>
      <x:c r="M830" s="30"/>
      <x:c r="N830" s="30"/>
      <x:c r="Y830" s="30"/>
      <x:c r="Z830" s="30"/>
      <x:c r="AA830" s="30"/>
      <x:c r="AB830" s="30"/>
    </x:row>
    <x:row r="831">
      <x:c r="B831" s="28"/>
      <x:c r="I831" t="str">
        <x:f>IF(OR(G831="",H831=""),"",G831+H831)</x:f>
      </x:c>
      <x:c r="J831" t="str">
        <x:f>IF(I831="","",IF(I831&gt;2.5,"OVER","UNDER"))</x:f>
      </x:c>
      <x:c r="K831" s="30"/>
      <x:c r="L831" s="30"/>
      <x:c r="M831" s="30"/>
      <x:c r="N831" s="30"/>
      <x:c r="Y831" s="30"/>
      <x:c r="Z831" s="30"/>
      <x:c r="AA831" s="30"/>
      <x:c r="AB831" s="30"/>
    </x:row>
    <x:row r="832">
      <x:c r="B832" s="28"/>
      <x:c r="I832" t="str">
        <x:f>IF(OR(G832="",H832=""),"",G832+H832)</x:f>
      </x:c>
      <x:c r="J832" t="str">
        <x:f>IF(I832="","",IF(I832&gt;2.5,"OVER","UNDER"))</x:f>
      </x:c>
      <x:c r="K832" s="30"/>
      <x:c r="L832" s="30"/>
      <x:c r="M832" s="30"/>
      <x:c r="N832" s="30"/>
      <x:c r="Y832" s="30"/>
      <x:c r="Z832" s="30"/>
      <x:c r="AA832" s="30"/>
      <x:c r="AB832" s="30"/>
    </x:row>
    <x:row r="833">
      <x:c r="B833" s="28"/>
      <x:c r="I833" t="str">
        <x:f>IF(OR(G833="",H833=""),"",G833+H833)</x:f>
      </x:c>
      <x:c r="J833" t="str">
        <x:f>IF(I833="","",IF(I833&gt;2.5,"OVER","UNDER"))</x:f>
      </x:c>
      <x:c r="K833" s="30"/>
      <x:c r="L833" s="30"/>
      <x:c r="M833" s="30"/>
      <x:c r="N833" s="30"/>
      <x:c r="Y833" s="30"/>
      <x:c r="Z833" s="30"/>
      <x:c r="AA833" s="30"/>
      <x:c r="AB833" s="30"/>
    </x:row>
    <x:row r="834">
      <x:c r="B834" s="28"/>
      <x:c r="I834" t="str">
        <x:f>IF(OR(G834="",H834=""),"",G834+H834)</x:f>
      </x:c>
      <x:c r="J834" t="str">
        <x:f>IF(I834="","",IF(I834&gt;2.5,"OVER","UNDER"))</x:f>
      </x:c>
      <x:c r="K834" s="30"/>
      <x:c r="L834" s="30"/>
      <x:c r="M834" s="30"/>
      <x:c r="N834" s="30"/>
      <x:c r="Y834" s="30"/>
      <x:c r="Z834" s="30"/>
      <x:c r="AA834" s="30"/>
      <x:c r="AB834" s="30"/>
    </x:row>
    <x:row r="835">
      <x:c r="B835" s="28"/>
      <x:c r="I835" t="str">
        <x:f>IF(OR(G835="",H835=""),"",G835+H835)</x:f>
      </x:c>
      <x:c r="J835" t="str">
        <x:f>IF(I835="","",IF(I835&gt;2.5,"OVER","UNDER"))</x:f>
      </x:c>
      <x:c r="K835" s="30"/>
      <x:c r="L835" s="30"/>
      <x:c r="M835" s="30"/>
      <x:c r="N835" s="30"/>
      <x:c r="Y835" s="30"/>
      <x:c r="Z835" s="30"/>
      <x:c r="AA835" s="30"/>
      <x:c r="AB835" s="30"/>
    </x:row>
    <x:row r="836">
      <x:c r="B836" s="28"/>
      <x:c r="I836" t="str">
        <x:f>IF(OR(G836="",H836=""),"",G836+H836)</x:f>
      </x:c>
      <x:c r="J836" t="str">
        <x:f>IF(I836="","",IF(I836&gt;2.5,"OVER","UNDER"))</x:f>
      </x:c>
      <x:c r="K836" s="30"/>
      <x:c r="L836" s="30"/>
      <x:c r="M836" s="30"/>
      <x:c r="N836" s="30"/>
      <x:c r="Y836" s="30"/>
      <x:c r="Z836" s="30"/>
      <x:c r="AA836" s="30"/>
      <x:c r="AB836" s="30"/>
    </x:row>
    <x:row r="837">
      <x:c r="B837" s="28"/>
      <x:c r="I837" t="str">
        <x:f>IF(OR(G837="",H837=""),"",G837+H837)</x:f>
      </x:c>
      <x:c r="J837" t="str">
        <x:f>IF(I837="","",IF(I837&gt;2.5,"OVER","UNDER"))</x:f>
      </x:c>
      <x:c r="K837" s="30"/>
      <x:c r="L837" s="30"/>
      <x:c r="M837" s="30"/>
      <x:c r="N837" s="30"/>
      <x:c r="Y837" s="30"/>
      <x:c r="Z837" s="30"/>
      <x:c r="AA837" s="30"/>
      <x:c r="AB837" s="30"/>
    </x:row>
    <x:row r="838">
      <x:c r="B838" s="28"/>
      <x:c r="I838" t="str">
        <x:f>IF(OR(G838="",H838=""),"",G838+H838)</x:f>
      </x:c>
      <x:c r="J838" t="str">
        <x:f>IF(I838="","",IF(I838&gt;2.5,"OVER","UNDER"))</x:f>
      </x:c>
      <x:c r="K838" s="30"/>
      <x:c r="L838" s="30"/>
      <x:c r="M838" s="30"/>
      <x:c r="N838" s="30"/>
      <x:c r="Y838" s="30"/>
      <x:c r="Z838" s="30"/>
      <x:c r="AA838" s="30"/>
      <x:c r="AB838" s="30"/>
    </x:row>
    <x:row r="839">
      <x:c r="B839" s="28"/>
      <x:c r="I839" t="str">
        <x:f>IF(OR(G839="",H839=""),"",G839+H839)</x:f>
      </x:c>
      <x:c r="J839" t="str">
        <x:f>IF(I839="","",IF(I839&gt;2.5,"OVER","UNDER"))</x:f>
      </x:c>
      <x:c r="K839" s="30"/>
      <x:c r="L839" s="30"/>
      <x:c r="M839" s="30"/>
      <x:c r="N839" s="30"/>
      <x:c r="Y839" s="30"/>
      <x:c r="Z839" s="30"/>
      <x:c r="AA839" s="30"/>
      <x:c r="AB839" s="30"/>
    </x:row>
    <x:row r="840">
      <x:c r="B840" s="28"/>
      <x:c r="I840" t="str">
        <x:f>IF(OR(G840="",H840=""),"",G840+H840)</x:f>
      </x:c>
      <x:c r="J840" t="str">
        <x:f>IF(I840="","",IF(I840&gt;2.5,"OVER","UNDER"))</x:f>
      </x:c>
      <x:c r="K840" s="30"/>
      <x:c r="L840" s="30"/>
      <x:c r="M840" s="30"/>
      <x:c r="N840" s="30"/>
      <x:c r="Y840" s="30"/>
      <x:c r="Z840" s="30"/>
      <x:c r="AA840" s="30"/>
      <x:c r="AB840" s="30"/>
    </x:row>
    <x:row r="841">
      <x:c r="B841" s="28"/>
      <x:c r="I841" t="str">
        <x:f>IF(OR(G841="",H841=""),"",G841+H841)</x:f>
      </x:c>
      <x:c r="J841" t="str">
        <x:f>IF(I841="","",IF(I841&gt;2.5,"OVER","UNDER"))</x:f>
      </x:c>
      <x:c r="K841" s="30"/>
      <x:c r="L841" s="30"/>
      <x:c r="M841" s="30"/>
      <x:c r="N841" s="30"/>
      <x:c r="Y841" s="30"/>
      <x:c r="Z841" s="30"/>
      <x:c r="AA841" s="30"/>
      <x:c r="AB841" s="30"/>
    </x:row>
    <x:row r="842">
      <x:c r="B842" s="28"/>
      <x:c r="I842" t="str">
        <x:f>IF(OR(G842="",H842=""),"",G842+H842)</x:f>
      </x:c>
      <x:c r="J842" t="str">
        <x:f>IF(I842="","",IF(I842&gt;2.5,"OVER","UNDER"))</x:f>
      </x:c>
      <x:c r="K842" s="30"/>
      <x:c r="L842" s="30"/>
      <x:c r="M842" s="30"/>
      <x:c r="N842" s="30"/>
      <x:c r="Y842" s="30"/>
      <x:c r="Z842" s="30"/>
      <x:c r="AA842" s="30"/>
      <x:c r="AB842" s="30"/>
    </x:row>
    <x:row r="843">
      <x:c r="B843" s="28"/>
      <x:c r="I843" t="str">
        <x:f>IF(OR(G843="",H843=""),"",G843+H843)</x:f>
      </x:c>
      <x:c r="J843" t="str">
        <x:f>IF(I843="","",IF(I843&gt;2.5,"OVER","UNDER"))</x:f>
      </x:c>
      <x:c r="K843" s="30"/>
      <x:c r="L843" s="30"/>
      <x:c r="M843" s="30"/>
      <x:c r="N843" s="30"/>
      <x:c r="Y843" s="30"/>
      <x:c r="Z843" s="30"/>
      <x:c r="AA843" s="30"/>
      <x:c r="AB843" s="30"/>
    </x:row>
    <x:row r="844">
      <x:c r="B844" s="28"/>
      <x:c r="I844" t="str">
        <x:f>IF(OR(G844="",H844=""),"",G844+H844)</x:f>
      </x:c>
      <x:c r="J844" t="str">
        <x:f>IF(I844="","",IF(I844&gt;2.5,"OVER","UNDER"))</x:f>
      </x:c>
      <x:c r="K844" s="30"/>
      <x:c r="L844" s="30"/>
      <x:c r="M844" s="30"/>
      <x:c r="N844" s="30"/>
      <x:c r="Y844" s="30"/>
      <x:c r="Z844" s="30"/>
      <x:c r="AA844" s="30"/>
      <x:c r="AB844" s="30"/>
    </x:row>
    <x:row r="845">
      <x:c r="B845" s="28"/>
      <x:c r="I845" t="str">
        <x:f>IF(OR(G845="",H845=""),"",G845+H845)</x:f>
      </x:c>
      <x:c r="J845" t="str">
        <x:f>IF(I845="","",IF(I845&gt;2.5,"OVER","UNDER"))</x:f>
      </x:c>
      <x:c r="K845" s="30"/>
      <x:c r="L845" s="30"/>
      <x:c r="M845" s="30"/>
      <x:c r="N845" s="30"/>
      <x:c r="Y845" s="30"/>
      <x:c r="Z845" s="30"/>
      <x:c r="AA845" s="30"/>
      <x:c r="AB845" s="30"/>
    </x:row>
    <x:row r="846">
      <x:c r="B846" s="28"/>
      <x:c r="I846" t="str">
        <x:f>IF(OR(G846="",H846=""),"",G846+H846)</x:f>
      </x:c>
      <x:c r="J846" t="str">
        <x:f>IF(I846="","",IF(I846&gt;2.5,"OVER","UNDER"))</x:f>
      </x:c>
      <x:c r="K846" s="30"/>
      <x:c r="L846" s="30"/>
      <x:c r="M846" s="30"/>
      <x:c r="N846" s="30"/>
      <x:c r="Y846" s="30"/>
      <x:c r="Z846" s="30"/>
      <x:c r="AA846" s="30"/>
      <x:c r="AB846" s="30"/>
    </x:row>
    <x:row r="847">
      <x:c r="B847" s="28"/>
      <x:c r="I847" t="str">
        <x:f>IF(OR(G847="",H847=""),"",G847+H847)</x:f>
      </x:c>
      <x:c r="J847" t="str">
        <x:f>IF(I847="","",IF(I847&gt;2.5,"OVER","UNDER"))</x:f>
      </x:c>
      <x:c r="K847" s="30"/>
      <x:c r="L847" s="30"/>
      <x:c r="M847" s="30"/>
      <x:c r="N847" s="30"/>
      <x:c r="Y847" s="30"/>
      <x:c r="Z847" s="30"/>
      <x:c r="AA847" s="30"/>
      <x:c r="AB847" s="30"/>
    </x:row>
    <x:row r="848">
      <x:c r="B848" s="28"/>
      <x:c r="I848" t="str">
        <x:f>IF(OR(G848="",H848=""),"",G848+H848)</x:f>
      </x:c>
      <x:c r="J848" t="str">
        <x:f>IF(I848="","",IF(I848&gt;2.5,"OVER","UNDER"))</x:f>
      </x:c>
      <x:c r="K848" s="30"/>
      <x:c r="L848" s="30"/>
      <x:c r="M848" s="30"/>
      <x:c r="N848" s="30"/>
      <x:c r="Y848" s="30"/>
      <x:c r="Z848" s="30"/>
      <x:c r="AA848" s="30"/>
      <x:c r="AB848" s="30"/>
    </x:row>
    <x:row r="849">
      <x:c r="B849" s="28"/>
      <x:c r="I849" t="str">
        <x:f>IF(OR(G849="",H849=""),"",G849+H849)</x:f>
      </x:c>
      <x:c r="J849" t="str">
        <x:f>IF(I849="","",IF(I849&gt;2.5,"OVER","UNDER"))</x:f>
      </x:c>
      <x:c r="K849" s="30"/>
      <x:c r="L849" s="30"/>
      <x:c r="M849" s="30"/>
      <x:c r="N849" s="30"/>
      <x:c r="Y849" s="30"/>
      <x:c r="Z849" s="30"/>
      <x:c r="AA849" s="30"/>
      <x:c r="AB849" s="30"/>
    </x:row>
    <x:row r="850">
      <x:c r="B850" s="28"/>
      <x:c r="I850" t="str">
        <x:f>IF(OR(G850="",H850=""),"",G850+H850)</x:f>
      </x:c>
      <x:c r="J850" t="str">
        <x:f>IF(I850="","",IF(I850&gt;2.5,"OVER","UNDER"))</x:f>
      </x:c>
      <x:c r="K850" s="30"/>
      <x:c r="L850" s="30"/>
      <x:c r="M850" s="30"/>
      <x:c r="N850" s="30"/>
      <x:c r="Y850" s="30"/>
      <x:c r="Z850" s="30"/>
      <x:c r="AA850" s="30"/>
      <x:c r="AB850" s="30"/>
    </x:row>
    <x:row r="851">
      <x:c r="B851" s="28"/>
      <x:c r="I851" t="str">
        <x:f>IF(OR(G851="",H851=""),"",G851+H851)</x:f>
      </x:c>
      <x:c r="J851" t="str">
        <x:f>IF(I851="","",IF(I851&gt;2.5,"OVER","UNDER"))</x:f>
      </x:c>
      <x:c r="K851" s="30"/>
      <x:c r="L851" s="30"/>
      <x:c r="M851" s="30"/>
      <x:c r="N851" s="30"/>
      <x:c r="Y851" s="30"/>
      <x:c r="Z851" s="30"/>
      <x:c r="AA851" s="30"/>
      <x:c r="AB851" s="30"/>
    </x:row>
    <x:row r="852">
      <x:c r="B852" s="28"/>
      <x:c r="I852" t="str">
        <x:f>IF(OR(G852="",H852=""),"",G852+H852)</x:f>
      </x:c>
      <x:c r="J852" t="str">
        <x:f>IF(I852="","",IF(I852&gt;2.5,"OVER","UNDER"))</x:f>
      </x:c>
      <x:c r="K852" s="30"/>
      <x:c r="L852" s="30"/>
      <x:c r="M852" s="30"/>
      <x:c r="N852" s="30"/>
      <x:c r="Y852" s="30"/>
      <x:c r="Z852" s="30"/>
      <x:c r="AA852" s="30"/>
      <x:c r="AB852" s="30"/>
    </x:row>
    <x:row r="853">
      <x:c r="B853" s="28"/>
      <x:c r="I853" t="str">
        <x:f>IF(OR(G853="",H853=""),"",G853+H853)</x:f>
      </x:c>
      <x:c r="J853" t="str">
        <x:f>IF(I853="","",IF(I853&gt;2.5,"OVER","UNDER"))</x:f>
      </x:c>
      <x:c r="K853" s="30"/>
      <x:c r="L853" s="30"/>
      <x:c r="M853" s="30"/>
      <x:c r="N853" s="30"/>
      <x:c r="Y853" s="30"/>
      <x:c r="Z853" s="30"/>
      <x:c r="AA853" s="30"/>
      <x:c r="AB853" s="30"/>
    </x:row>
    <x:row r="854">
      <x:c r="B854" s="28"/>
      <x:c r="I854" t="str">
        <x:f>IF(OR(G854="",H854=""),"",G854+H854)</x:f>
      </x:c>
      <x:c r="J854" t="str">
        <x:f>IF(I854="","",IF(I854&gt;2.5,"OVER","UNDER"))</x:f>
      </x:c>
      <x:c r="K854" s="30"/>
      <x:c r="L854" s="30"/>
      <x:c r="M854" s="30"/>
      <x:c r="N854" s="30"/>
      <x:c r="Y854" s="30"/>
      <x:c r="Z854" s="30"/>
      <x:c r="AA854" s="30"/>
      <x:c r="AB854" s="30"/>
    </x:row>
    <x:row r="855">
      <x:c r="B855" s="28"/>
      <x:c r="I855" t="str">
        <x:f>IF(OR(G855="",H855=""),"",G855+H855)</x:f>
      </x:c>
      <x:c r="J855" t="str">
        <x:f>IF(I855="","",IF(I855&gt;2.5,"OVER","UNDER"))</x:f>
      </x:c>
      <x:c r="K855" s="30"/>
      <x:c r="L855" s="30"/>
      <x:c r="M855" s="30"/>
      <x:c r="N855" s="30"/>
      <x:c r="Y855" s="30"/>
      <x:c r="Z855" s="30"/>
      <x:c r="AA855" s="30"/>
      <x:c r="AB855" s="30"/>
    </x:row>
    <x:row r="856">
      <x:c r="B856" s="28"/>
      <x:c r="I856" t="str">
        <x:f>IF(OR(G856="",H856=""),"",G856+H856)</x:f>
      </x:c>
      <x:c r="J856" t="str">
        <x:f>IF(I856="","",IF(I856&gt;2.5,"OVER","UNDER"))</x:f>
      </x:c>
      <x:c r="K856" s="30"/>
      <x:c r="L856" s="30"/>
      <x:c r="M856" s="30"/>
      <x:c r="N856" s="30"/>
      <x:c r="Y856" s="30"/>
      <x:c r="Z856" s="30"/>
      <x:c r="AA856" s="30"/>
      <x:c r="AB856" s="30"/>
    </x:row>
    <x:row r="857">
      <x:c r="B857" s="28"/>
      <x:c r="I857" t="str">
        <x:f>IF(OR(G857="",H857=""),"",G857+H857)</x:f>
      </x:c>
      <x:c r="J857" t="str">
        <x:f>IF(I857="","",IF(I857&gt;2.5,"OVER","UNDER"))</x:f>
      </x:c>
      <x:c r="K857" s="30"/>
      <x:c r="L857" s="30"/>
      <x:c r="M857" s="30"/>
      <x:c r="N857" s="30"/>
      <x:c r="Y857" s="30"/>
      <x:c r="Z857" s="30"/>
      <x:c r="AA857" s="30"/>
      <x:c r="AB857" s="30"/>
    </x:row>
    <x:row r="858">
      <x:c r="B858" s="28"/>
      <x:c r="I858" t="str">
        <x:f>IF(OR(G858="",H858=""),"",G858+H858)</x:f>
      </x:c>
      <x:c r="J858" t="str">
        <x:f>IF(I858="","",IF(I858&gt;2.5,"OVER","UNDER"))</x:f>
      </x:c>
      <x:c r="K858" s="30"/>
      <x:c r="L858" s="30"/>
      <x:c r="M858" s="30"/>
      <x:c r="N858" s="30"/>
      <x:c r="Y858" s="30"/>
      <x:c r="Z858" s="30"/>
      <x:c r="AA858" s="30"/>
      <x:c r="AB858" s="30"/>
    </x:row>
    <x:row r="859">
      <x:c r="B859" s="28"/>
      <x:c r="I859" t="str">
        <x:f>IF(OR(G859="",H859=""),"",G859+H859)</x:f>
      </x:c>
      <x:c r="J859" t="str">
        <x:f>IF(I859="","",IF(I859&gt;2.5,"OVER","UNDER"))</x:f>
      </x:c>
      <x:c r="K859" s="30"/>
      <x:c r="L859" s="30"/>
      <x:c r="M859" s="30"/>
      <x:c r="N859" s="30"/>
      <x:c r="Y859" s="30"/>
      <x:c r="Z859" s="30"/>
      <x:c r="AA859" s="30"/>
      <x:c r="AB859" s="30"/>
    </x:row>
    <x:row r="860">
      <x:c r="B860" s="28"/>
      <x:c r="I860" t="str">
        <x:f>IF(OR(G860="",H860=""),"",G860+H860)</x:f>
      </x:c>
      <x:c r="J860" t="str">
        <x:f>IF(I860="","",IF(I860&gt;2.5,"OVER","UNDER"))</x:f>
      </x:c>
      <x:c r="K860" s="30"/>
      <x:c r="L860" s="30"/>
      <x:c r="M860" s="30"/>
      <x:c r="N860" s="30"/>
      <x:c r="Y860" s="30"/>
      <x:c r="Z860" s="30"/>
      <x:c r="AA860" s="30"/>
      <x:c r="AB860" s="30"/>
    </x:row>
    <x:row r="861">
      <x:c r="B861" s="28"/>
      <x:c r="I861" t="str">
        <x:f>IF(OR(G861="",H861=""),"",G861+H861)</x:f>
      </x:c>
      <x:c r="J861" t="str">
        <x:f>IF(I861="","",IF(I861&gt;2.5,"OVER","UNDER"))</x:f>
      </x:c>
      <x:c r="K861" s="30"/>
      <x:c r="L861" s="30"/>
      <x:c r="M861" s="30"/>
      <x:c r="N861" s="30"/>
      <x:c r="Y861" s="30"/>
      <x:c r="Z861" s="30"/>
      <x:c r="AA861" s="30"/>
      <x:c r="AB861" s="30"/>
    </x:row>
    <x:row r="862">
      <x:c r="B862" s="28"/>
      <x:c r="I862" t="str">
        <x:f>IF(OR(G862="",H862=""),"",G862+H862)</x:f>
      </x:c>
      <x:c r="J862" t="str">
        <x:f>IF(I862="","",IF(I862&gt;2.5,"OVER","UNDER"))</x:f>
      </x:c>
      <x:c r="K862" s="30"/>
      <x:c r="L862" s="30"/>
      <x:c r="M862" s="30"/>
      <x:c r="N862" s="30"/>
      <x:c r="Y862" s="30"/>
      <x:c r="Z862" s="30"/>
      <x:c r="AA862" s="30"/>
      <x:c r="AB862" s="30"/>
    </x:row>
    <x:row r="863">
      <x:c r="B863" s="28"/>
      <x:c r="I863" t="str">
        <x:f>IF(OR(G863="",H863=""),"",G863+H863)</x:f>
      </x:c>
      <x:c r="J863" t="str">
        <x:f>IF(I863="","",IF(I863&gt;2.5,"OVER","UNDER"))</x:f>
      </x:c>
      <x:c r="K863" s="30"/>
      <x:c r="L863" s="30"/>
      <x:c r="M863" s="30"/>
      <x:c r="N863" s="30"/>
      <x:c r="Y863" s="30"/>
      <x:c r="Z863" s="30"/>
      <x:c r="AA863" s="30"/>
      <x:c r="AB863" s="30"/>
    </x:row>
    <x:row r="864">
      <x:c r="B864" s="28"/>
      <x:c r="I864" t="str">
        <x:f>IF(OR(G864="",H864=""),"",G864+H864)</x:f>
      </x:c>
      <x:c r="J864" t="str">
        <x:f>IF(I864="","",IF(I864&gt;2.5,"OVER","UNDER"))</x:f>
      </x:c>
      <x:c r="K864" s="30"/>
      <x:c r="L864" s="30"/>
      <x:c r="M864" s="30"/>
      <x:c r="N864" s="30"/>
      <x:c r="Y864" s="30"/>
      <x:c r="Z864" s="30"/>
      <x:c r="AA864" s="30"/>
      <x:c r="AB864" s="30"/>
    </x:row>
    <x:row r="865">
      <x:c r="B865" s="28"/>
      <x:c r="I865" t="str">
        <x:f>IF(OR(G865="",H865=""),"",G865+H865)</x:f>
      </x:c>
      <x:c r="J865" t="str">
        <x:f>IF(I865="","",IF(I865&gt;2.5,"OVER","UNDER"))</x:f>
      </x:c>
      <x:c r="K865" s="30"/>
      <x:c r="L865" s="30"/>
      <x:c r="M865" s="30"/>
      <x:c r="N865" s="30"/>
      <x:c r="Y865" s="30"/>
      <x:c r="Z865" s="30"/>
      <x:c r="AA865" s="30"/>
      <x:c r="AB865" s="30"/>
    </x:row>
    <x:row r="866">
      <x:c r="B866" s="28"/>
      <x:c r="I866" t="str">
        <x:f>IF(OR(G866="",H866=""),"",G866+H866)</x:f>
      </x:c>
      <x:c r="J866" t="str">
        <x:f>IF(I866="","",IF(I866&gt;2.5,"OVER","UNDER"))</x:f>
      </x:c>
      <x:c r="K866" s="30"/>
      <x:c r="L866" s="30"/>
      <x:c r="M866" s="30"/>
      <x:c r="N866" s="30"/>
      <x:c r="Y866" s="30"/>
      <x:c r="Z866" s="30"/>
      <x:c r="AA866" s="30"/>
      <x:c r="AB866" s="30"/>
    </x:row>
    <x:row r="867">
      <x:c r="B867" s="28"/>
      <x:c r="I867" t="str">
        <x:f>IF(OR(G867="",H867=""),"",G867+H867)</x:f>
      </x:c>
      <x:c r="J867" t="str">
        <x:f>IF(I867="","",IF(I867&gt;2.5,"OVER","UNDER"))</x:f>
      </x:c>
      <x:c r="K867" s="30"/>
      <x:c r="L867" s="30"/>
      <x:c r="M867" s="30"/>
      <x:c r="N867" s="30"/>
      <x:c r="Y867" s="30"/>
      <x:c r="Z867" s="30"/>
      <x:c r="AA867" s="30"/>
      <x:c r="AB867" s="30"/>
    </x:row>
    <x:row r="868">
      <x:c r="B868" s="28"/>
      <x:c r="I868" t="str">
        <x:f>IF(OR(G868="",H868=""),"",G868+H868)</x:f>
      </x:c>
      <x:c r="J868" t="str">
        <x:f>IF(I868="","",IF(I868&gt;2.5,"OVER","UNDER"))</x:f>
      </x:c>
      <x:c r="K868" s="30"/>
      <x:c r="L868" s="30"/>
      <x:c r="M868" s="30"/>
      <x:c r="N868" s="30"/>
      <x:c r="Y868" s="30"/>
      <x:c r="Z868" s="30"/>
      <x:c r="AA868" s="30"/>
      <x:c r="AB868" s="30"/>
    </x:row>
    <x:row r="869">
      <x:c r="B869" s="28"/>
      <x:c r="I869" t="str">
        <x:f>IF(OR(G869="",H869=""),"",G869+H869)</x:f>
      </x:c>
      <x:c r="J869" t="str">
        <x:f>IF(I869="","",IF(I869&gt;2.5,"OVER","UNDER"))</x:f>
      </x:c>
      <x:c r="K869" s="30"/>
      <x:c r="L869" s="30"/>
      <x:c r="M869" s="30"/>
      <x:c r="N869" s="30"/>
      <x:c r="Y869" s="30"/>
      <x:c r="Z869" s="30"/>
      <x:c r="AA869" s="30"/>
      <x:c r="AB869" s="30"/>
    </x:row>
    <x:row r="870">
      <x:c r="B870" s="28"/>
      <x:c r="I870" t="str">
        <x:f>IF(OR(G870="",H870=""),"",G870+H870)</x:f>
      </x:c>
      <x:c r="J870" t="str">
        <x:f>IF(I870="","",IF(I870&gt;2.5,"OVER","UNDER"))</x:f>
      </x:c>
      <x:c r="K870" s="30"/>
      <x:c r="L870" s="30"/>
      <x:c r="M870" s="30"/>
      <x:c r="N870" s="30"/>
      <x:c r="Y870" s="30"/>
      <x:c r="Z870" s="30"/>
      <x:c r="AA870" s="30"/>
      <x:c r="AB870" s="30"/>
    </x:row>
    <x:row r="871">
      <x:c r="B871" s="28"/>
      <x:c r="I871" t="str">
        <x:f>IF(OR(G871="",H871=""),"",G871+H871)</x:f>
      </x:c>
      <x:c r="J871" t="str">
        <x:f>IF(I871="","",IF(I871&gt;2.5,"OVER","UNDER"))</x:f>
      </x:c>
      <x:c r="K871" s="30"/>
      <x:c r="L871" s="30"/>
      <x:c r="M871" s="30"/>
      <x:c r="N871" s="30"/>
      <x:c r="Y871" s="30"/>
      <x:c r="Z871" s="30"/>
      <x:c r="AA871" s="30"/>
      <x:c r="AB871" s="30"/>
    </x:row>
    <x:row r="872">
      <x:c r="B872" s="28"/>
      <x:c r="I872" t="str">
        <x:f>IF(OR(G872="",H872=""),"",G872+H872)</x:f>
      </x:c>
      <x:c r="J872" t="str">
        <x:f>IF(I872="","",IF(I872&gt;2.5,"OVER","UNDER"))</x:f>
      </x:c>
      <x:c r="K872" s="30"/>
      <x:c r="L872" s="30"/>
      <x:c r="M872" s="30"/>
      <x:c r="N872" s="30"/>
      <x:c r="Y872" s="30"/>
      <x:c r="Z872" s="30"/>
      <x:c r="AA872" s="30"/>
      <x:c r="AB872" s="30"/>
    </x:row>
    <x:row r="873">
      <x:c r="B873" s="28"/>
      <x:c r="I873" t="str">
        <x:f>IF(OR(G873="",H873=""),"",G873+H873)</x:f>
      </x:c>
      <x:c r="J873" t="str">
        <x:f>IF(I873="","",IF(I873&gt;2.5,"OVER","UNDER"))</x:f>
      </x:c>
      <x:c r="K873" s="30"/>
      <x:c r="L873" s="30"/>
      <x:c r="M873" s="30"/>
      <x:c r="N873" s="30"/>
      <x:c r="Y873" s="30"/>
      <x:c r="Z873" s="30"/>
      <x:c r="AA873" s="30"/>
      <x:c r="AB873" s="30"/>
    </x:row>
    <x:row r="874">
      <x:c r="B874" s="28"/>
      <x:c r="I874" t="str">
        <x:f>IF(OR(G874="",H874=""),"",G874+H874)</x:f>
      </x:c>
      <x:c r="J874" t="str">
        <x:f>IF(I874="","",IF(I874&gt;2.5,"OVER","UNDER"))</x:f>
      </x:c>
      <x:c r="K874" s="30"/>
      <x:c r="L874" s="30"/>
      <x:c r="M874" s="30"/>
      <x:c r="N874" s="30"/>
      <x:c r="Y874" s="30"/>
      <x:c r="Z874" s="30"/>
      <x:c r="AA874" s="30"/>
      <x:c r="AB874" s="30"/>
    </x:row>
    <x:row r="875">
      <x:c r="B875" s="28"/>
      <x:c r="I875" t="str">
        <x:f>IF(OR(G875="",H875=""),"",G875+H875)</x:f>
      </x:c>
      <x:c r="J875" t="str">
        <x:f>IF(I875="","",IF(I875&gt;2.5,"OVER","UNDER"))</x:f>
      </x:c>
      <x:c r="K875" s="30"/>
      <x:c r="L875" s="30"/>
      <x:c r="M875" s="30"/>
      <x:c r="N875" s="30"/>
      <x:c r="Y875" s="30"/>
      <x:c r="Z875" s="30"/>
      <x:c r="AA875" s="30"/>
      <x:c r="AB875" s="30"/>
    </x:row>
    <x:row r="876">
      <x:c r="B876" s="28"/>
      <x:c r="I876" t="str">
        <x:f>IF(OR(G876="",H876=""),"",G876+H876)</x:f>
      </x:c>
      <x:c r="J876" t="str">
        <x:f>IF(I876="","",IF(I876&gt;2.5,"OVER","UNDER"))</x:f>
      </x:c>
      <x:c r="K876" s="30"/>
      <x:c r="L876" s="30"/>
      <x:c r="M876" s="30"/>
      <x:c r="N876" s="30"/>
      <x:c r="Y876" s="30"/>
      <x:c r="Z876" s="30"/>
      <x:c r="AA876" s="30"/>
      <x:c r="AB876" s="30"/>
    </x:row>
    <x:row r="877">
      <x:c r="B877" s="28"/>
      <x:c r="I877" t="str">
        <x:f>IF(OR(G877="",H877=""),"",G877+H877)</x:f>
      </x:c>
      <x:c r="J877" t="str">
        <x:f>IF(I877="","",IF(I877&gt;2.5,"OVER","UNDER"))</x:f>
      </x:c>
      <x:c r="K877" s="30"/>
      <x:c r="L877" s="30"/>
      <x:c r="M877" s="30"/>
      <x:c r="N877" s="30"/>
      <x:c r="Y877" s="30"/>
      <x:c r="Z877" s="30"/>
      <x:c r="AA877" s="30"/>
      <x:c r="AB877" s="30"/>
    </x:row>
    <x:row r="878">
      <x:c r="B878" s="28"/>
      <x:c r="I878" t="str">
        <x:f>IF(OR(G878="",H878=""),"",G878+H878)</x:f>
      </x:c>
      <x:c r="J878" t="str">
        <x:f>IF(I878="","",IF(I878&gt;2.5,"OVER","UNDER"))</x:f>
      </x:c>
      <x:c r="K878" s="30"/>
      <x:c r="L878" s="30"/>
      <x:c r="M878" s="30"/>
      <x:c r="N878" s="30"/>
      <x:c r="Y878" s="30"/>
      <x:c r="Z878" s="30"/>
      <x:c r="AA878" s="30"/>
      <x:c r="AB878" s="30"/>
    </x:row>
    <x:row r="879">
      <x:c r="B879" s="28"/>
      <x:c r="I879" t="str">
        <x:f>IF(OR(G879="",H879=""),"",G879+H879)</x:f>
      </x:c>
      <x:c r="J879" t="str">
        <x:f>IF(I879="","",IF(I879&gt;2.5,"OVER","UNDER"))</x:f>
      </x:c>
      <x:c r="K879" s="30"/>
      <x:c r="L879" s="30"/>
      <x:c r="M879" s="30"/>
      <x:c r="N879" s="30"/>
      <x:c r="Y879" s="30"/>
      <x:c r="Z879" s="30"/>
      <x:c r="AA879" s="30"/>
      <x:c r="AB879" s="30"/>
    </x:row>
    <x:row r="880">
      <x:c r="B880" s="28"/>
      <x:c r="I880" t="str">
        <x:f>IF(OR(G880="",H880=""),"",G880+H880)</x:f>
      </x:c>
      <x:c r="J880" t="str">
        <x:f>IF(I880="","",IF(I880&gt;2.5,"OVER","UNDER"))</x:f>
      </x:c>
      <x:c r="K880" s="30"/>
      <x:c r="L880" s="30"/>
      <x:c r="M880" s="30"/>
      <x:c r="N880" s="30"/>
      <x:c r="Y880" s="30"/>
      <x:c r="Z880" s="30"/>
      <x:c r="AA880" s="30"/>
      <x:c r="AB880" s="30"/>
    </x:row>
    <x:row r="881">
      <x:c r="B881" s="28"/>
      <x:c r="I881" t="str">
        <x:f>IF(OR(G881="",H881=""),"",G881+H881)</x:f>
      </x:c>
      <x:c r="J881" t="str">
        <x:f>IF(I881="","",IF(I881&gt;2.5,"OVER","UNDER"))</x:f>
      </x:c>
      <x:c r="K881" s="30"/>
      <x:c r="L881" s="30"/>
      <x:c r="M881" s="30"/>
      <x:c r="N881" s="30"/>
      <x:c r="Y881" s="30"/>
      <x:c r="Z881" s="30"/>
      <x:c r="AA881" s="30"/>
      <x:c r="AB881" s="30"/>
    </x:row>
    <x:row r="882">
      <x:c r="B882" s="28"/>
      <x:c r="I882" t="str">
        <x:f>IF(OR(G882="",H882=""),"",G882+H882)</x:f>
      </x:c>
      <x:c r="J882" t="str">
        <x:f>IF(I882="","",IF(I882&gt;2.5,"OVER","UNDER"))</x:f>
      </x:c>
      <x:c r="K882" s="30"/>
      <x:c r="L882" s="30"/>
      <x:c r="M882" s="30"/>
      <x:c r="N882" s="30"/>
      <x:c r="Y882" s="30"/>
      <x:c r="Z882" s="30"/>
      <x:c r="AA882" s="30"/>
      <x:c r="AB882" s="30"/>
    </x:row>
    <x:row r="883">
      <x:c r="B883" s="28"/>
      <x:c r="I883" t="str">
        <x:f>IF(OR(G883="",H883=""),"",G883+H883)</x:f>
      </x:c>
      <x:c r="J883" t="str">
        <x:f>IF(I883="","",IF(I883&gt;2.5,"OVER","UNDER"))</x:f>
      </x:c>
      <x:c r="K883" s="30"/>
      <x:c r="L883" s="30"/>
      <x:c r="M883" s="30"/>
      <x:c r="N883" s="30"/>
      <x:c r="Y883" s="30"/>
      <x:c r="Z883" s="30"/>
      <x:c r="AA883" s="30"/>
      <x:c r="AB883" s="30"/>
    </x:row>
    <x:row r="884">
      <x:c r="B884" s="28"/>
      <x:c r="I884" t="str">
        <x:f>IF(OR(G884="",H884=""),"",G884+H884)</x:f>
      </x:c>
      <x:c r="J884" t="str">
        <x:f>IF(I884="","",IF(I884&gt;2.5,"OVER","UNDER"))</x:f>
      </x:c>
      <x:c r="K884" s="30"/>
      <x:c r="L884" s="30"/>
      <x:c r="M884" s="30"/>
      <x:c r="N884" s="30"/>
      <x:c r="Y884" s="30"/>
      <x:c r="Z884" s="30"/>
      <x:c r="AA884" s="30"/>
      <x:c r="AB884" s="30"/>
    </x:row>
    <x:row r="885">
      <x:c r="B885" s="28"/>
      <x:c r="I885" t="str">
        <x:f>IF(OR(G885="",H885=""),"",G885+H885)</x:f>
      </x:c>
      <x:c r="J885" t="str">
        <x:f>IF(I885="","",IF(I885&gt;2.5,"OVER","UNDER"))</x:f>
      </x:c>
      <x:c r="K885" s="30"/>
      <x:c r="L885" s="30"/>
      <x:c r="M885" s="30"/>
      <x:c r="N885" s="30"/>
      <x:c r="Y885" s="30"/>
      <x:c r="Z885" s="30"/>
      <x:c r="AA885" s="30"/>
      <x:c r="AB885" s="30"/>
    </x:row>
    <x:row r="886">
      <x:c r="B886" s="28"/>
      <x:c r="I886" t="str">
        <x:f>IF(OR(G886="",H886=""),"",G886+H886)</x:f>
      </x:c>
      <x:c r="J886" t="str">
        <x:f>IF(I886="","",IF(I886&gt;2.5,"OVER","UNDER"))</x:f>
      </x:c>
      <x:c r="K886" s="30"/>
      <x:c r="L886" s="30"/>
      <x:c r="M886" s="30"/>
      <x:c r="N886" s="30"/>
      <x:c r="Y886" s="30"/>
      <x:c r="Z886" s="30"/>
      <x:c r="AA886" s="30"/>
      <x:c r="AB886" s="30"/>
    </x:row>
    <x:row r="887">
      <x:c r="B887" s="28"/>
      <x:c r="I887" t="str">
        <x:f>IF(OR(G887="",H887=""),"",G887+H887)</x:f>
      </x:c>
      <x:c r="J887" t="str">
        <x:f>IF(I887="","",IF(I887&gt;2.5,"OVER","UNDER"))</x:f>
      </x:c>
      <x:c r="K887" s="30"/>
      <x:c r="L887" s="30"/>
      <x:c r="M887" s="30"/>
      <x:c r="N887" s="30"/>
      <x:c r="Y887" s="30"/>
      <x:c r="Z887" s="30"/>
      <x:c r="AA887" s="30"/>
      <x:c r="AB887" s="30"/>
    </x:row>
    <x:row r="888">
      <x:c r="B888" s="28"/>
      <x:c r="I888" t="str">
        <x:f>IF(OR(G888="",H888=""),"",G888+H888)</x:f>
      </x:c>
      <x:c r="J888" t="str">
        <x:f>IF(I888="","",IF(I888&gt;2.5,"OVER","UNDER"))</x:f>
      </x:c>
      <x:c r="K888" s="30"/>
      <x:c r="L888" s="30"/>
      <x:c r="M888" s="30"/>
      <x:c r="N888" s="30"/>
      <x:c r="Y888" s="30"/>
      <x:c r="Z888" s="30"/>
      <x:c r="AA888" s="30"/>
      <x:c r="AB888" s="30"/>
    </x:row>
    <x:row r="889">
      <x:c r="B889" s="28"/>
      <x:c r="I889" t="str">
        <x:f>IF(OR(G889="",H889=""),"",G889+H889)</x:f>
      </x:c>
      <x:c r="J889" t="str">
        <x:f>IF(I889="","",IF(I889&gt;2.5,"OVER","UNDER"))</x:f>
      </x:c>
      <x:c r="K889" s="30"/>
      <x:c r="L889" s="30"/>
      <x:c r="M889" s="30"/>
      <x:c r="N889" s="30"/>
      <x:c r="Y889" s="30"/>
      <x:c r="Z889" s="30"/>
      <x:c r="AA889" s="30"/>
      <x:c r="AB889" s="30"/>
    </x:row>
    <x:row r="890">
      <x:c r="B890" s="28"/>
      <x:c r="I890" t="str">
        <x:f>IF(OR(G890="",H890=""),"",G890+H890)</x:f>
      </x:c>
      <x:c r="J890" t="str">
        <x:f>IF(I890="","",IF(I890&gt;2.5,"OVER","UNDER"))</x:f>
      </x:c>
      <x:c r="K890" s="30"/>
      <x:c r="L890" s="30"/>
      <x:c r="M890" s="30"/>
      <x:c r="N890" s="30"/>
      <x:c r="Y890" s="30"/>
      <x:c r="Z890" s="30"/>
      <x:c r="AA890" s="30"/>
      <x:c r="AB890" s="30"/>
    </x:row>
    <x:row r="891">
      <x:c r="B891" s="28"/>
      <x:c r="I891" t="str">
        <x:f>IF(OR(G891="",H891=""),"",G891+H891)</x:f>
      </x:c>
      <x:c r="J891" t="str">
        <x:f>IF(I891="","",IF(I891&gt;2.5,"OVER","UNDER"))</x:f>
      </x:c>
      <x:c r="K891" s="30"/>
      <x:c r="L891" s="30"/>
      <x:c r="M891" s="30"/>
      <x:c r="N891" s="30"/>
      <x:c r="Y891" s="30"/>
      <x:c r="Z891" s="30"/>
      <x:c r="AA891" s="30"/>
      <x:c r="AB891" s="30"/>
    </x:row>
    <x:row r="892">
      <x:c r="B892" s="28"/>
      <x:c r="I892" t="str">
        <x:f>IF(OR(G892="",H892=""),"",G892+H892)</x:f>
      </x:c>
      <x:c r="J892" t="str">
        <x:f>IF(I892="","",IF(I892&gt;2.5,"OVER","UNDER"))</x:f>
      </x:c>
      <x:c r="K892" s="30"/>
      <x:c r="L892" s="30"/>
      <x:c r="M892" s="30"/>
      <x:c r="N892" s="30"/>
      <x:c r="Y892" s="30"/>
      <x:c r="Z892" s="30"/>
      <x:c r="AA892" s="30"/>
      <x:c r="AB892" s="30"/>
    </x:row>
    <x:row r="893">
      <x:c r="B893" s="28"/>
      <x:c r="I893" t="str">
        <x:f>IF(OR(G893="",H893=""),"",G893+H893)</x:f>
      </x:c>
      <x:c r="J893" t="str">
        <x:f>IF(I893="","",IF(I893&gt;2.5,"OVER","UNDER"))</x:f>
      </x:c>
      <x:c r="K893" s="30"/>
      <x:c r="L893" s="30"/>
      <x:c r="M893" s="30"/>
      <x:c r="N893" s="30"/>
      <x:c r="Y893" s="30"/>
      <x:c r="Z893" s="30"/>
      <x:c r="AA893" s="30"/>
      <x:c r="AB893" s="30"/>
    </x:row>
    <x:row r="894">
      <x:c r="B894" s="28"/>
      <x:c r="I894" t="str">
        <x:f>IF(OR(G894="",H894=""),"",G894+H894)</x:f>
      </x:c>
      <x:c r="J894" t="str">
        <x:f>IF(I894="","",IF(I894&gt;2.5,"OVER","UNDER"))</x:f>
      </x:c>
      <x:c r="K894" s="30"/>
      <x:c r="L894" s="30"/>
      <x:c r="M894" s="30"/>
      <x:c r="N894" s="30"/>
      <x:c r="Y894" s="30"/>
      <x:c r="Z894" s="30"/>
      <x:c r="AA894" s="30"/>
      <x:c r="AB894" s="30"/>
    </x:row>
    <x:row r="895">
      <x:c r="B895" s="28"/>
      <x:c r="I895" t="str">
        <x:f>IF(OR(G895="",H895=""),"",G895+H895)</x:f>
      </x:c>
      <x:c r="J895" t="str">
        <x:f>IF(I895="","",IF(I895&gt;2.5,"OVER","UNDER"))</x:f>
      </x:c>
      <x:c r="K895" s="30"/>
      <x:c r="L895" s="30"/>
      <x:c r="M895" s="30"/>
      <x:c r="N895" s="30"/>
      <x:c r="Y895" s="30"/>
      <x:c r="Z895" s="30"/>
      <x:c r="AA895" s="30"/>
      <x:c r="AB895" s="30"/>
    </x:row>
    <x:row r="896">
      <x:c r="B896" s="28"/>
      <x:c r="I896" t="str">
        <x:f>IF(OR(G896="",H896=""),"",G896+H896)</x:f>
      </x:c>
      <x:c r="J896" t="str">
        <x:f>IF(I896="","",IF(I896&gt;2.5,"OVER","UNDER"))</x:f>
      </x:c>
      <x:c r="K896" s="30"/>
      <x:c r="L896" s="30"/>
      <x:c r="M896" s="30"/>
      <x:c r="N896" s="30"/>
      <x:c r="Y896" s="30"/>
      <x:c r="Z896" s="30"/>
      <x:c r="AA896" s="30"/>
      <x:c r="AB896" s="30"/>
    </x:row>
    <x:row r="897">
      <x:c r="B897" s="28"/>
      <x:c r="I897" t="str">
        <x:f>IF(OR(G897="",H897=""),"",G897+H897)</x:f>
      </x:c>
      <x:c r="J897" t="str">
        <x:f>IF(I897="","",IF(I897&gt;2.5,"OVER","UNDER"))</x:f>
      </x:c>
      <x:c r="K897" s="30"/>
      <x:c r="L897" s="30"/>
      <x:c r="M897" s="30"/>
      <x:c r="N897" s="30"/>
      <x:c r="Y897" s="30"/>
      <x:c r="Z897" s="30"/>
      <x:c r="AA897" s="30"/>
      <x:c r="AB897" s="30"/>
    </x:row>
    <x:row r="898">
      <x:c r="B898" s="28"/>
      <x:c r="I898" t="str">
        <x:f>IF(OR(G898="",H898=""),"",G898+H898)</x:f>
      </x:c>
      <x:c r="J898" t="str">
        <x:f>IF(I898="","",IF(I898&gt;2.5,"OVER","UNDER"))</x:f>
      </x:c>
      <x:c r="K898" s="30"/>
      <x:c r="L898" s="30"/>
      <x:c r="M898" s="30"/>
      <x:c r="N898" s="30"/>
      <x:c r="Y898" s="30"/>
      <x:c r="Z898" s="30"/>
      <x:c r="AA898" s="30"/>
      <x:c r="AB898" s="30"/>
    </x:row>
    <x:row r="899">
      <x:c r="B899" s="28"/>
      <x:c r="I899" t="str">
        <x:f>IF(OR(G899="",H899=""),"",G899+H899)</x:f>
      </x:c>
      <x:c r="J899" t="str">
        <x:f>IF(I899="","",IF(I899&gt;2.5,"OVER","UNDER"))</x:f>
      </x:c>
      <x:c r="K899" s="30"/>
      <x:c r="L899" s="30"/>
      <x:c r="M899" s="30"/>
      <x:c r="N899" s="30"/>
      <x:c r="Y899" s="30"/>
      <x:c r="Z899" s="30"/>
      <x:c r="AA899" s="30"/>
      <x:c r="AB899" s="30"/>
    </x:row>
    <x:row r="900">
      <x:c r="B900" s="28"/>
      <x:c r="I900" t="str">
        <x:f>IF(OR(G900="",H900=""),"",G900+H900)</x:f>
      </x:c>
      <x:c r="J900" t="str">
        <x:f>IF(I900="","",IF(I900&gt;2.5,"OVER","UNDER"))</x:f>
      </x:c>
      <x:c r="K900" s="30"/>
      <x:c r="L900" s="30"/>
      <x:c r="M900" s="30"/>
      <x:c r="N900" s="30"/>
      <x:c r="Y900" s="30"/>
      <x:c r="Z900" s="30"/>
      <x:c r="AA900" s="30"/>
      <x:c r="AB900" s="30"/>
    </x:row>
    <x:row r="901">
      <x:c r="B901" s="28"/>
      <x:c r="I901" t="str">
        <x:f>IF(OR(G901="",H901=""),"",G901+H901)</x:f>
      </x:c>
      <x:c r="J901" t="str">
        <x:f>IF(I901="","",IF(I901&gt;2.5,"OVER","UNDER"))</x:f>
      </x:c>
      <x:c r="K901" s="30"/>
      <x:c r="L901" s="30"/>
      <x:c r="M901" s="30"/>
      <x:c r="N901" s="30"/>
      <x:c r="Y901" s="30"/>
      <x:c r="Z901" s="30"/>
      <x:c r="AA901" s="30"/>
      <x:c r="AB901" s="30"/>
    </x:row>
    <x:row r="902">
      <x:c r="B902" s="28"/>
      <x:c r="I902" t="str">
        <x:f>IF(OR(G902="",H902=""),"",G902+H902)</x:f>
      </x:c>
      <x:c r="J902" t="str">
        <x:f>IF(I902="","",IF(I902&gt;2.5,"OVER","UNDER"))</x:f>
      </x:c>
      <x:c r="K902" s="30"/>
      <x:c r="L902" s="30"/>
      <x:c r="M902" s="30"/>
      <x:c r="N902" s="30"/>
      <x:c r="Y902" s="30"/>
      <x:c r="Z902" s="30"/>
      <x:c r="AA902" s="30"/>
      <x:c r="AB902" s="30"/>
    </x:row>
    <x:row r="903">
      <x:c r="B903" s="28"/>
      <x:c r="I903" t="str">
        <x:f>IF(OR(G903="",H903=""),"",G903+H903)</x:f>
      </x:c>
      <x:c r="J903" t="str">
        <x:f>IF(I903="","",IF(I903&gt;2.5,"OVER","UNDER"))</x:f>
      </x:c>
      <x:c r="K903" s="30"/>
      <x:c r="L903" s="30"/>
      <x:c r="M903" s="30"/>
      <x:c r="N903" s="30"/>
      <x:c r="Y903" s="30"/>
      <x:c r="Z903" s="30"/>
      <x:c r="AA903" s="30"/>
      <x:c r="AB903" s="30"/>
    </x:row>
    <x:row r="904">
      <x:c r="B904" s="28"/>
      <x:c r="I904" t="str">
        <x:f>IF(OR(G904="",H904=""),"",G904+H904)</x:f>
      </x:c>
      <x:c r="J904" t="str">
        <x:f>IF(I904="","",IF(I904&gt;2.5,"OVER","UNDER"))</x:f>
      </x:c>
      <x:c r="K904" s="30"/>
      <x:c r="L904" s="30"/>
      <x:c r="M904" s="30"/>
      <x:c r="N904" s="30"/>
      <x:c r="Y904" s="30"/>
      <x:c r="Z904" s="30"/>
      <x:c r="AA904" s="30"/>
      <x:c r="AB904" s="30"/>
    </x:row>
    <x:row r="905">
      <x:c r="B905" s="28"/>
      <x:c r="I905" t="str">
        <x:f>IF(OR(G905="",H905=""),"",G905+H905)</x:f>
      </x:c>
      <x:c r="J905" t="str">
        <x:f>IF(I905="","",IF(I905&gt;2.5,"OVER","UNDER"))</x:f>
      </x:c>
      <x:c r="K905" s="30"/>
      <x:c r="L905" s="30"/>
      <x:c r="M905" s="30"/>
      <x:c r="N905" s="30"/>
      <x:c r="Y905" s="30"/>
      <x:c r="Z905" s="30"/>
      <x:c r="AA905" s="30"/>
      <x:c r="AB905" s="30"/>
    </x:row>
    <x:row r="906">
      <x:c r="B906" s="28"/>
      <x:c r="I906" t="str">
        <x:f>IF(OR(G906="",H906=""),"",G906+H906)</x:f>
      </x:c>
      <x:c r="J906" t="str">
        <x:f>IF(I906="","",IF(I906&gt;2.5,"OVER","UNDER"))</x:f>
      </x:c>
      <x:c r="K906" s="30"/>
      <x:c r="L906" s="30"/>
      <x:c r="M906" s="30"/>
      <x:c r="N906" s="30"/>
      <x:c r="Y906" s="30"/>
      <x:c r="Z906" s="30"/>
      <x:c r="AA906" s="30"/>
      <x:c r="AB906" s="30"/>
    </x:row>
    <x:row r="907">
      <x:c r="B907" s="28"/>
      <x:c r="I907" t="str">
        <x:f>IF(OR(G907="",H907=""),"",G907+H907)</x:f>
      </x:c>
      <x:c r="J907" t="str">
        <x:f>IF(I907="","",IF(I907&gt;2.5,"OVER","UNDER"))</x:f>
      </x:c>
      <x:c r="K907" s="30"/>
      <x:c r="L907" s="30"/>
      <x:c r="M907" s="30"/>
      <x:c r="N907" s="30"/>
      <x:c r="Y907" s="30"/>
      <x:c r="Z907" s="30"/>
      <x:c r="AA907" s="30"/>
      <x:c r="AB907" s="30"/>
    </x:row>
    <x:row r="908">
      <x:c r="B908" s="28"/>
      <x:c r="I908" t="str">
        <x:f>IF(OR(G908="",H908=""),"",G908+H908)</x:f>
      </x:c>
      <x:c r="J908" t="str">
        <x:f>IF(I908="","",IF(I908&gt;2.5,"OVER","UNDER"))</x:f>
      </x:c>
      <x:c r="K908" s="30"/>
      <x:c r="L908" s="30"/>
      <x:c r="M908" s="30"/>
      <x:c r="N908" s="30"/>
      <x:c r="Y908" s="30"/>
      <x:c r="Z908" s="30"/>
      <x:c r="AA908" s="30"/>
      <x:c r="AB908" s="30"/>
    </x:row>
    <x:row r="909">
      <x:c r="B909" s="28"/>
      <x:c r="I909" t="str">
        <x:f>IF(OR(G909="",H909=""),"",G909+H909)</x:f>
      </x:c>
      <x:c r="J909" t="str">
        <x:f>IF(I909="","",IF(I909&gt;2.5,"OVER","UNDER"))</x:f>
      </x:c>
      <x:c r="K909" s="30"/>
      <x:c r="L909" s="30"/>
      <x:c r="M909" s="30"/>
      <x:c r="N909" s="30"/>
      <x:c r="Y909" s="30"/>
      <x:c r="Z909" s="30"/>
      <x:c r="AA909" s="30"/>
      <x:c r="AB909" s="30"/>
    </x:row>
    <x:row r="910">
      <x:c r="B910" s="28"/>
      <x:c r="I910" t="str">
        <x:f>IF(OR(G910="",H910=""),"",G910+H910)</x:f>
      </x:c>
      <x:c r="J910" t="str">
        <x:f>IF(I910="","",IF(I910&gt;2.5,"OVER","UNDER"))</x:f>
      </x:c>
      <x:c r="K910" s="30"/>
      <x:c r="L910" s="30"/>
      <x:c r="M910" s="30"/>
      <x:c r="N910" s="30"/>
      <x:c r="Y910" s="30"/>
      <x:c r="Z910" s="30"/>
      <x:c r="AA910" s="30"/>
      <x:c r="AB910" s="30"/>
    </x:row>
    <x:row r="911">
      <x:c r="B911" s="28"/>
      <x:c r="I911" t="str">
        <x:f>IF(OR(G911="",H911=""),"",G911+H911)</x:f>
      </x:c>
      <x:c r="J911" t="str">
        <x:f>IF(I911="","",IF(I911&gt;2.5,"OVER","UNDER"))</x:f>
      </x:c>
      <x:c r="K911" s="30"/>
      <x:c r="L911" s="30"/>
      <x:c r="M911" s="30"/>
      <x:c r="N911" s="30"/>
      <x:c r="Y911" s="30"/>
      <x:c r="Z911" s="30"/>
      <x:c r="AA911" s="30"/>
      <x:c r="AB911" s="30"/>
    </x:row>
    <x:row r="912">
      <x:c r="B912" s="28"/>
      <x:c r="I912" t="str">
        <x:f>IF(OR(G912="",H912=""),"",G912+H912)</x:f>
      </x:c>
      <x:c r="J912" t="str">
        <x:f>IF(I912="","",IF(I912&gt;2.5,"OVER","UNDER"))</x:f>
      </x:c>
      <x:c r="K912" s="30"/>
      <x:c r="L912" s="30"/>
      <x:c r="M912" s="30"/>
      <x:c r="N912" s="30"/>
      <x:c r="Y912" s="30"/>
      <x:c r="Z912" s="30"/>
      <x:c r="AA912" s="30"/>
      <x:c r="AB912" s="30"/>
    </x:row>
    <x:row r="913">
      <x:c r="B913" s="28"/>
      <x:c r="I913" t="str">
        <x:f>IF(OR(G913="",H913=""),"",G913+H913)</x:f>
      </x:c>
      <x:c r="J913" t="str">
        <x:f>IF(I913="","",IF(I913&gt;2.5,"OVER","UNDER"))</x:f>
      </x:c>
      <x:c r="K913" s="30"/>
      <x:c r="L913" s="30"/>
      <x:c r="M913" s="30"/>
      <x:c r="N913" s="30"/>
      <x:c r="Y913" s="30"/>
      <x:c r="Z913" s="30"/>
      <x:c r="AA913" s="30"/>
      <x:c r="AB913" s="30"/>
    </x:row>
    <x:row r="914">
      <x:c r="B914" s="28"/>
      <x:c r="I914" t="str">
        <x:f>IF(OR(G914="",H914=""),"",G914+H914)</x:f>
      </x:c>
      <x:c r="J914" t="str">
        <x:f>IF(I914="","",IF(I914&gt;2.5,"OVER","UNDER"))</x:f>
      </x:c>
      <x:c r="K914" s="30"/>
      <x:c r="L914" s="30"/>
      <x:c r="M914" s="30"/>
      <x:c r="N914" s="30"/>
      <x:c r="Y914" s="30"/>
      <x:c r="Z914" s="30"/>
      <x:c r="AA914" s="30"/>
      <x:c r="AB914" s="30"/>
    </x:row>
    <x:row r="915">
      <x:c r="B915" s="28"/>
      <x:c r="I915" t="str">
        <x:f>IF(OR(G915="",H915=""),"",G915+H915)</x:f>
      </x:c>
      <x:c r="J915" t="str">
        <x:f>IF(I915="","",IF(I915&gt;2.5,"OVER","UNDER"))</x:f>
      </x:c>
      <x:c r="K915" s="30"/>
      <x:c r="L915" s="30"/>
      <x:c r="M915" s="30"/>
      <x:c r="N915" s="30"/>
      <x:c r="Y915" s="30"/>
      <x:c r="Z915" s="30"/>
      <x:c r="AA915" s="30"/>
      <x:c r="AB915" s="30"/>
    </x:row>
    <x:row r="916">
      <x:c r="B916" s="28"/>
      <x:c r="I916" t="str">
        <x:f>IF(OR(G916="",H916=""),"",G916+H916)</x:f>
      </x:c>
      <x:c r="J916" t="str">
        <x:f>IF(I916="","",IF(I916&gt;2.5,"OVER","UNDER"))</x:f>
      </x:c>
      <x:c r="K916" s="30"/>
      <x:c r="L916" s="30"/>
      <x:c r="M916" s="30"/>
      <x:c r="N916" s="30"/>
      <x:c r="Y916" s="30"/>
      <x:c r="Z916" s="30"/>
      <x:c r="AA916" s="30"/>
      <x:c r="AB916" s="30"/>
    </x:row>
    <x:row r="917">
      <x:c r="B917" s="28"/>
      <x:c r="I917" t="str">
        <x:f>IF(OR(G917="",H917=""),"",G917+H917)</x:f>
      </x:c>
      <x:c r="J917" t="str">
        <x:f>IF(I917="","",IF(I917&gt;2.5,"OVER","UNDER"))</x:f>
      </x:c>
      <x:c r="K917" s="30"/>
      <x:c r="L917" s="30"/>
      <x:c r="M917" s="30"/>
      <x:c r="N917" s="30"/>
      <x:c r="Y917" s="30"/>
      <x:c r="Z917" s="30"/>
      <x:c r="AA917" s="30"/>
      <x:c r="AB917" s="30"/>
    </x:row>
    <x:row r="918">
      <x:c r="B918" s="28"/>
      <x:c r="I918" t="str">
        <x:f>IF(OR(G918="",H918=""),"",G918+H918)</x:f>
      </x:c>
      <x:c r="J918" t="str">
        <x:f>IF(I918="","",IF(I918&gt;2.5,"OVER","UNDER"))</x:f>
      </x:c>
      <x:c r="K918" s="30"/>
      <x:c r="L918" s="30"/>
      <x:c r="M918" s="30"/>
      <x:c r="N918" s="30"/>
      <x:c r="Y918" s="30"/>
      <x:c r="Z918" s="30"/>
      <x:c r="AA918" s="30"/>
      <x:c r="AB918" s="30"/>
    </x:row>
    <x:row r="919">
      <x:c r="B919" s="28"/>
      <x:c r="I919" t="str">
        <x:f>IF(OR(G919="",H919=""),"",G919+H919)</x:f>
      </x:c>
      <x:c r="J919" t="str">
        <x:f>IF(I919="","",IF(I919&gt;2.5,"OVER","UNDER"))</x:f>
      </x:c>
      <x:c r="K919" s="30"/>
      <x:c r="L919" s="30"/>
      <x:c r="M919" s="30"/>
      <x:c r="N919" s="30"/>
      <x:c r="Y919" s="30"/>
      <x:c r="Z919" s="30"/>
      <x:c r="AA919" s="30"/>
      <x:c r="AB919" s="30"/>
    </x:row>
    <x:row r="920">
      <x:c r="B920" s="28"/>
      <x:c r="I920" t="str">
        <x:f>IF(OR(G920="",H920=""),"",G920+H920)</x:f>
      </x:c>
      <x:c r="J920" t="str">
        <x:f>IF(I920="","",IF(I920&gt;2.5,"OVER","UNDER"))</x:f>
      </x:c>
      <x:c r="K920" s="30"/>
      <x:c r="L920" s="30"/>
      <x:c r="M920" s="30"/>
      <x:c r="N920" s="30"/>
      <x:c r="Y920" s="30"/>
      <x:c r="Z920" s="30"/>
      <x:c r="AA920" s="30"/>
      <x:c r="AB920" s="30"/>
    </x:row>
    <x:row r="921">
      <x:c r="B921" s="28"/>
      <x:c r="I921" t="str">
        <x:f>IF(OR(G921="",H921=""),"",G921+H921)</x:f>
      </x:c>
      <x:c r="J921" t="str">
        <x:f>IF(I921="","",IF(I921&gt;2.5,"OVER","UNDER"))</x:f>
      </x:c>
      <x:c r="K921" s="30"/>
      <x:c r="L921" s="30"/>
      <x:c r="M921" s="30"/>
      <x:c r="N921" s="30"/>
      <x:c r="Y921" s="30"/>
      <x:c r="Z921" s="30"/>
      <x:c r="AA921" s="30"/>
      <x:c r="AB921" s="30"/>
    </x:row>
    <x:row r="922">
      <x:c r="B922" s="28"/>
      <x:c r="I922" t="str">
        <x:f>IF(OR(G922="",H922=""),"",G922+H922)</x:f>
      </x:c>
      <x:c r="J922" t="str">
        <x:f>IF(I922="","",IF(I922&gt;2.5,"OVER","UNDER"))</x:f>
      </x:c>
      <x:c r="K922" s="30"/>
      <x:c r="L922" s="30"/>
      <x:c r="M922" s="30"/>
      <x:c r="N922" s="30"/>
      <x:c r="Y922" s="30"/>
      <x:c r="Z922" s="30"/>
      <x:c r="AA922" s="30"/>
      <x:c r="AB922" s="30"/>
    </x:row>
    <x:row r="923">
      <x:c r="B923" s="28"/>
      <x:c r="I923" t="str">
        <x:f>IF(OR(G923="",H923=""),"",G923+H923)</x:f>
      </x:c>
      <x:c r="J923" t="str">
        <x:f>IF(I923="","",IF(I923&gt;2.5,"OVER","UNDER"))</x:f>
      </x:c>
      <x:c r="K923" s="30"/>
      <x:c r="L923" s="30"/>
      <x:c r="M923" s="30"/>
      <x:c r="N923" s="30"/>
      <x:c r="Y923" s="30"/>
      <x:c r="Z923" s="30"/>
      <x:c r="AA923" s="30"/>
      <x:c r="AB923" s="30"/>
    </x:row>
    <x:row r="924">
      <x:c r="B924" s="28"/>
      <x:c r="I924" t="str">
        <x:f>IF(OR(G924="",H924=""),"",G924+H924)</x:f>
      </x:c>
      <x:c r="J924" t="str">
        <x:f>IF(I924="","",IF(I924&gt;2.5,"OVER","UNDER"))</x:f>
      </x:c>
      <x:c r="K924" s="30"/>
      <x:c r="L924" s="30"/>
      <x:c r="M924" s="30"/>
      <x:c r="N924" s="30"/>
      <x:c r="Y924" s="30"/>
      <x:c r="Z924" s="30"/>
      <x:c r="AA924" s="30"/>
      <x:c r="AB924" s="30"/>
    </x:row>
    <x:row r="925">
      <x:c r="B925" s="28"/>
      <x:c r="I925" t="str">
        <x:f>IF(OR(G925="",H925=""),"",G925+H925)</x:f>
      </x:c>
      <x:c r="J925" t="str">
        <x:f>IF(I925="","",IF(I925&gt;2.5,"OVER","UNDER"))</x:f>
      </x:c>
      <x:c r="K925" s="30"/>
      <x:c r="L925" s="30"/>
      <x:c r="M925" s="30"/>
      <x:c r="N925" s="30"/>
      <x:c r="Y925" s="30"/>
      <x:c r="Z925" s="30"/>
      <x:c r="AA925" s="30"/>
      <x:c r="AB925" s="30"/>
    </x:row>
    <x:row r="926">
      <x:c r="B926" s="28"/>
      <x:c r="I926" t="str">
        <x:f>IF(OR(G926="",H926=""),"",G926+H926)</x:f>
      </x:c>
      <x:c r="J926" t="str">
        <x:f>IF(I926="","",IF(I926&gt;2.5,"OVER","UNDER"))</x:f>
      </x:c>
      <x:c r="K926" s="30"/>
      <x:c r="L926" s="30"/>
      <x:c r="M926" s="30"/>
      <x:c r="N926" s="30"/>
      <x:c r="Y926" s="30"/>
      <x:c r="Z926" s="30"/>
      <x:c r="AA926" s="30"/>
      <x:c r="AB926" s="30"/>
    </x:row>
    <x:row r="927">
      <x:c r="B927" s="28"/>
      <x:c r="I927" t="str">
        <x:f>IF(OR(G927="",H927=""),"",G927+H927)</x:f>
      </x:c>
      <x:c r="J927" t="str">
        <x:f>IF(I927="","",IF(I927&gt;2.5,"OVER","UNDER"))</x:f>
      </x:c>
      <x:c r="K927" s="30"/>
      <x:c r="L927" s="30"/>
      <x:c r="M927" s="30"/>
      <x:c r="N927" s="30"/>
      <x:c r="Y927" s="30"/>
      <x:c r="Z927" s="30"/>
      <x:c r="AA927" s="30"/>
      <x:c r="AB927" s="30"/>
    </x:row>
    <x:row r="928">
      <x:c r="B928" s="28"/>
      <x:c r="I928" t="str">
        <x:f>IF(OR(G928="",H928=""),"",G928+H928)</x:f>
      </x:c>
      <x:c r="J928" t="str">
        <x:f>IF(I928="","",IF(I928&gt;2.5,"OVER","UNDER"))</x:f>
      </x:c>
      <x:c r="K928" s="30"/>
      <x:c r="L928" s="30"/>
      <x:c r="M928" s="30"/>
      <x:c r="N928" s="30"/>
      <x:c r="Y928" s="30"/>
      <x:c r="Z928" s="30"/>
      <x:c r="AA928" s="30"/>
      <x:c r="AB928" s="30"/>
    </x:row>
    <x:row r="929">
      <x:c r="B929" s="28"/>
      <x:c r="I929" t="str">
        <x:f>IF(OR(G929="",H929=""),"",G929+H929)</x:f>
      </x:c>
      <x:c r="J929" t="str">
        <x:f>IF(I929="","",IF(I929&gt;2.5,"OVER","UNDER"))</x:f>
      </x:c>
      <x:c r="K929" s="30"/>
      <x:c r="L929" s="30"/>
      <x:c r="M929" s="30"/>
      <x:c r="N929" s="30"/>
      <x:c r="Y929" s="30"/>
      <x:c r="Z929" s="30"/>
      <x:c r="AA929" s="30"/>
      <x:c r="AB929" s="30"/>
    </x:row>
    <x:row r="930">
      <x:c r="B930" s="28"/>
      <x:c r="I930" t="str">
        <x:f>IF(OR(G930="",H930=""),"",G930+H930)</x:f>
      </x:c>
      <x:c r="J930" t="str">
        <x:f>IF(I930="","",IF(I930&gt;2.5,"OVER","UNDER"))</x:f>
      </x:c>
      <x:c r="K930" s="30"/>
      <x:c r="L930" s="30"/>
      <x:c r="M930" s="30"/>
      <x:c r="N930" s="30"/>
      <x:c r="Y930" s="30"/>
      <x:c r="Z930" s="30"/>
      <x:c r="AA930" s="30"/>
      <x:c r="AB930" s="30"/>
    </x:row>
    <x:row r="931">
      <x:c r="B931" s="28"/>
      <x:c r="I931" t="str">
        <x:f>IF(OR(G931="",H931=""),"",G931+H931)</x:f>
      </x:c>
      <x:c r="J931" t="str">
        <x:f>IF(I931="","",IF(I931&gt;2.5,"OVER","UNDER"))</x:f>
      </x:c>
      <x:c r="K931" s="30"/>
      <x:c r="L931" s="30"/>
      <x:c r="M931" s="30"/>
      <x:c r="N931" s="30"/>
      <x:c r="Y931" s="30"/>
      <x:c r="Z931" s="30"/>
      <x:c r="AA931" s="30"/>
      <x:c r="AB931" s="30"/>
    </x:row>
    <x:row r="932">
      <x:c r="B932" s="28"/>
      <x:c r="I932" t="str">
        <x:f>IF(OR(G932="",H932=""),"",G932+H932)</x:f>
      </x:c>
      <x:c r="J932" t="str">
        <x:f>IF(I932="","",IF(I932&gt;2.5,"OVER","UNDER"))</x:f>
      </x:c>
      <x:c r="K932" s="30"/>
      <x:c r="L932" s="30"/>
      <x:c r="M932" s="30"/>
      <x:c r="N932" s="30"/>
      <x:c r="Y932" s="30"/>
      <x:c r="Z932" s="30"/>
      <x:c r="AA932" s="30"/>
      <x:c r="AB932" s="30"/>
    </x:row>
    <x:row r="933">
      <x:c r="B933" s="28"/>
      <x:c r="I933" t="str">
        <x:f>IF(OR(G933="",H933=""),"",G933+H933)</x:f>
      </x:c>
      <x:c r="J933" t="str">
        <x:f>IF(I933="","",IF(I933&gt;2.5,"OVER","UNDER"))</x:f>
      </x:c>
      <x:c r="K933" s="30"/>
      <x:c r="L933" s="30"/>
      <x:c r="M933" s="30"/>
      <x:c r="N933" s="30"/>
      <x:c r="Y933" s="30"/>
      <x:c r="Z933" s="30"/>
      <x:c r="AA933" s="30"/>
      <x:c r="AB933" s="30"/>
    </x:row>
    <x:row r="934">
      <x:c r="B934" s="28"/>
      <x:c r="I934" t="str">
        <x:f>IF(OR(G934="",H934=""),"",G934+H934)</x:f>
      </x:c>
      <x:c r="J934" t="str">
        <x:f>IF(I934="","",IF(I934&gt;2.5,"OVER","UNDER"))</x:f>
      </x:c>
      <x:c r="K934" s="30"/>
      <x:c r="L934" s="30"/>
      <x:c r="M934" s="30"/>
      <x:c r="N934" s="30"/>
      <x:c r="Y934" s="30"/>
      <x:c r="Z934" s="30"/>
      <x:c r="AA934" s="30"/>
      <x:c r="AB934" s="30"/>
    </x:row>
    <x:row r="935">
      <x:c r="B935" s="28"/>
      <x:c r="I935" t="str">
        <x:f>IF(OR(G935="",H935=""),"",G935+H935)</x:f>
      </x:c>
      <x:c r="J935" t="str">
        <x:f>IF(I935="","",IF(I935&gt;2.5,"OVER","UNDER"))</x:f>
      </x:c>
      <x:c r="K935" s="30"/>
      <x:c r="L935" s="30"/>
      <x:c r="M935" s="30"/>
      <x:c r="N935" s="30"/>
      <x:c r="Y935" s="30"/>
      <x:c r="Z935" s="30"/>
      <x:c r="AA935" s="30"/>
      <x:c r="AB935" s="30"/>
    </x:row>
    <x:row r="936">
      <x:c r="B936" s="28"/>
      <x:c r="I936" t="str">
        <x:f>IF(OR(G936="",H936=""),"",G936+H936)</x:f>
      </x:c>
      <x:c r="J936" t="str">
        <x:f>IF(I936="","",IF(I936&gt;2.5,"OVER","UNDER"))</x:f>
      </x:c>
      <x:c r="K936" s="30"/>
      <x:c r="L936" s="30"/>
      <x:c r="M936" s="30"/>
      <x:c r="N936" s="30"/>
      <x:c r="Y936" s="30"/>
      <x:c r="Z936" s="30"/>
      <x:c r="AA936" s="30"/>
      <x:c r="AB936" s="30"/>
    </x:row>
    <x:row r="937">
      <x:c r="B937" s="28"/>
      <x:c r="I937" t="str">
        <x:f>IF(OR(G937="",H937=""),"",G937+H937)</x:f>
      </x:c>
      <x:c r="J937" t="str">
        <x:f>IF(I937="","",IF(I937&gt;2.5,"OVER","UNDER"))</x:f>
      </x:c>
      <x:c r="K937" s="30"/>
      <x:c r="L937" s="30"/>
      <x:c r="M937" s="30"/>
      <x:c r="N937" s="30"/>
      <x:c r="Y937" s="30"/>
      <x:c r="Z937" s="30"/>
      <x:c r="AA937" s="30"/>
      <x:c r="AB937" s="30"/>
    </x:row>
    <x:row r="938">
      <x:c r="B938" s="28"/>
      <x:c r="I938" t="str">
        <x:f>IF(OR(G938="",H938=""),"",G938+H938)</x:f>
      </x:c>
      <x:c r="J938" t="str">
        <x:f>IF(I938="","",IF(I938&gt;2.5,"OVER","UNDER"))</x:f>
      </x:c>
      <x:c r="K938" s="30"/>
      <x:c r="L938" s="30"/>
      <x:c r="M938" s="30"/>
      <x:c r="N938" s="30"/>
      <x:c r="Y938" s="30"/>
      <x:c r="Z938" s="30"/>
      <x:c r="AA938" s="30"/>
      <x:c r="AB938" s="30"/>
    </x:row>
    <x:row r="939">
      <x:c r="B939" s="28"/>
      <x:c r="I939" t="str">
        <x:f>IF(OR(G939="",H939=""),"",G939+H939)</x:f>
      </x:c>
      <x:c r="J939" t="str">
        <x:f>IF(I939="","",IF(I939&gt;2.5,"OVER","UNDER"))</x:f>
      </x:c>
      <x:c r="K939" s="30"/>
      <x:c r="L939" s="30"/>
      <x:c r="M939" s="30"/>
      <x:c r="N939" s="30"/>
      <x:c r="Y939" s="30"/>
      <x:c r="Z939" s="30"/>
      <x:c r="AA939" s="30"/>
      <x:c r="AB939" s="30"/>
    </x:row>
    <x:row r="940">
      <x:c r="B940" s="28"/>
      <x:c r="I940" t="str">
        <x:f>IF(OR(G940="",H940=""),"",G940+H940)</x:f>
      </x:c>
      <x:c r="J940" t="str">
        <x:f>IF(I940="","",IF(I940&gt;2.5,"OVER","UNDER"))</x:f>
      </x:c>
      <x:c r="K940" s="30"/>
      <x:c r="L940" s="30"/>
      <x:c r="M940" s="30"/>
      <x:c r="N940" s="30"/>
      <x:c r="Y940" s="30"/>
      <x:c r="Z940" s="30"/>
      <x:c r="AA940" s="30"/>
      <x:c r="AB940" s="30"/>
    </x:row>
    <x:row r="941">
      <x:c r="B941" s="28"/>
      <x:c r="I941" t="str">
        <x:f>IF(OR(G941="",H941=""),"",G941+H941)</x:f>
      </x:c>
      <x:c r="J941" t="str">
        <x:f>IF(I941="","",IF(I941&gt;2.5,"OVER","UNDER"))</x:f>
      </x:c>
      <x:c r="K941" s="30"/>
      <x:c r="L941" s="30"/>
      <x:c r="M941" s="30"/>
      <x:c r="N941" s="30"/>
      <x:c r="Y941" s="30"/>
      <x:c r="Z941" s="30"/>
      <x:c r="AA941" s="30"/>
      <x:c r="AB941" s="30"/>
    </x:row>
    <x:row r="942">
      <x:c r="B942" s="28"/>
      <x:c r="I942" t="str">
        <x:f>IF(OR(G942="",H942=""),"",G942+H942)</x:f>
      </x:c>
      <x:c r="J942" t="str">
        <x:f>IF(I942="","",IF(I942&gt;2.5,"OVER","UNDER"))</x:f>
      </x:c>
      <x:c r="K942" s="30"/>
      <x:c r="L942" s="30"/>
      <x:c r="M942" s="30"/>
      <x:c r="N942" s="30"/>
      <x:c r="Y942" s="30"/>
      <x:c r="Z942" s="30"/>
      <x:c r="AA942" s="30"/>
      <x:c r="AB942" s="30"/>
    </x:row>
    <x:row r="943">
      <x:c r="B943" s="28"/>
      <x:c r="I943" t="str">
        <x:f>IF(OR(G943="",H943=""),"",G943+H943)</x:f>
      </x:c>
      <x:c r="J943" t="str">
        <x:f>IF(I943="","",IF(I943&gt;2.5,"OVER","UNDER"))</x:f>
      </x:c>
      <x:c r="K943" s="30"/>
      <x:c r="L943" s="30"/>
      <x:c r="M943" s="30"/>
      <x:c r="N943" s="30"/>
      <x:c r="Y943" s="30"/>
      <x:c r="Z943" s="30"/>
      <x:c r="AA943" s="30"/>
      <x:c r="AB943" s="30"/>
    </x:row>
    <x:row r="944">
      <x:c r="B944" s="28"/>
      <x:c r="I944" t="str">
        <x:f>IF(OR(G944="",H944=""),"",G944+H944)</x:f>
      </x:c>
      <x:c r="J944" t="str">
        <x:f>IF(I944="","",IF(I944&gt;2.5,"OVER","UNDER"))</x:f>
      </x:c>
      <x:c r="K944" s="30"/>
      <x:c r="L944" s="30"/>
      <x:c r="M944" s="30"/>
      <x:c r="N944" s="30"/>
      <x:c r="Y944" s="30"/>
      <x:c r="Z944" s="30"/>
      <x:c r="AA944" s="30"/>
      <x:c r="AB944" s="30"/>
    </x:row>
    <x:row r="945">
      <x:c r="B945" s="28"/>
      <x:c r="I945" t="str">
        <x:f>IF(OR(G945="",H945=""),"",G945+H945)</x:f>
      </x:c>
      <x:c r="J945" t="str">
        <x:f>IF(I945="","",IF(I945&gt;2.5,"OVER","UNDER"))</x:f>
      </x:c>
      <x:c r="K945" s="30"/>
      <x:c r="L945" s="30"/>
      <x:c r="M945" s="30"/>
      <x:c r="N945" s="30"/>
      <x:c r="Y945" s="30"/>
      <x:c r="Z945" s="30"/>
      <x:c r="AA945" s="30"/>
      <x:c r="AB945" s="30"/>
    </x:row>
    <x:row r="946">
      <x:c r="B946" s="28"/>
      <x:c r="I946" t="str">
        <x:f>IF(OR(G946="",H946=""),"",G946+H946)</x:f>
      </x:c>
      <x:c r="J946" t="str">
        <x:f>IF(I946="","",IF(I946&gt;2.5,"OVER","UNDER"))</x:f>
      </x:c>
      <x:c r="K946" s="30"/>
      <x:c r="L946" s="30"/>
      <x:c r="M946" s="30"/>
      <x:c r="N946" s="30"/>
      <x:c r="Y946" s="30"/>
      <x:c r="Z946" s="30"/>
      <x:c r="AA946" s="30"/>
      <x:c r="AB946" s="30"/>
    </x:row>
    <x:row r="947">
      <x:c r="B947" s="28"/>
      <x:c r="I947" t="str">
        <x:f>IF(OR(G947="",H947=""),"",G947+H947)</x:f>
      </x:c>
      <x:c r="J947" t="str">
        <x:f>IF(I947="","",IF(I947&gt;2.5,"OVER","UNDER"))</x:f>
      </x:c>
      <x:c r="K947" s="30"/>
      <x:c r="L947" s="30"/>
      <x:c r="M947" s="30"/>
      <x:c r="N947" s="30"/>
      <x:c r="Y947" s="30"/>
      <x:c r="Z947" s="30"/>
      <x:c r="AA947" s="30"/>
      <x:c r="AB947" s="30"/>
    </x:row>
    <x:row r="948">
      <x:c r="B948" s="28"/>
      <x:c r="I948" t="str">
        <x:f>IF(OR(G948="",H948=""),"",G948+H948)</x:f>
      </x:c>
      <x:c r="J948" t="str">
        <x:f>IF(I948="","",IF(I948&gt;2.5,"OVER","UNDER"))</x:f>
      </x:c>
      <x:c r="K948" s="30"/>
      <x:c r="L948" s="30"/>
      <x:c r="M948" s="30"/>
      <x:c r="N948" s="30"/>
      <x:c r="Y948" s="30"/>
      <x:c r="Z948" s="30"/>
      <x:c r="AA948" s="30"/>
      <x:c r="AB948" s="30"/>
    </x:row>
    <x:row r="949">
      <x:c r="B949" s="28"/>
      <x:c r="I949" t="str">
        <x:f>IF(OR(G949="",H949=""),"",G949+H949)</x:f>
      </x:c>
      <x:c r="J949" t="str">
        <x:f>IF(I949="","",IF(I949&gt;2.5,"OVER","UNDER"))</x:f>
      </x:c>
      <x:c r="K949" s="30"/>
      <x:c r="L949" s="30"/>
      <x:c r="M949" s="30"/>
      <x:c r="N949" s="30"/>
      <x:c r="Y949" s="30"/>
      <x:c r="Z949" s="30"/>
      <x:c r="AA949" s="30"/>
      <x:c r="AB949" s="30"/>
    </x:row>
    <x:row r="950">
      <x:c r="B950" s="28"/>
      <x:c r="I950" t="str">
        <x:f>IF(OR(G950="",H950=""),"",G950+H950)</x:f>
      </x:c>
      <x:c r="J950" t="str">
        <x:f>IF(I950="","",IF(I950&gt;2.5,"OVER","UNDER"))</x:f>
      </x:c>
      <x:c r="K950" s="30"/>
      <x:c r="L950" s="30"/>
      <x:c r="M950" s="30"/>
      <x:c r="N950" s="30"/>
      <x:c r="Y950" s="30"/>
      <x:c r="Z950" s="30"/>
      <x:c r="AA950" s="30"/>
      <x:c r="AB950" s="30"/>
    </x:row>
    <x:row r="951">
      <x:c r="B951" s="28"/>
      <x:c r="I951" t="str">
        <x:f>IF(OR(G951="",H951=""),"",G951+H951)</x:f>
      </x:c>
      <x:c r="J951" t="str">
        <x:f>IF(I951="","",IF(I951&gt;2.5,"OVER","UNDER"))</x:f>
      </x:c>
      <x:c r="K951" s="30"/>
      <x:c r="L951" s="30"/>
      <x:c r="M951" s="30"/>
      <x:c r="N951" s="30"/>
      <x:c r="Y951" s="30"/>
      <x:c r="Z951" s="30"/>
      <x:c r="AA951" s="30"/>
      <x:c r="AB951" s="30"/>
    </x:row>
    <x:row r="952">
      <x:c r="B952" s="28"/>
      <x:c r="I952" t="str">
        <x:f>IF(OR(G952="",H952=""),"",G952+H952)</x:f>
      </x:c>
      <x:c r="J952" t="str">
        <x:f>IF(I952="","",IF(I952&gt;2.5,"OVER","UNDER"))</x:f>
      </x:c>
      <x:c r="K952" s="30"/>
      <x:c r="L952" s="30"/>
      <x:c r="M952" s="30"/>
      <x:c r="N952" s="30"/>
      <x:c r="Y952" s="30"/>
      <x:c r="Z952" s="30"/>
      <x:c r="AA952" s="30"/>
      <x:c r="AB952" s="30"/>
    </x:row>
    <x:row r="953">
      <x:c r="B953" s="28"/>
      <x:c r="I953" t="str">
        <x:f>IF(OR(G953="",H953=""),"",G953+H953)</x:f>
      </x:c>
      <x:c r="J953" t="str">
        <x:f>IF(I953="","",IF(I953&gt;2.5,"OVER","UNDER"))</x:f>
      </x:c>
      <x:c r="K953" s="30"/>
      <x:c r="L953" s="30"/>
      <x:c r="M953" s="30"/>
      <x:c r="N953" s="30"/>
      <x:c r="Y953" s="30"/>
      <x:c r="Z953" s="30"/>
      <x:c r="AA953" s="30"/>
      <x:c r="AB953" s="30"/>
    </x:row>
    <x:row r="954">
      <x:c r="B954" s="28"/>
      <x:c r="I954" t="str">
        <x:f>IF(OR(G954="",H954=""),"",G954+H954)</x:f>
      </x:c>
      <x:c r="J954" t="str">
        <x:f>IF(I954="","",IF(I954&gt;2.5,"OVER","UNDER"))</x:f>
      </x:c>
      <x:c r="K954" s="30"/>
      <x:c r="L954" s="30"/>
      <x:c r="M954" s="30"/>
      <x:c r="N954" s="30"/>
      <x:c r="Y954" s="30"/>
      <x:c r="Z954" s="30"/>
      <x:c r="AA954" s="30"/>
      <x:c r="AB954" s="30"/>
    </x:row>
    <x:row r="955">
      <x:c r="B955" s="28"/>
      <x:c r="I955" t="str">
        <x:f>IF(OR(G955="",H955=""),"",G955+H955)</x:f>
      </x:c>
      <x:c r="J955" t="str">
        <x:f>IF(I955="","",IF(I955&gt;2.5,"OVER","UNDER"))</x:f>
      </x:c>
      <x:c r="K955" s="30"/>
      <x:c r="L955" s="30"/>
      <x:c r="M955" s="30"/>
      <x:c r="N955" s="30"/>
      <x:c r="Y955" s="30"/>
      <x:c r="Z955" s="30"/>
      <x:c r="AA955" s="30"/>
      <x:c r="AB955" s="30"/>
    </x:row>
    <x:row r="956">
      <x:c r="B956" s="28"/>
      <x:c r="I956" t="str">
        <x:f>IF(OR(G956="",H956=""),"",G956+H956)</x:f>
      </x:c>
      <x:c r="J956" t="str">
        <x:f>IF(I956="","",IF(I956&gt;2.5,"OVER","UNDER"))</x:f>
      </x:c>
      <x:c r="K956" s="30"/>
      <x:c r="L956" s="30"/>
      <x:c r="M956" s="30"/>
      <x:c r="N956" s="30"/>
      <x:c r="Y956" s="30"/>
      <x:c r="Z956" s="30"/>
      <x:c r="AA956" s="30"/>
      <x:c r="AB956" s="30"/>
    </x:row>
    <x:row r="957">
      <x:c r="B957" s="28"/>
      <x:c r="I957" t="str">
        <x:f>IF(OR(G957="",H957=""),"",G957+H957)</x:f>
      </x:c>
      <x:c r="J957" t="str">
        <x:f>IF(I957="","",IF(I957&gt;2.5,"OVER","UNDER"))</x:f>
      </x:c>
      <x:c r="K957" s="30"/>
      <x:c r="L957" s="30"/>
      <x:c r="M957" s="30"/>
      <x:c r="N957" s="30"/>
      <x:c r="Y957" s="30"/>
      <x:c r="Z957" s="30"/>
      <x:c r="AA957" s="30"/>
      <x:c r="AB957" s="30"/>
    </x:row>
    <x:row r="958">
      <x:c r="B958" s="28"/>
      <x:c r="I958" t="str">
        <x:f>IF(OR(G958="",H958=""),"",G958+H958)</x:f>
      </x:c>
      <x:c r="J958" t="str">
        <x:f>IF(I958="","",IF(I958&gt;2.5,"OVER","UNDER"))</x:f>
      </x:c>
      <x:c r="K958" s="30"/>
      <x:c r="L958" s="30"/>
      <x:c r="M958" s="30"/>
      <x:c r="N958" s="30"/>
      <x:c r="Y958" s="30"/>
      <x:c r="Z958" s="30"/>
      <x:c r="AA958" s="30"/>
      <x:c r="AB958" s="30"/>
    </x:row>
    <x:row r="959">
      <x:c r="B959" s="28"/>
      <x:c r="I959" t="str">
        <x:f>IF(OR(G959="",H959=""),"",G959+H959)</x:f>
      </x:c>
      <x:c r="J959" t="str">
        <x:f>IF(I959="","",IF(I959&gt;2.5,"OVER","UNDER"))</x:f>
      </x:c>
      <x:c r="K959" s="30"/>
      <x:c r="L959" s="30"/>
      <x:c r="M959" s="30"/>
      <x:c r="N959" s="30"/>
      <x:c r="Y959" s="30"/>
      <x:c r="Z959" s="30"/>
      <x:c r="AA959" s="30"/>
      <x:c r="AB959" s="30"/>
    </x:row>
    <x:row r="960">
      <x:c r="B960" s="28"/>
      <x:c r="I960" t="str">
        <x:f>IF(OR(G960="",H960=""),"",G960+H960)</x:f>
      </x:c>
      <x:c r="J960" t="str">
        <x:f>IF(I960="","",IF(I960&gt;2.5,"OVER","UNDER"))</x:f>
      </x:c>
      <x:c r="K960" s="30"/>
      <x:c r="L960" s="30"/>
      <x:c r="M960" s="30"/>
      <x:c r="N960" s="30"/>
      <x:c r="Y960" s="30"/>
      <x:c r="Z960" s="30"/>
      <x:c r="AA960" s="30"/>
      <x:c r="AB960" s="30"/>
    </x:row>
    <x:row r="961">
      <x:c r="B961" s="28"/>
      <x:c r="I961" t="str">
        <x:f>IF(OR(G961="",H961=""),"",G961+H961)</x:f>
      </x:c>
      <x:c r="J961" t="str">
        <x:f>IF(I961="","",IF(I961&gt;2.5,"OVER","UNDER"))</x:f>
      </x:c>
      <x:c r="K961" s="30"/>
      <x:c r="L961" s="30"/>
      <x:c r="M961" s="30"/>
      <x:c r="N961" s="30"/>
      <x:c r="Y961" s="30"/>
      <x:c r="Z961" s="30"/>
      <x:c r="AA961" s="30"/>
      <x:c r="AB961" s="30"/>
    </x:row>
    <x:row r="962">
      <x:c r="B962" s="28"/>
      <x:c r="I962" t="str">
        <x:f>IF(OR(G962="",H962=""),"",G962+H962)</x:f>
      </x:c>
      <x:c r="J962" t="str">
        <x:f>IF(I962="","",IF(I962&gt;2.5,"OVER","UNDER"))</x:f>
      </x:c>
      <x:c r="K962" s="30"/>
      <x:c r="L962" s="30"/>
      <x:c r="M962" s="30"/>
      <x:c r="N962" s="30"/>
      <x:c r="Y962" s="30"/>
      <x:c r="Z962" s="30"/>
      <x:c r="AA962" s="30"/>
      <x:c r="AB962" s="30"/>
    </x:row>
    <x:row r="963">
      <x:c r="B963" s="28"/>
      <x:c r="I963" t="str">
        <x:f>IF(OR(G963="",H963=""),"",G963+H963)</x:f>
      </x:c>
      <x:c r="J963" t="str">
        <x:f>IF(I963="","",IF(I963&gt;2.5,"OVER","UNDER"))</x:f>
      </x:c>
      <x:c r="K963" s="30"/>
      <x:c r="L963" s="30"/>
      <x:c r="M963" s="30"/>
      <x:c r="N963" s="30"/>
      <x:c r="Y963" s="30"/>
      <x:c r="Z963" s="30"/>
      <x:c r="AA963" s="30"/>
      <x:c r="AB963" s="30"/>
    </x:row>
    <x:row r="964">
      <x:c r="B964" s="28"/>
      <x:c r="I964" t="str">
        <x:f>IF(OR(G964="",H964=""),"",G964+H964)</x:f>
      </x:c>
      <x:c r="J964" t="str">
        <x:f>IF(I964="","",IF(I964&gt;2.5,"OVER","UNDER"))</x:f>
      </x:c>
      <x:c r="K964" s="30"/>
      <x:c r="L964" s="30"/>
      <x:c r="M964" s="30"/>
      <x:c r="N964" s="30"/>
      <x:c r="Y964" s="30"/>
      <x:c r="Z964" s="30"/>
      <x:c r="AA964" s="30"/>
      <x:c r="AB964" s="30"/>
    </x:row>
    <x:row r="965">
      <x:c r="B965" s="28"/>
      <x:c r="I965" t="str">
        <x:f>IF(OR(G965="",H965=""),"",G965+H965)</x:f>
      </x:c>
      <x:c r="J965" t="str">
        <x:f>IF(I965="","",IF(I965&gt;2.5,"OVER","UNDER"))</x:f>
      </x:c>
      <x:c r="K965" s="30"/>
      <x:c r="L965" s="30"/>
      <x:c r="M965" s="30"/>
      <x:c r="N965" s="30"/>
      <x:c r="Y965" s="30"/>
      <x:c r="Z965" s="30"/>
      <x:c r="AA965" s="30"/>
      <x:c r="AB965" s="30"/>
    </x:row>
    <x:row r="966">
      <x:c r="B966" s="28"/>
      <x:c r="I966" t="str">
        <x:f>IF(OR(G966="",H966=""),"",G966+H966)</x:f>
      </x:c>
      <x:c r="J966" t="str">
        <x:f>IF(I966="","",IF(I966&gt;2.5,"OVER","UNDER"))</x:f>
      </x:c>
      <x:c r="K966" s="30"/>
      <x:c r="L966" s="30"/>
      <x:c r="M966" s="30"/>
      <x:c r="N966" s="30"/>
      <x:c r="Y966" s="30"/>
      <x:c r="Z966" s="30"/>
      <x:c r="AA966" s="30"/>
      <x:c r="AB966" s="30"/>
    </x:row>
    <x:row r="967">
      <x:c r="B967" s="28"/>
      <x:c r="I967" t="str">
        <x:f>IF(OR(G967="",H967=""),"",G967+H967)</x:f>
      </x:c>
      <x:c r="J967" t="str">
        <x:f>IF(I967="","",IF(I967&gt;2.5,"OVER","UNDER"))</x:f>
      </x:c>
      <x:c r="K967" s="30"/>
      <x:c r="L967" s="30"/>
      <x:c r="M967" s="30"/>
      <x:c r="N967" s="30"/>
      <x:c r="Y967" s="30"/>
      <x:c r="Z967" s="30"/>
      <x:c r="AA967" s="30"/>
      <x:c r="AB967" s="30"/>
    </x:row>
    <x:row r="968">
      <x:c r="B968" s="28"/>
      <x:c r="I968" t="str">
        <x:f>IF(OR(G968="",H968=""),"",G968+H968)</x:f>
      </x:c>
      <x:c r="J968" t="str">
        <x:f>IF(I968="","",IF(I968&gt;2.5,"OVER","UNDER"))</x:f>
      </x:c>
      <x:c r="K968" s="30"/>
      <x:c r="L968" s="30"/>
      <x:c r="M968" s="30"/>
      <x:c r="N968" s="30"/>
      <x:c r="Y968" s="30"/>
      <x:c r="Z968" s="30"/>
      <x:c r="AA968" s="30"/>
      <x:c r="AB968" s="30"/>
    </x:row>
    <x:row r="969">
      <x:c r="B969" s="28"/>
      <x:c r="I969" t="str">
        <x:f>IF(OR(G969="",H969=""),"",G969+H969)</x:f>
      </x:c>
      <x:c r="J969" t="str">
        <x:f>IF(I969="","",IF(I969&gt;2.5,"OVER","UNDER"))</x:f>
      </x:c>
      <x:c r="K969" s="30"/>
      <x:c r="L969" s="30"/>
      <x:c r="M969" s="30"/>
      <x:c r="N969" s="30"/>
      <x:c r="Y969" s="30"/>
      <x:c r="Z969" s="30"/>
      <x:c r="AA969" s="30"/>
      <x:c r="AB969" s="30"/>
    </x:row>
    <x:row r="970">
      <x:c r="B970" s="28"/>
      <x:c r="I970" t="str">
        <x:f>IF(OR(G970="",H970=""),"",G970+H970)</x:f>
      </x:c>
      <x:c r="J970" t="str">
        <x:f>IF(I970="","",IF(I970&gt;2.5,"OVER","UNDER"))</x:f>
      </x:c>
      <x:c r="K970" s="30"/>
      <x:c r="L970" s="30"/>
      <x:c r="M970" s="30"/>
      <x:c r="N970" s="30"/>
      <x:c r="Y970" s="30"/>
      <x:c r="Z970" s="30"/>
      <x:c r="AA970" s="30"/>
      <x:c r="AB970" s="30"/>
    </x:row>
    <x:row r="971">
      <x:c r="B971" s="28"/>
      <x:c r="I971" t="str">
        <x:f>IF(OR(G971="",H971=""),"",G971+H971)</x:f>
      </x:c>
      <x:c r="J971" t="str">
        <x:f>IF(I971="","",IF(I971&gt;2.5,"OVER","UNDER"))</x:f>
      </x:c>
      <x:c r="K971" s="30"/>
      <x:c r="L971" s="30"/>
      <x:c r="M971" s="30"/>
      <x:c r="N971" s="30"/>
      <x:c r="Y971" s="30"/>
      <x:c r="Z971" s="30"/>
      <x:c r="AA971" s="30"/>
      <x:c r="AB971" s="30"/>
    </x:row>
    <x:row r="972">
      <x:c r="B972" s="28"/>
      <x:c r="I972" t="str">
        <x:f>IF(OR(G972="",H972=""),"",G972+H972)</x:f>
      </x:c>
      <x:c r="J972" t="str">
        <x:f>IF(I972="","",IF(I972&gt;2.5,"OVER","UNDER"))</x:f>
      </x:c>
      <x:c r="K972" s="30"/>
      <x:c r="L972" s="30"/>
      <x:c r="M972" s="30"/>
      <x:c r="N972" s="30"/>
      <x:c r="Y972" s="30"/>
      <x:c r="Z972" s="30"/>
      <x:c r="AA972" s="30"/>
      <x:c r="AB972" s="30"/>
    </x:row>
    <x:row r="973">
      <x:c r="B973" s="28"/>
      <x:c r="I973" t="str">
        <x:f>IF(OR(G973="",H973=""),"",G973+H973)</x:f>
      </x:c>
      <x:c r="J973" t="str">
        <x:f>IF(I973="","",IF(I973&gt;2.5,"OVER","UNDER"))</x:f>
      </x:c>
      <x:c r="K973" s="30"/>
      <x:c r="L973" s="30"/>
      <x:c r="M973" s="30"/>
      <x:c r="N973" s="30"/>
      <x:c r="Y973" s="30"/>
      <x:c r="Z973" s="30"/>
      <x:c r="AA973" s="30"/>
      <x:c r="AB973" s="30"/>
    </x:row>
    <x:row r="974">
      <x:c r="B974" s="28"/>
      <x:c r="I974" t="str">
        <x:f>IF(OR(G974="",H974=""),"",G974+H974)</x:f>
      </x:c>
      <x:c r="J974" t="str">
        <x:f>IF(I974="","",IF(I974&gt;2.5,"OVER","UNDER"))</x:f>
      </x:c>
      <x:c r="K974" s="30"/>
      <x:c r="L974" s="30"/>
      <x:c r="M974" s="30"/>
      <x:c r="N974" s="30"/>
      <x:c r="Y974" s="30"/>
      <x:c r="Z974" s="30"/>
      <x:c r="AA974" s="30"/>
      <x:c r="AB974" s="30"/>
    </x:row>
    <x:row r="975">
      <x:c r="B975" s="28"/>
      <x:c r="I975" t="str">
        <x:f>IF(OR(G975="",H975=""),"",G975+H975)</x:f>
      </x:c>
      <x:c r="J975" t="str">
        <x:f>IF(I975="","",IF(I975&gt;2.5,"OVER","UNDER"))</x:f>
      </x:c>
      <x:c r="K975" s="30"/>
      <x:c r="L975" s="30"/>
      <x:c r="M975" s="30"/>
      <x:c r="N975" s="30"/>
      <x:c r="Y975" s="30"/>
      <x:c r="Z975" s="30"/>
      <x:c r="AA975" s="30"/>
      <x:c r="AB975" s="30"/>
    </x:row>
    <x:row r="976">
      <x:c r="B976" s="28"/>
      <x:c r="I976" t="str">
        <x:f>IF(OR(G976="",H976=""),"",G976+H976)</x:f>
      </x:c>
      <x:c r="J976" t="str">
        <x:f>IF(I976="","",IF(I976&gt;2.5,"OVER","UNDER"))</x:f>
      </x:c>
      <x:c r="K976" s="30"/>
      <x:c r="L976" s="30"/>
      <x:c r="M976" s="30"/>
      <x:c r="N976" s="30"/>
      <x:c r="Y976" s="30"/>
      <x:c r="Z976" s="30"/>
      <x:c r="AA976" s="30"/>
      <x:c r="AB976" s="30"/>
    </x:row>
    <x:row r="977">
      <x:c r="B977" s="28"/>
      <x:c r="I977" t="str">
        <x:f>IF(OR(G977="",H977=""),"",G977+H977)</x:f>
      </x:c>
      <x:c r="J977" t="str">
        <x:f>IF(I977="","",IF(I977&gt;2.5,"OVER","UNDER"))</x:f>
      </x:c>
      <x:c r="K977" s="30"/>
      <x:c r="L977" s="30"/>
      <x:c r="M977" s="30"/>
      <x:c r="N977" s="30"/>
      <x:c r="Y977" s="30"/>
      <x:c r="Z977" s="30"/>
      <x:c r="AA977" s="30"/>
      <x:c r="AB977" s="30"/>
    </x:row>
    <x:row r="978">
      <x:c r="B978" s="28"/>
      <x:c r="I978" t="str">
        <x:f>IF(OR(G978="",H978=""),"",G978+H978)</x:f>
      </x:c>
      <x:c r="J978" t="str">
        <x:f>IF(I978="","",IF(I978&gt;2.5,"OVER","UNDER"))</x:f>
      </x:c>
      <x:c r="K978" s="30"/>
      <x:c r="L978" s="30"/>
      <x:c r="M978" s="30"/>
      <x:c r="N978" s="30"/>
      <x:c r="Y978" s="30"/>
      <x:c r="Z978" s="30"/>
      <x:c r="AA978" s="30"/>
      <x:c r="AB978" s="30"/>
    </x:row>
    <x:row r="979">
      <x:c r="B979" s="28"/>
      <x:c r="I979" t="str">
        <x:f>IF(OR(G979="",H979=""),"",G979+H979)</x:f>
      </x:c>
      <x:c r="J979" t="str">
        <x:f>IF(I979="","",IF(I979&gt;2.5,"OVER","UNDER"))</x:f>
      </x:c>
      <x:c r="K979" s="30"/>
      <x:c r="L979" s="30"/>
      <x:c r="M979" s="30"/>
      <x:c r="N979" s="30"/>
      <x:c r="Y979" s="30"/>
      <x:c r="Z979" s="30"/>
      <x:c r="AA979" s="30"/>
      <x:c r="AB979" s="30"/>
    </x:row>
    <x:row r="980">
      <x:c r="B980" s="28"/>
      <x:c r="I980" t="str">
        <x:f>IF(OR(G980="",H980=""),"",G980+H980)</x:f>
      </x:c>
      <x:c r="J980" t="str">
        <x:f>IF(I980="","",IF(I980&gt;2.5,"OVER","UNDER"))</x:f>
      </x:c>
      <x:c r="K980" s="30"/>
      <x:c r="L980" s="30"/>
      <x:c r="M980" s="30"/>
      <x:c r="N980" s="30"/>
      <x:c r="Y980" s="30"/>
      <x:c r="Z980" s="30"/>
      <x:c r="AA980" s="30"/>
      <x:c r="AB980" s="30"/>
    </x:row>
    <x:row r="981">
      <x:c r="B981" s="28"/>
      <x:c r="I981" t="str">
        <x:f>IF(OR(G981="",H981=""),"",G981+H981)</x:f>
      </x:c>
      <x:c r="J981" t="str">
        <x:f>IF(I981="","",IF(I981&gt;2.5,"OVER","UNDER"))</x:f>
      </x:c>
      <x:c r="K981" s="30"/>
      <x:c r="L981" s="30"/>
      <x:c r="M981" s="30"/>
      <x:c r="N981" s="30"/>
      <x:c r="Y981" s="30"/>
      <x:c r="Z981" s="30"/>
      <x:c r="AA981" s="30"/>
      <x:c r="AB981" s="30"/>
    </x:row>
    <x:row r="982">
      <x:c r="B982" s="28"/>
      <x:c r="I982" t="str">
        <x:f>IF(OR(G982="",H982=""),"",G982+H982)</x:f>
      </x:c>
      <x:c r="J982" t="str">
        <x:f>IF(I982="","",IF(I982&gt;2.5,"OVER","UNDER"))</x:f>
      </x:c>
      <x:c r="K982" s="30"/>
      <x:c r="L982" s="30"/>
      <x:c r="M982" s="30"/>
      <x:c r="N982" s="30"/>
      <x:c r="Y982" s="30"/>
      <x:c r="Z982" s="30"/>
      <x:c r="AA982" s="30"/>
      <x:c r="AB982" s="30"/>
    </x:row>
    <x:row r="983">
      <x:c r="B983" s="28"/>
      <x:c r="I983" t="str">
        <x:f>IF(OR(G983="",H983=""),"",G983+H983)</x:f>
      </x:c>
      <x:c r="J983" t="str">
        <x:f>IF(I983="","",IF(I983&gt;2.5,"OVER","UNDER"))</x:f>
      </x:c>
      <x:c r="K983" s="30"/>
      <x:c r="L983" s="30"/>
      <x:c r="M983" s="30"/>
      <x:c r="N983" s="30"/>
      <x:c r="Y983" s="30"/>
      <x:c r="Z983" s="30"/>
      <x:c r="AA983" s="30"/>
      <x:c r="AB983" s="30"/>
    </x:row>
    <x:row r="984">
      <x:c r="B984" s="28"/>
      <x:c r="I984" t="str">
        <x:f>IF(OR(G984="",H984=""),"",G984+H984)</x:f>
      </x:c>
      <x:c r="J984" t="str">
        <x:f>IF(I984="","",IF(I984&gt;2.5,"OVER","UNDER"))</x:f>
      </x:c>
      <x:c r="K984" s="30"/>
      <x:c r="L984" s="30"/>
      <x:c r="M984" s="30"/>
      <x:c r="N984" s="30"/>
      <x:c r="Y984" s="30"/>
      <x:c r="Z984" s="30"/>
      <x:c r="AA984" s="30"/>
      <x:c r="AB984" s="30"/>
    </x:row>
    <x:row r="985">
      <x:c r="B985" s="28"/>
      <x:c r="I985" t="str">
        <x:f>IF(OR(G985="",H985=""),"",G985+H985)</x:f>
      </x:c>
      <x:c r="J985" t="str">
        <x:f>IF(I985="","",IF(I985&gt;2.5,"OVER","UNDER"))</x:f>
      </x:c>
      <x:c r="K985" s="30"/>
      <x:c r="L985" s="30"/>
      <x:c r="M985" s="30"/>
      <x:c r="N985" s="30"/>
      <x:c r="Y985" s="30"/>
      <x:c r="Z985" s="30"/>
      <x:c r="AA985" s="30"/>
      <x:c r="AB985" s="30"/>
    </x:row>
    <x:row r="986">
      <x:c r="B986" s="28"/>
      <x:c r="I986" t="str">
        <x:f>IF(OR(G986="",H986=""),"",G986+H986)</x:f>
      </x:c>
      <x:c r="J986" t="str">
        <x:f>IF(I986="","",IF(I986&gt;2.5,"OVER","UNDER"))</x:f>
      </x:c>
      <x:c r="K986" s="30"/>
      <x:c r="L986" s="30"/>
      <x:c r="M986" s="30"/>
      <x:c r="N986" s="30"/>
      <x:c r="Y986" s="30"/>
      <x:c r="Z986" s="30"/>
      <x:c r="AA986" s="30"/>
      <x:c r="AB986" s="30"/>
    </x:row>
    <x:row r="987">
      <x:c r="B987" s="28"/>
      <x:c r="I987" t="str">
        <x:f>IF(OR(G987="",H987=""),"",G987+H987)</x:f>
      </x:c>
      <x:c r="J987" t="str">
        <x:f>IF(I987="","",IF(I987&gt;2.5,"OVER","UNDER"))</x:f>
      </x:c>
      <x:c r="K987" s="30"/>
      <x:c r="L987" s="30"/>
      <x:c r="M987" s="30"/>
      <x:c r="N987" s="30"/>
      <x:c r="Y987" s="30"/>
      <x:c r="Z987" s="30"/>
      <x:c r="AA987" s="30"/>
      <x:c r="AB987" s="30"/>
    </x:row>
    <x:row r="988">
      <x:c r="B988" s="28"/>
      <x:c r="I988" t="str">
        <x:f>IF(OR(G988="",H988=""),"",G988+H988)</x:f>
      </x:c>
      <x:c r="J988" t="str">
        <x:f>IF(I988="","",IF(I988&gt;2.5,"OVER","UNDER"))</x:f>
      </x:c>
      <x:c r="K988" s="30"/>
      <x:c r="L988" s="30"/>
      <x:c r="M988" s="30"/>
      <x:c r="N988" s="30"/>
      <x:c r="Y988" s="30"/>
      <x:c r="Z988" s="30"/>
      <x:c r="AA988" s="30"/>
      <x:c r="AB988" s="30"/>
    </x:row>
    <x:row r="989">
      <x:c r="B989" s="28"/>
      <x:c r="I989" t="str">
        <x:f>IF(OR(G989="",H989=""),"",G989+H989)</x:f>
      </x:c>
      <x:c r="J989" t="str">
        <x:f>IF(I989="","",IF(I989&gt;2.5,"OVER","UNDER"))</x:f>
      </x:c>
      <x:c r="K989" s="30"/>
      <x:c r="L989" s="30"/>
      <x:c r="M989" s="30"/>
      <x:c r="N989" s="30"/>
      <x:c r="Y989" s="30"/>
      <x:c r="Z989" s="30"/>
      <x:c r="AA989" s="30"/>
      <x:c r="AB989" s="30"/>
    </x:row>
    <x:row r="990">
      <x:c r="B990" s="28"/>
      <x:c r="I990" t="str">
        <x:f>IF(OR(G990="",H990=""),"",G990+H990)</x:f>
      </x:c>
      <x:c r="J990" t="str">
        <x:f>IF(I990="","",IF(I990&gt;2.5,"OVER","UNDER"))</x:f>
      </x:c>
      <x:c r="K990" s="30"/>
      <x:c r="L990" s="30"/>
      <x:c r="M990" s="30"/>
      <x:c r="N990" s="30"/>
      <x:c r="Y990" s="30"/>
      <x:c r="Z990" s="30"/>
      <x:c r="AA990" s="30"/>
      <x:c r="AB990" s="30"/>
    </x:row>
    <x:row r="991">
      <x:c r="B991" s="28"/>
      <x:c r="I991" t="str">
        <x:f>IF(OR(G991="",H991=""),"",G991+H991)</x:f>
      </x:c>
      <x:c r="J991" t="str">
        <x:f>IF(I991="","",IF(I991&gt;2.5,"OVER","UNDER"))</x:f>
      </x:c>
      <x:c r="K991" s="30"/>
      <x:c r="L991" s="30"/>
      <x:c r="M991" s="30"/>
      <x:c r="N991" s="30"/>
      <x:c r="Y991" s="30"/>
      <x:c r="Z991" s="30"/>
      <x:c r="AA991" s="30"/>
      <x:c r="AB991" s="30"/>
    </x:row>
    <x:row r="992">
      <x:c r="B992" s="28"/>
      <x:c r="I992" t="str">
        <x:f>IF(OR(G992="",H992=""),"",G992+H992)</x:f>
      </x:c>
      <x:c r="J992" t="str">
        <x:f>IF(I992="","",IF(I992&gt;2.5,"OVER","UNDER"))</x:f>
      </x:c>
      <x:c r="K992" s="30"/>
      <x:c r="L992" s="30"/>
      <x:c r="M992" s="30"/>
      <x:c r="N992" s="30"/>
      <x:c r="Y992" s="30"/>
      <x:c r="Z992" s="30"/>
      <x:c r="AA992" s="30"/>
      <x:c r="AB992" s="30"/>
    </x:row>
    <x:row r="993">
      <x:c r="B993" s="28"/>
      <x:c r="I993" t="str">
        <x:f>IF(OR(G993="",H993=""),"",G993+H993)</x:f>
      </x:c>
      <x:c r="J993" t="str">
        <x:f>IF(I993="","",IF(I993&gt;2.5,"OVER","UNDER"))</x:f>
      </x:c>
      <x:c r="K993" s="30"/>
      <x:c r="L993" s="30"/>
      <x:c r="M993" s="30"/>
      <x:c r="N993" s="30"/>
      <x:c r="Y993" s="30"/>
      <x:c r="Z993" s="30"/>
      <x:c r="AA993" s="30"/>
      <x:c r="AB993" s="30"/>
    </x:row>
    <x:row r="994">
      <x:c r="B994" s="28"/>
      <x:c r="I994" t="str">
        <x:f>IF(OR(G994="",H994=""),"",G994+H994)</x:f>
      </x:c>
      <x:c r="J994" t="str">
        <x:f>IF(I994="","",IF(I994&gt;2.5,"OVER","UNDER"))</x:f>
      </x:c>
      <x:c r="K994" s="30"/>
      <x:c r="L994" s="30"/>
      <x:c r="M994" s="30"/>
      <x:c r="N994" s="30"/>
      <x:c r="Y994" s="30"/>
      <x:c r="Z994" s="30"/>
      <x:c r="AA994" s="30"/>
      <x:c r="AB994" s="30"/>
    </x:row>
    <x:row r="995">
      <x:c r="B995" s="28"/>
      <x:c r="I995" t="str">
        <x:f>IF(OR(G995="",H995=""),"",G995+H995)</x:f>
      </x:c>
      <x:c r="J995" t="str">
        <x:f>IF(I995="","",IF(I995&gt;2.5,"OVER","UNDER"))</x:f>
      </x:c>
      <x:c r="K995" s="30"/>
      <x:c r="L995" s="30"/>
      <x:c r="M995" s="30"/>
      <x:c r="N995" s="30"/>
      <x:c r="Y995" s="30"/>
      <x:c r="Z995" s="30"/>
      <x:c r="AA995" s="30"/>
      <x:c r="AB995" s="30"/>
    </x:row>
    <x:row r="996">
      <x:c r="B996" s="28"/>
      <x:c r="I996" t="str">
        <x:f>IF(OR(G996="",H996=""),"",G996+H996)</x:f>
      </x:c>
      <x:c r="J996" t="str">
        <x:f>IF(I996="","",IF(I996&gt;2.5,"OVER","UNDER"))</x:f>
      </x:c>
      <x:c r="K996" s="30"/>
      <x:c r="L996" s="30"/>
      <x:c r="M996" s="30"/>
      <x:c r="N996" s="30"/>
      <x:c r="Y996" s="30"/>
      <x:c r="Z996" s="30"/>
      <x:c r="AA996" s="30"/>
      <x:c r="AB996" s="30"/>
    </x:row>
    <x:row r="997">
      <x:c r="B997" s="28"/>
      <x:c r="I997" t="str">
        <x:f>IF(OR(G997="",H997=""),"",G997+H997)</x:f>
      </x:c>
      <x:c r="J997" t="str">
        <x:f>IF(I997="","",IF(I997&gt;2.5,"OVER","UNDER"))</x:f>
      </x:c>
      <x:c r="K997" s="30"/>
      <x:c r="L997" s="30"/>
      <x:c r="M997" s="30"/>
      <x:c r="N997" s="30"/>
      <x:c r="Y997" s="30"/>
      <x:c r="Z997" s="30"/>
      <x:c r="AA997" s="30"/>
      <x:c r="AB997" s="30"/>
    </x:row>
    <x:row r="998">
      <x:c r="B998" s="28"/>
      <x:c r="I998" t="str">
        <x:f>IF(OR(G998="",H998=""),"",G998+H998)</x:f>
      </x:c>
      <x:c r="J998" t="str">
        <x:f>IF(I998="","",IF(I998&gt;2.5,"OVER","UNDER"))</x:f>
      </x:c>
      <x:c r="K998" s="30"/>
      <x:c r="L998" s="30"/>
      <x:c r="M998" s="30"/>
      <x:c r="N998" s="30"/>
      <x:c r="Y998" s="30"/>
      <x:c r="Z998" s="30"/>
      <x:c r="AA998" s="30"/>
      <x:c r="AB998" s="30"/>
    </x:row>
    <x:row r="999">
      <x:c r="B999" s="28"/>
      <x:c r="I999" t="str">
        <x:f>IF(OR(G999="",H999=""),"",G999+H999)</x:f>
      </x:c>
      <x:c r="J999" t="str">
        <x:f>IF(I999="","",IF(I999&gt;2.5,"OVER","UNDER"))</x:f>
      </x:c>
      <x:c r="K999" s="30"/>
      <x:c r="L999" s="30"/>
      <x:c r="M999" s="30"/>
      <x:c r="N999" s="30"/>
      <x:c r="Y999" s="30"/>
      <x:c r="Z999" s="30"/>
      <x:c r="AA999" s="30"/>
      <x:c r="AB999" s="30"/>
    </x:row>
    <x:row r="1000">
      <x:c r="B1000" s="28"/>
      <x:c r="I1000" t="str">
        <x:f>IF(OR(G1000="",H1000=""),"",G1000+H1000)</x:f>
      </x:c>
      <x:c r="J1000" t="str">
        <x:f>IF(I1000="","",IF(I1000&gt;2.5,"OVER","UNDER"))</x:f>
      </x:c>
      <x:c r="K1000" s="30"/>
      <x:c r="L1000" s="30"/>
      <x:c r="M1000" s="30"/>
      <x:c r="N1000" s="30"/>
      <x:c r="Y1000" s="30"/>
      <x:c r="Z1000" s="30"/>
      <x:c r="AA1000" s="30"/>
      <x:c r="AB1000" s="30"/>
    </x:row>
    <x:row r="1001">
      <x:c r="B1001" s="28"/>
      <x:c r="I1001" t="str">
        <x:f>IF(OR(G1001="",H1001=""),"",G1001+H1001)</x:f>
      </x:c>
      <x:c r="J1001" t="str">
        <x:f>IF(I1001="","",IF(I1001&gt;2.5,"OVER","UNDER"))</x:f>
      </x:c>
      <x:c r="K1001" s="30"/>
      <x:c r="L1001" s="30"/>
      <x:c r="M1001" s="30"/>
      <x:c r="N1001" s="30"/>
      <x:c r="Y1001" s="30"/>
      <x:c r="Z1001" s="30"/>
      <x:c r="AA1001" s="30"/>
      <x:c r="AB1001" s="30"/>
    </x:row>
  </x:sheetData>
  <x:dataValidations count="1">
    <x:dataValidation type="list" sqref="AC2:AC1001">
      <x:formula1>"Discovery,Validation,Forward Test,Live Paper"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6fd04f076e43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28" hidden="0" customWidth="1"/>
  </x:cols>
  <x:sheetData>
    <x:row r="1">
      <x:c r="A1" s="22" t="str">
        <x:v>Match_ID</x:v>
      </x:c>
      <x:c r="B1" s="22" t="str">
        <x:v>Date</x:v>
      </x:c>
      <x:c r="C1" s="22" t="str">
        <x:v>League</x:v>
      </x:c>
      <x:c r="D1" s="22" t="str">
        <x:v>Home_Team</x:v>
      </x:c>
      <x:c r="E1" s="22" t="str">
        <x:v>Away_Team</x:v>
      </x:c>
      <x:c r="F1" s="22" t="str">
        <x:v>Data_Split</x:v>
      </x:c>
      <x:c r="G1" s="22" t="str">
        <x:v>Avg_xG</x:v>
      </x:c>
      <x:c r="H1" s="22" t="str">
        <x:v>Avg_xGA_Form</x:v>
      </x:c>
      <x:c r="I1" s="22" t="str">
        <x:v>GF_Form_Total</x:v>
      </x:c>
      <x:c r="J1" s="22" t="str">
        <x:v>GA_Form_Total</x:v>
      </x:c>
      <x:c r="K1" s="22" t="str">
        <x:v>SOT_Total</x:v>
      </x:c>
      <x:c r="L1" s="22" t="str">
        <x:v>Rest_Adv_Home</x:v>
      </x:c>
      <x:c r="M1" s="22" t="str">
        <x:v>Open_Over_Implied</x:v>
      </x:c>
      <x:c r="N1" s="22" t="str">
        <x:v>Close_Over_Implied</x:v>
      </x:c>
      <x:c r="O1" s="22" t="str">
        <x:v>Market_Move_Over</x:v>
      </x:c>
      <x:c r="P1" s="22" t="str">
        <x:v>Observed_Over25</x:v>
      </x:c>
      <x:c r="Q1" s="22" t="str">
        <x:v>Pattern_Tag</x:v>
      </x:c>
    </x:row>
    <x:row r="2">
      <x:c r="A2" t="str">
        <x:f>Match_Data!A2</x:f>
        <x:v>MLS-2026-08-19-SKC-STL</x:v>
      </x:c>
      <x:c r="B2" s="28" t="str">
        <x:f>Match_Data!B2</x:f>
        <x:v>2026-08-19</x:v>
      </x:c>
      <x:c r="C2" t="str">
        <x:f>Match_Data!C2</x:f>
        <x:v>MLS</x:v>
      </x:c>
      <x:c r="D2" t="str">
        <x:f>Match_Data!E2</x:f>
        <x:v>Sporting Kansas City</x:v>
      </x:c>
      <x:c r="E2" t="str">
        <x:f>Match_Data!F2</x:f>
        <x:v>St. Louis CITY SC</x:v>
      </x:c>
      <x:c r="F2" t="str">
        <x:f>Match_Data!AC2</x:f>
        <x:v>Live Paper</x:v>
      </x:c>
      <x:c r="G2" t="n">
        <x:f>IF(OR(Match_Data!K2="",Match_Data!L2=""),"",AVERAGE(Match_Data!K2:L2))</x:f>
        <x:v>1.235</x:v>
      </x:c>
      <x:c r="H2" t="n">
        <x:f>IF(OR(Match_Data!M2="",Match_Data!N2=""),"",AVERAGE(Match_Data!M2:N2))</x:f>
        <x:v>1.645</x:v>
      </x:c>
      <x:c r="I2" t="n">
        <x:f>IF(OR(Match_Data!O2="",Match_Data!Q2=""),"",Match_Data!O2+Match_Data!Q2)</x:f>
        <x:v>3</x:v>
      </x:c>
      <x:c r="J2" t="n">
        <x:f>IF(OR(Match_Data!P2="",Match_Data!R2=""),"",Match_Data!P2+Match_Data!R2)</x:f>
        <x:v>3.4</x:v>
      </x:c>
      <x:c r="K2" t="str">
        <x:f>IF(OR(Match_Data!S2="",Match_Data!T2=""),"",Match_Data!S2+Match_Data!T2)</x:f>
      </x:c>
      <x:c r="L2" t="n">
        <x:f>IF(OR(Match_Data!U2="",Match_Data!V2=""),"",Match_Data!U2-Match_Data!V2)</x:f>
        <x:v>0</x:v>
      </x:c>
      <x:c r="M2" s="32" t="str">
        <x:f>IF(Match_Data!Y2="","",1/Match_Data!Y2)</x:f>
      </x:c>
      <x:c r="N2" s="32" t="str">
        <x:f>IF(Match_Data!AA2="","",1/Match_Data!AA2)</x:f>
      </x:c>
      <x:c r="O2" s="32" t="str">
        <x:f>IF(OR(M2="",N2=""),"",N2-M2)</x:f>
      </x:c>
      <x:c r="P2" t="str">
        <x:f>IF(Match_Data!J2="","",IF(Match_Data!J2="OVER",1,0))</x:f>
      </x:c>
    </x:row>
    <x:row r="3">
      <x:c r="A3" t="n">
        <x:f>Match_Data!A3</x:f>
        <x:v>0</x:v>
      </x:c>
      <x:c r="B3" s="28" t="n">
        <x:f>Match_Data!B3</x:f>
        <x:v>0</x:v>
      </x:c>
      <x:c r="C3" t="n">
        <x:f>Match_Data!C3</x:f>
        <x:v>0</x:v>
      </x:c>
      <x:c r="D3" t="n">
        <x:f>Match_Data!E3</x:f>
        <x:v>0</x:v>
      </x:c>
      <x:c r="E3" t="n">
        <x:f>Match_Data!F3</x:f>
        <x:v>0</x:v>
      </x:c>
      <x:c r="F3" t="n">
        <x:f>Match_Data!AC3</x:f>
        <x:v>0</x:v>
      </x:c>
      <x:c r="G3" t="str">
        <x:f>IF(OR(Match_Data!K3="",Match_Data!L3=""),"",AVERAGE(Match_Data!K3:L3))</x:f>
      </x:c>
      <x:c r="H3" t="str">
        <x:f>IF(OR(Match_Data!M3="",Match_Data!N3=""),"",AVERAGE(Match_Data!M3:N3))</x:f>
      </x:c>
      <x:c r="I3" t="str">
        <x:f>IF(OR(Match_Data!O3="",Match_Data!Q3=""),"",Match_Data!O3+Match_Data!Q3)</x:f>
      </x:c>
      <x:c r="J3" t="str">
        <x:f>IF(OR(Match_Data!P3="",Match_Data!R3=""),"",Match_Data!P3+Match_Data!R3)</x:f>
      </x:c>
      <x:c r="K3" t="str">
        <x:f>IF(OR(Match_Data!S3="",Match_Data!T3=""),"",Match_Data!S3+Match_Data!T3)</x:f>
      </x:c>
      <x:c r="L3" t="str">
        <x:f>IF(OR(Match_Data!U3="",Match_Data!V3=""),"",Match_Data!U3-Match_Data!V3)</x:f>
      </x:c>
      <x:c r="M3" s="32" t="str">
        <x:f>IF(Match_Data!Y3="","",1/Match_Data!Y3)</x:f>
      </x:c>
      <x:c r="N3" s="32" t="str">
        <x:f>IF(Match_Data!AA3="","",1/Match_Data!AA3)</x:f>
      </x:c>
      <x:c r="O3" s="32" t="str">
        <x:f>IF(OR(M3="",N3=""),"",N3-M3)</x:f>
      </x:c>
      <x:c r="P3" t="str">
        <x:f>IF(Match_Data!J3="","",IF(Match_Data!J3="OVER",1,0))</x:f>
      </x:c>
    </x:row>
    <x:row r="4">
      <x:c r="A4" t="n">
        <x:f>Match_Data!A4</x:f>
        <x:v>0</x:v>
      </x:c>
      <x:c r="B4" s="28" t="n">
        <x:f>Match_Data!B4</x:f>
        <x:v>0</x:v>
      </x:c>
      <x:c r="C4" t="n">
        <x:f>Match_Data!C4</x:f>
        <x:v>0</x:v>
      </x:c>
      <x:c r="D4" t="n">
        <x:f>Match_Data!E4</x:f>
        <x:v>0</x:v>
      </x:c>
      <x:c r="E4" t="n">
        <x:f>Match_Data!F4</x:f>
        <x:v>0</x:v>
      </x:c>
      <x:c r="F4" t="n">
        <x:f>Match_Data!AC4</x:f>
        <x:v>0</x:v>
      </x:c>
      <x:c r="G4" t="str">
        <x:f>IF(OR(Match_Data!K4="",Match_Data!L4=""),"",AVERAGE(Match_Data!K4:L4))</x:f>
      </x:c>
      <x:c r="H4" t="str">
        <x:f>IF(OR(Match_Data!M4="",Match_Data!N4=""),"",AVERAGE(Match_Data!M4:N4))</x:f>
      </x:c>
      <x:c r="I4" t="str">
        <x:f>IF(OR(Match_Data!O4="",Match_Data!Q4=""),"",Match_Data!O4+Match_Data!Q4)</x:f>
      </x:c>
      <x:c r="J4" t="str">
        <x:f>IF(OR(Match_Data!P4="",Match_Data!R4=""),"",Match_Data!P4+Match_Data!R4)</x:f>
      </x:c>
      <x:c r="K4" t="str">
        <x:f>IF(OR(Match_Data!S4="",Match_Data!T4=""),"",Match_Data!S4+Match_Data!T4)</x:f>
      </x:c>
      <x:c r="L4" t="str">
        <x:f>IF(OR(Match_Data!U4="",Match_Data!V4=""),"",Match_Data!U4-Match_Data!V4)</x:f>
      </x:c>
      <x:c r="M4" s="32" t="str">
        <x:f>IF(Match_Data!Y4="","",1/Match_Data!Y4)</x:f>
      </x:c>
      <x:c r="N4" s="32" t="str">
        <x:f>IF(Match_Data!AA4="","",1/Match_Data!AA4)</x:f>
      </x:c>
      <x:c r="O4" s="32" t="str">
        <x:f>IF(OR(M4="",N4=""),"",N4-M4)</x:f>
      </x:c>
      <x:c r="P4" t="str">
        <x:f>IF(Match_Data!J4="","",IF(Match_Data!J4="OVER",1,0))</x:f>
      </x:c>
    </x:row>
    <x:row r="5">
      <x:c r="A5" t="n">
        <x:f>Match_Data!A5</x:f>
        <x:v>0</x:v>
      </x:c>
      <x:c r="B5" s="28" t="n">
        <x:f>Match_Data!B5</x:f>
        <x:v>0</x:v>
      </x:c>
      <x:c r="C5" t="n">
        <x:f>Match_Data!C5</x:f>
        <x:v>0</x:v>
      </x:c>
      <x:c r="D5" t="n">
        <x:f>Match_Data!E5</x:f>
        <x:v>0</x:v>
      </x:c>
      <x:c r="E5" t="n">
        <x:f>Match_Data!F5</x:f>
        <x:v>0</x:v>
      </x:c>
      <x:c r="F5" t="n">
        <x:f>Match_Data!AC5</x:f>
        <x:v>0</x:v>
      </x:c>
      <x:c r="G5" t="str">
        <x:f>IF(OR(Match_Data!K5="",Match_Data!L5=""),"",AVERAGE(Match_Data!K5:L5))</x:f>
      </x:c>
      <x:c r="H5" t="str">
        <x:f>IF(OR(Match_Data!M5="",Match_Data!N5=""),"",AVERAGE(Match_Data!M5:N5))</x:f>
      </x:c>
      <x:c r="I5" t="str">
        <x:f>IF(OR(Match_Data!O5="",Match_Data!Q5=""),"",Match_Data!O5+Match_Data!Q5)</x:f>
      </x:c>
      <x:c r="J5" t="str">
        <x:f>IF(OR(Match_Data!P5="",Match_Data!R5=""),"",Match_Data!P5+Match_Data!R5)</x:f>
      </x:c>
      <x:c r="K5" t="str">
        <x:f>IF(OR(Match_Data!S5="",Match_Data!T5=""),"",Match_Data!S5+Match_Data!T5)</x:f>
      </x:c>
      <x:c r="L5" t="str">
        <x:f>IF(OR(Match_Data!U5="",Match_Data!V5=""),"",Match_Data!U5-Match_Data!V5)</x:f>
      </x:c>
      <x:c r="M5" s="32" t="str">
        <x:f>IF(Match_Data!Y5="","",1/Match_Data!Y5)</x:f>
      </x:c>
      <x:c r="N5" s="32" t="str">
        <x:f>IF(Match_Data!AA5="","",1/Match_Data!AA5)</x:f>
      </x:c>
      <x:c r="O5" s="32" t="str">
        <x:f>IF(OR(M5="",N5=""),"",N5-M5)</x:f>
      </x:c>
      <x:c r="P5" t="str">
        <x:f>IF(Match_Data!J5="","",IF(Match_Data!J5="OVER",1,0))</x:f>
      </x:c>
    </x:row>
    <x:row r="6">
      <x:c r="A6" t="n">
        <x:f>Match_Data!A6</x:f>
        <x:v>0</x:v>
      </x:c>
      <x:c r="B6" s="28" t="n">
        <x:f>Match_Data!B6</x:f>
        <x:v>0</x:v>
      </x:c>
      <x:c r="C6" t="n">
        <x:f>Match_Data!C6</x:f>
        <x:v>0</x:v>
      </x:c>
      <x:c r="D6" t="n">
        <x:f>Match_Data!E6</x:f>
        <x:v>0</x:v>
      </x:c>
      <x:c r="E6" t="n">
        <x:f>Match_Data!F6</x:f>
        <x:v>0</x:v>
      </x:c>
      <x:c r="F6" t="n">
        <x:f>Match_Data!AC6</x:f>
        <x:v>0</x:v>
      </x:c>
      <x:c r="G6" t="str">
        <x:f>IF(OR(Match_Data!K6="",Match_Data!L6=""),"",AVERAGE(Match_Data!K6:L6))</x:f>
      </x:c>
      <x:c r="H6" t="str">
        <x:f>IF(OR(Match_Data!M6="",Match_Data!N6=""),"",AVERAGE(Match_Data!M6:N6))</x:f>
      </x:c>
      <x:c r="I6" t="str">
        <x:f>IF(OR(Match_Data!O6="",Match_Data!Q6=""),"",Match_Data!O6+Match_Data!Q6)</x:f>
      </x:c>
      <x:c r="J6" t="str">
        <x:f>IF(OR(Match_Data!P6="",Match_Data!R6=""),"",Match_Data!P6+Match_Data!R6)</x:f>
      </x:c>
      <x:c r="K6" t="str">
        <x:f>IF(OR(Match_Data!S6="",Match_Data!T6=""),"",Match_Data!S6+Match_Data!T6)</x:f>
      </x:c>
      <x:c r="L6" t="str">
        <x:f>IF(OR(Match_Data!U6="",Match_Data!V6=""),"",Match_Data!U6-Match_Data!V6)</x:f>
      </x:c>
      <x:c r="M6" s="32" t="str">
        <x:f>IF(Match_Data!Y6="","",1/Match_Data!Y6)</x:f>
      </x:c>
      <x:c r="N6" s="32" t="str">
        <x:f>IF(Match_Data!AA6="","",1/Match_Data!AA6)</x:f>
      </x:c>
      <x:c r="O6" s="32" t="str">
        <x:f>IF(OR(M6="",N6=""),"",N6-M6)</x:f>
      </x:c>
      <x:c r="P6" t="str">
        <x:f>IF(Match_Data!J6="","",IF(Match_Data!J6="OVER",1,0))</x:f>
      </x:c>
    </x:row>
    <x:row r="7">
      <x:c r="A7" t="n">
        <x:f>Match_Data!A7</x:f>
        <x:v>0</x:v>
      </x:c>
      <x:c r="B7" s="28" t="n">
        <x:f>Match_Data!B7</x:f>
        <x:v>0</x:v>
      </x:c>
      <x:c r="C7" t="n">
        <x:f>Match_Data!C7</x:f>
        <x:v>0</x:v>
      </x:c>
      <x:c r="D7" t="n">
        <x:f>Match_Data!E7</x:f>
        <x:v>0</x:v>
      </x:c>
      <x:c r="E7" t="n">
        <x:f>Match_Data!F7</x:f>
        <x:v>0</x:v>
      </x:c>
      <x:c r="F7" t="n">
        <x:f>Match_Data!AC7</x:f>
        <x:v>0</x:v>
      </x:c>
      <x:c r="G7" t="str">
        <x:f>IF(OR(Match_Data!K7="",Match_Data!L7=""),"",AVERAGE(Match_Data!K7:L7))</x:f>
      </x:c>
      <x:c r="H7" t="str">
        <x:f>IF(OR(Match_Data!M7="",Match_Data!N7=""),"",AVERAGE(Match_Data!M7:N7))</x:f>
      </x:c>
      <x:c r="I7" t="str">
        <x:f>IF(OR(Match_Data!O7="",Match_Data!Q7=""),"",Match_Data!O7+Match_Data!Q7)</x:f>
      </x:c>
      <x:c r="J7" t="str">
        <x:f>IF(OR(Match_Data!P7="",Match_Data!R7=""),"",Match_Data!P7+Match_Data!R7)</x:f>
      </x:c>
      <x:c r="K7" t="str">
        <x:f>IF(OR(Match_Data!S7="",Match_Data!T7=""),"",Match_Data!S7+Match_Data!T7)</x:f>
      </x:c>
      <x:c r="L7" t="str">
        <x:f>IF(OR(Match_Data!U7="",Match_Data!V7=""),"",Match_Data!U7-Match_Data!V7)</x:f>
      </x:c>
      <x:c r="M7" s="32" t="str">
        <x:f>IF(Match_Data!Y7="","",1/Match_Data!Y7)</x:f>
      </x:c>
      <x:c r="N7" s="32" t="str">
        <x:f>IF(Match_Data!AA7="","",1/Match_Data!AA7)</x:f>
      </x:c>
      <x:c r="O7" s="32" t="str">
        <x:f>IF(OR(M7="",N7=""),"",N7-M7)</x:f>
      </x:c>
      <x:c r="P7" t="str">
        <x:f>IF(Match_Data!J7="","",IF(Match_Data!J7="OVER",1,0))</x:f>
      </x:c>
    </x:row>
    <x:row r="8">
      <x:c r="A8" t="n">
        <x:f>Match_Data!A8</x:f>
        <x:v>0</x:v>
      </x:c>
      <x:c r="B8" s="28" t="n">
        <x:f>Match_Data!B8</x:f>
        <x:v>0</x:v>
      </x:c>
      <x:c r="C8" t="n">
        <x:f>Match_Data!C8</x:f>
        <x:v>0</x:v>
      </x:c>
      <x:c r="D8" t="n">
        <x:f>Match_Data!E8</x:f>
        <x:v>0</x:v>
      </x:c>
      <x:c r="E8" t="n">
        <x:f>Match_Data!F8</x:f>
        <x:v>0</x:v>
      </x:c>
      <x:c r="F8" t="n">
        <x:f>Match_Data!AC8</x:f>
        <x:v>0</x:v>
      </x:c>
      <x:c r="G8" t="str">
        <x:f>IF(OR(Match_Data!K8="",Match_Data!L8=""),"",AVERAGE(Match_Data!K8:L8))</x:f>
      </x:c>
      <x:c r="H8" t="str">
        <x:f>IF(OR(Match_Data!M8="",Match_Data!N8=""),"",AVERAGE(Match_Data!M8:N8))</x:f>
      </x:c>
      <x:c r="I8" t="str">
        <x:f>IF(OR(Match_Data!O8="",Match_Data!Q8=""),"",Match_Data!O8+Match_Data!Q8)</x:f>
      </x:c>
      <x:c r="J8" t="str">
        <x:f>IF(OR(Match_Data!P8="",Match_Data!R8=""),"",Match_Data!P8+Match_Data!R8)</x:f>
      </x:c>
      <x:c r="K8" t="str">
        <x:f>IF(OR(Match_Data!S8="",Match_Data!T8=""),"",Match_Data!S8+Match_Data!T8)</x:f>
      </x:c>
      <x:c r="L8" t="str">
        <x:f>IF(OR(Match_Data!U8="",Match_Data!V8=""),"",Match_Data!U8-Match_Data!V8)</x:f>
      </x:c>
      <x:c r="M8" s="32" t="str">
        <x:f>IF(Match_Data!Y8="","",1/Match_Data!Y8)</x:f>
      </x:c>
      <x:c r="N8" s="32" t="str">
        <x:f>IF(Match_Data!AA8="","",1/Match_Data!AA8)</x:f>
      </x:c>
      <x:c r="O8" s="32" t="str">
        <x:f>IF(OR(M8="",N8=""),"",N8-M8)</x:f>
      </x:c>
      <x:c r="P8" t="str">
        <x:f>IF(Match_Data!J8="","",IF(Match_Data!J8="OVER",1,0))</x:f>
      </x:c>
    </x:row>
    <x:row r="9">
      <x:c r="A9" t="n">
        <x:f>Match_Data!A9</x:f>
        <x:v>0</x:v>
      </x:c>
      <x:c r="B9" s="28" t="n">
        <x:f>Match_Data!B9</x:f>
        <x:v>0</x:v>
      </x:c>
      <x:c r="C9" t="n">
        <x:f>Match_Data!C9</x:f>
        <x:v>0</x:v>
      </x:c>
      <x:c r="D9" t="n">
        <x:f>Match_Data!E9</x:f>
        <x:v>0</x:v>
      </x:c>
      <x:c r="E9" t="n">
        <x:f>Match_Data!F9</x:f>
        <x:v>0</x:v>
      </x:c>
      <x:c r="F9" t="n">
        <x:f>Match_Data!AC9</x:f>
        <x:v>0</x:v>
      </x:c>
      <x:c r="G9" t="str">
        <x:f>IF(OR(Match_Data!K9="",Match_Data!L9=""),"",AVERAGE(Match_Data!K9:L9))</x:f>
      </x:c>
      <x:c r="H9" t="str">
        <x:f>IF(OR(Match_Data!M9="",Match_Data!N9=""),"",AVERAGE(Match_Data!M9:N9))</x:f>
      </x:c>
      <x:c r="I9" t="str">
        <x:f>IF(OR(Match_Data!O9="",Match_Data!Q9=""),"",Match_Data!O9+Match_Data!Q9)</x:f>
      </x:c>
      <x:c r="J9" t="str">
        <x:f>IF(OR(Match_Data!P9="",Match_Data!R9=""),"",Match_Data!P9+Match_Data!R9)</x:f>
      </x:c>
      <x:c r="K9" t="str">
        <x:f>IF(OR(Match_Data!S9="",Match_Data!T9=""),"",Match_Data!S9+Match_Data!T9)</x:f>
      </x:c>
      <x:c r="L9" t="str">
        <x:f>IF(OR(Match_Data!U9="",Match_Data!V9=""),"",Match_Data!U9-Match_Data!V9)</x:f>
      </x:c>
      <x:c r="M9" s="32" t="str">
        <x:f>IF(Match_Data!Y9="","",1/Match_Data!Y9)</x:f>
      </x:c>
      <x:c r="N9" s="32" t="str">
        <x:f>IF(Match_Data!AA9="","",1/Match_Data!AA9)</x:f>
      </x:c>
      <x:c r="O9" s="32" t="str">
        <x:f>IF(OR(M9="",N9=""),"",N9-M9)</x:f>
      </x:c>
      <x:c r="P9" t="str">
        <x:f>IF(Match_Data!J9="","",IF(Match_Data!J9="OVER",1,0))</x:f>
      </x:c>
    </x:row>
    <x:row r="10">
      <x:c r="A10" t="n">
        <x:f>Match_Data!A10</x:f>
        <x:v>0</x:v>
      </x:c>
      <x:c r="B10" s="28" t="n">
        <x:f>Match_Data!B10</x:f>
        <x:v>0</x:v>
      </x:c>
      <x:c r="C10" t="n">
        <x:f>Match_Data!C10</x:f>
        <x:v>0</x:v>
      </x:c>
      <x:c r="D10" t="n">
        <x:f>Match_Data!E10</x:f>
        <x:v>0</x:v>
      </x:c>
      <x:c r="E10" t="n">
        <x:f>Match_Data!F10</x:f>
        <x:v>0</x:v>
      </x:c>
      <x:c r="F10" t="n">
        <x:f>Match_Data!AC10</x:f>
        <x:v>0</x:v>
      </x:c>
      <x:c r="G10" t="str">
        <x:f>IF(OR(Match_Data!K10="",Match_Data!L10=""),"",AVERAGE(Match_Data!K10:L10))</x:f>
      </x:c>
      <x:c r="H10" t="str">
        <x:f>IF(OR(Match_Data!M10="",Match_Data!N10=""),"",AVERAGE(Match_Data!M10:N10))</x:f>
      </x:c>
      <x:c r="I10" t="str">
        <x:f>IF(OR(Match_Data!O10="",Match_Data!Q10=""),"",Match_Data!O10+Match_Data!Q10)</x:f>
      </x:c>
      <x:c r="J10" t="str">
        <x:f>IF(OR(Match_Data!P10="",Match_Data!R10=""),"",Match_Data!P10+Match_Data!R10)</x:f>
      </x:c>
      <x:c r="K10" t="str">
        <x:f>IF(OR(Match_Data!S10="",Match_Data!T10=""),"",Match_Data!S10+Match_Data!T10)</x:f>
      </x:c>
      <x:c r="L10" t="str">
        <x:f>IF(OR(Match_Data!U10="",Match_Data!V10=""),"",Match_Data!U10-Match_Data!V10)</x:f>
      </x:c>
      <x:c r="M10" s="32" t="str">
        <x:f>IF(Match_Data!Y10="","",1/Match_Data!Y10)</x:f>
      </x:c>
      <x:c r="N10" s="32" t="str">
        <x:f>IF(Match_Data!AA10="","",1/Match_Data!AA10)</x:f>
      </x:c>
      <x:c r="O10" s="32" t="str">
        <x:f>IF(OR(M10="",N10=""),"",N10-M10)</x:f>
      </x:c>
      <x:c r="P10" t="str">
        <x:f>IF(Match_Data!J10="","",IF(Match_Data!J10="OVER",1,0))</x:f>
      </x:c>
    </x:row>
    <x:row r="11">
      <x:c r="A11" t="n">
        <x:f>Match_Data!A11</x:f>
        <x:v>0</x:v>
      </x:c>
      <x:c r="B11" s="28" t="n">
        <x:f>Match_Data!B11</x:f>
        <x:v>0</x:v>
      </x:c>
      <x:c r="C11" t="n">
        <x:f>Match_Data!C11</x:f>
        <x:v>0</x:v>
      </x:c>
      <x:c r="D11" t="n">
        <x:f>Match_Data!E11</x:f>
        <x:v>0</x:v>
      </x:c>
      <x:c r="E11" t="n">
        <x:f>Match_Data!F11</x:f>
        <x:v>0</x:v>
      </x:c>
      <x:c r="F11" t="n">
        <x:f>Match_Data!AC11</x:f>
        <x:v>0</x:v>
      </x:c>
      <x:c r="G11" t="str">
        <x:f>IF(OR(Match_Data!K11="",Match_Data!L11=""),"",AVERAGE(Match_Data!K11:L11))</x:f>
      </x:c>
      <x:c r="H11" t="str">
        <x:f>IF(OR(Match_Data!M11="",Match_Data!N11=""),"",AVERAGE(Match_Data!M11:N11))</x:f>
      </x:c>
      <x:c r="I11" t="str">
        <x:f>IF(OR(Match_Data!O11="",Match_Data!Q11=""),"",Match_Data!O11+Match_Data!Q11)</x:f>
      </x:c>
      <x:c r="J11" t="str">
        <x:f>IF(OR(Match_Data!P11="",Match_Data!R11=""),"",Match_Data!P11+Match_Data!R11)</x:f>
      </x:c>
      <x:c r="K11" t="str">
        <x:f>IF(OR(Match_Data!S11="",Match_Data!T11=""),"",Match_Data!S11+Match_Data!T11)</x:f>
      </x:c>
      <x:c r="L11" t="str">
        <x:f>IF(OR(Match_Data!U11="",Match_Data!V11=""),"",Match_Data!U11-Match_Data!V11)</x:f>
      </x:c>
      <x:c r="M11" s="32" t="str">
        <x:f>IF(Match_Data!Y11="","",1/Match_Data!Y11)</x:f>
      </x:c>
      <x:c r="N11" s="32" t="str">
        <x:f>IF(Match_Data!AA11="","",1/Match_Data!AA11)</x:f>
      </x:c>
      <x:c r="O11" s="32" t="str">
        <x:f>IF(OR(M11="",N11=""),"",N11-M11)</x:f>
      </x:c>
      <x:c r="P11" t="str">
        <x:f>IF(Match_Data!J11="","",IF(Match_Data!J11="OVER",1,0))</x:f>
      </x:c>
    </x:row>
    <x:row r="12">
      <x:c r="A12" t="n">
        <x:f>Match_Data!A12</x:f>
        <x:v>0</x:v>
      </x:c>
      <x:c r="B12" s="28" t="n">
        <x:f>Match_Data!B12</x:f>
        <x:v>0</x:v>
      </x:c>
      <x:c r="C12" t="n">
        <x:f>Match_Data!C12</x:f>
        <x:v>0</x:v>
      </x:c>
      <x:c r="D12" t="n">
        <x:f>Match_Data!E12</x:f>
        <x:v>0</x:v>
      </x:c>
      <x:c r="E12" t="n">
        <x:f>Match_Data!F12</x:f>
        <x:v>0</x:v>
      </x:c>
      <x:c r="F12" t="n">
        <x:f>Match_Data!AC12</x:f>
        <x:v>0</x:v>
      </x:c>
      <x:c r="G12" t="str">
        <x:f>IF(OR(Match_Data!K12="",Match_Data!L12=""),"",AVERAGE(Match_Data!K12:L12))</x:f>
      </x:c>
      <x:c r="H12" t="str">
        <x:f>IF(OR(Match_Data!M12="",Match_Data!N12=""),"",AVERAGE(Match_Data!M12:N12))</x:f>
      </x:c>
      <x:c r="I12" t="str">
        <x:f>IF(OR(Match_Data!O12="",Match_Data!Q12=""),"",Match_Data!O12+Match_Data!Q12)</x:f>
      </x:c>
      <x:c r="J12" t="str">
        <x:f>IF(OR(Match_Data!P12="",Match_Data!R12=""),"",Match_Data!P12+Match_Data!R12)</x:f>
      </x:c>
      <x:c r="K12" t="str">
        <x:f>IF(OR(Match_Data!S12="",Match_Data!T12=""),"",Match_Data!S12+Match_Data!T12)</x:f>
      </x:c>
      <x:c r="L12" t="str">
        <x:f>IF(OR(Match_Data!U12="",Match_Data!V12=""),"",Match_Data!U12-Match_Data!V12)</x:f>
      </x:c>
      <x:c r="M12" s="32" t="str">
        <x:f>IF(Match_Data!Y12="","",1/Match_Data!Y12)</x:f>
      </x:c>
      <x:c r="N12" s="32" t="str">
        <x:f>IF(Match_Data!AA12="","",1/Match_Data!AA12)</x:f>
      </x:c>
      <x:c r="O12" s="32" t="str">
        <x:f>IF(OR(M12="",N12=""),"",N12-M12)</x:f>
      </x:c>
      <x:c r="P12" t="str">
        <x:f>IF(Match_Data!J12="","",IF(Match_Data!J12="OVER",1,0))</x:f>
      </x:c>
    </x:row>
    <x:row r="13">
      <x:c r="A13" t="n">
        <x:f>Match_Data!A13</x:f>
        <x:v>0</x:v>
      </x:c>
      <x:c r="B13" s="28" t="n">
        <x:f>Match_Data!B13</x:f>
        <x:v>0</x:v>
      </x:c>
      <x:c r="C13" t="n">
        <x:f>Match_Data!C13</x:f>
        <x:v>0</x:v>
      </x:c>
      <x:c r="D13" t="n">
        <x:f>Match_Data!E13</x:f>
        <x:v>0</x:v>
      </x:c>
      <x:c r="E13" t="n">
        <x:f>Match_Data!F13</x:f>
        <x:v>0</x:v>
      </x:c>
      <x:c r="F13" t="n">
        <x:f>Match_Data!AC13</x:f>
        <x:v>0</x:v>
      </x:c>
      <x:c r="G13" t="str">
        <x:f>IF(OR(Match_Data!K13="",Match_Data!L13=""),"",AVERAGE(Match_Data!K13:L13))</x:f>
      </x:c>
      <x:c r="H13" t="str">
        <x:f>IF(OR(Match_Data!M13="",Match_Data!N13=""),"",AVERAGE(Match_Data!M13:N13))</x:f>
      </x:c>
      <x:c r="I13" t="str">
        <x:f>IF(OR(Match_Data!O13="",Match_Data!Q13=""),"",Match_Data!O13+Match_Data!Q13)</x:f>
      </x:c>
      <x:c r="J13" t="str">
        <x:f>IF(OR(Match_Data!P13="",Match_Data!R13=""),"",Match_Data!P13+Match_Data!R13)</x:f>
      </x:c>
      <x:c r="K13" t="str">
        <x:f>IF(OR(Match_Data!S13="",Match_Data!T13=""),"",Match_Data!S13+Match_Data!T13)</x:f>
      </x:c>
      <x:c r="L13" t="str">
        <x:f>IF(OR(Match_Data!U13="",Match_Data!V13=""),"",Match_Data!U13-Match_Data!V13)</x:f>
      </x:c>
      <x:c r="M13" s="32" t="str">
        <x:f>IF(Match_Data!Y13="","",1/Match_Data!Y13)</x:f>
      </x:c>
      <x:c r="N13" s="32" t="str">
        <x:f>IF(Match_Data!AA13="","",1/Match_Data!AA13)</x:f>
      </x:c>
      <x:c r="O13" s="32" t="str">
        <x:f>IF(OR(M13="",N13=""),"",N13-M13)</x:f>
      </x:c>
      <x:c r="P13" t="str">
        <x:f>IF(Match_Data!J13="","",IF(Match_Data!J13="OVER",1,0))</x:f>
      </x:c>
    </x:row>
    <x:row r="14">
      <x:c r="A14" t="n">
        <x:f>Match_Data!A14</x:f>
        <x:v>0</x:v>
      </x:c>
      <x:c r="B14" s="28" t="n">
        <x:f>Match_Data!B14</x:f>
        <x:v>0</x:v>
      </x:c>
      <x:c r="C14" t="n">
        <x:f>Match_Data!C14</x:f>
        <x:v>0</x:v>
      </x:c>
      <x:c r="D14" t="n">
        <x:f>Match_Data!E14</x:f>
        <x:v>0</x:v>
      </x:c>
      <x:c r="E14" t="n">
        <x:f>Match_Data!F14</x:f>
        <x:v>0</x:v>
      </x:c>
      <x:c r="F14" t="n">
        <x:f>Match_Data!AC14</x:f>
        <x:v>0</x:v>
      </x:c>
      <x:c r="G14" t="str">
        <x:f>IF(OR(Match_Data!K14="",Match_Data!L14=""),"",AVERAGE(Match_Data!K14:L14))</x:f>
      </x:c>
      <x:c r="H14" t="str">
        <x:f>IF(OR(Match_Data!M14="",Match_Data!N14=""),"",AVERAGE(Match_Data!M14:N14))</x:f>
      </x:c>
      <x:c r="I14" t="str">
        <x:f>IF(OR(Match_Data!O14="",Match_Data!Q14=""),"",Match_Data!O14+Match_Data!Q14)</x:f>
      </x:c>
      <x:c r="J14" t="str">
        <x:f>IF(OR(Match_Data!P14="",Match_Data!R14=""),"",Match_Data!P14+Match_Data!R14)</x:f>
      </x:c>
      <x:c r="K14" t="str">
        <x:f>IF(OR(Match_Data!S14="",Match_Data!T14=""),"",Match_Data!S14+Match_Data!T14)</x:f>
      </x:c>
      <x:c r="L14" t="str">
        <x:f>IF(OR(Match_Data!U14="",Match_Data!V14=""),"",Match_Data!U14-Match_Data!V14)</x:f>
      </x:c>
      <x:c r="M14" s="32" t="str">
        <x:f>IF(Match_Data!Y14="","",1/Match_Data!Y14)</x:f>
      </x:c>
      <x:c r="N14" s="32" t="str">
        <x:f>IF(Match_Data!AA14="","",1/Match_Data!AA14)</x:f>
      </x:c>
      <x:c r="O14" s="32" t="str">
        <x:f>IF(OR(M14="",N14=""),"",N14-M14)</x:f>
      </x:c>
      <x:c r="P14" t="str">
        <x:f>IF(Match_Data!J14="","",IF(Match_Data!J14="OVER",1,0))</x:f>
      </x:c>
    </x:row>
    <x:row r="15">
      <x:c r="A15" t="n">
        <x:f>Match_Data!A15</x:f>
        <x:v>0</x:v>
      </x:c>
      <x:c r="B15" s="28" t="n">
        <x:f>Match_Data!B15</x:f>
        <x:v>0</x:v>
      </x:c>
      <x:c r="C15" t="n">
        <x:f>Match_Data!C15</x:f>
        <x:v>0</x:v>
      </x:c>
      <x:c r="D15" t="n">
        <x:f>Match_Data!E15</x:f>
        <x:v>0</x:v>
      </x:c>
      <x:c r="E15" t="n">
        <x:f>Match_Data!F15</x:f>
        <x:v>0</x:v>
      </x:c>
      <x:c r="F15" t="n">
        <x:f>Match_Data!AC15</x:f>
        <x:v>0</x:v>
      </x:c>
      <x:c r="G15" t="str">
        <x:f>IF(OR(Match_Data!K15="",Match_Data!L15=""),"",AVERAGE(Match_Data!K15:L15))</x:f>
      </x:c>
      <x:c r="H15" t="str">
        <x:f>IF(OR(Match_Data!M15="",Match_Data!N15=""),"",AVERAGE(Match_Data!M15:N15))</x:f>
      </x:c>
      <x:c r="I15" t="str">
        <x:f>IF(OR(Match_Data!O15="",Match_Data!Q15=""),"",Match_Data!O15+Match_Data!Q15)</x:f>
      </x:c>
      <x:c r="J15" t="str">
        <x:f>IF(OR(Match_Data!P15="",Match_Data!R15=""),"",Match_Data!P15+Match_Data!R15)</x:f>
      </x:c>
      <x:c r="K15" t="str">
        <x:f>IF(OR(Match_Data!S15="",Match_Data!T15=""),"",Match_Data!S15+Match_Data!T15)</x:f>
      </x:c>
      <x:c r="L15" t="str">
        <x:f>IF(OR(Match_Data!U15="",Match_Data!V15=""),"",Match_Data!U15-Match_Data!V15)</x:f>
      </x:c>
      <x:c r="M15" s="32" t="str">
        <x:f>IF(Match_Data!Y15="","",1/Match_Data!Y15)</x:f>
      </x:c>
      <x:c r="N15" s="32" t="str">
        <x:f>IF(Match_Data!AA15="","",1/Match_Data!AA15)</x:f>
      </x:c>
      <x:c r="O15" s="32" t="str">
        <x:f>IF(OR(M15="",N15=""),"",N15-M15)</x:f>
      </x:c>
      <x:c r="P15" t="str">
        <x:f>IF(Match_Data!J15="","",IF(Match_Data!J15="OVER",1,0))</x:f>
      </x:c>
    </x:row>
    <x:row r="16">
      <x:c r="A16" t="n">
        <x:f>Match_Data!A16</x:f>
        <x:v>0</x:v>
      </x:c>
      <x:c r="B16" s="28" t="n">
        <x:f>Match_Data!B16</x:f>
        <x:v>0</x:v>
      </x:c>
      <x:c r="C16" t="n">
        <x:f>Match_Data!C16</x:f>
        <x:v>0</x:v>
      </x:c>
      <x:c r="D16" t="n">
        <x:f>Match_Data!E16</x:f>
        <x:v>0</x:v>
      </x:c>
      <x:c r="E16" t="n">
        <x:f>Match_Data!F16</x:f>
        <x:v>0</x:v>
      </x:c>
      <x:c r="F16" t="n">
        <x:f>Match_Data!AC16</x:f>
        <x:v>0</x:v>
      </x:c>
      <x:c r="G16" t="str">
        <x:f>IF(OR(Match_Data!K16="",Match_Data!L16=""),"",AVERAGE(Match_Data!K16:L16))</x:f>
      </x:c>
      <x:c r="H16" t="str">
        <x:f>IF(OR(Match_Data!M16="",Match_Data!N16=""),"",AVERAGE(Match_Data!M16:N16))</x:f>
      </x:c>
      <x:c r="I16" t="str">
        <x:f>IF(OR(Match_Data!O16="",Match_Data!Q16=""),"",Match_Data!O16+Match_Data!Q16)</x:f>
      </x:c>
      <x:c r="J16" t="str">
        <x:f>IF(OR(Match_Data!P16="",Match_Data!R16=""),"",Match_Data!P16+Match_Data!R16)</x:f>
      </x:c>
      <x:c r="K16" t="str">
        <x:f>IF(OR(Match_Data!S16="",Match_Data!T16=""),"",Match_Data!S16+Match_Data!T16)</x:f>
      </x:c>
      <x:c r="L16" t="str">
        <x:f>IF(OR(Match_Data!U16="",Match_Data!V16=""),"",Match_Data!U16-Match_Data!V16)</x:f>
      </x:c>
      <x:c r="M16" s="32" t="str">
        <x:f>IF(Match_Data!Y16="","",1/Match_Data!Y16)</x:f>
      </x:c>
      <x:c r="N16" s="32" t="str">
        <x:f>IF(Match_Data!AA16="","",1/Match_Data!AA16)</x:f>
      </x:c>
      <x:c r="O16" s="32" t="str">
        <x:f>IF(OR(M16="",N16=""),"",N16-M16)</x:f>
      </x:c>
      <x:c r="P16" t="str">
        <x:f>IF(Match_Data!J16="","",IF(Match_Data!J16="OVER",1,0))</x:f>
      </x:c>
    </x:row>
    <x:row r="17">
      <x:c r="A17" t="n">
        <x:f>Match_Data!A17</x:f>
        <x:v>0</x:v>
      </x:c>
      <x:c r="B17" s="28" t="n">
        <x:f>Match_Data!B17</x:f>
        <x:v>0</x:v>
      </x:c>
      <x:c r="C17" t="n">
        <x:f>Match_Data!C17</x:f>
        <x:v>0</x:v>
      </x:c>
      <x:c r="D17" t="n">
        <x:f>Match_Data!E17</x:f>
        <x:v>0</x:v>
      </x:c>
      <x:c r="E17" t="n">
        <x:f>Match_Data!F17</x:f>
        <x:v>0</x:v>
      </x:c>
      <x:c r="F17" t="n">
        <x:f>Match_Data!AC17</x:f>
        <x:v>0</x:v>
      </x:c>
      <x:c r="G17" t="str">
        <x:f>IF(OR(Match_Data!K17="",Match_Data!L17=""),"",AVERAGE(Match_Data!K17:L17))</x:f>
      </x:c>
      <x:c r="H17" t="str">
        <x:f>IF(OR(Match_Data!M17="",Match_Data!N17=""),"",AVERAGE(Match_Data!M17:N17))</x:f>
      </x:c>
      <x:c r="I17" t="str">
        <x:f>IF(OR(Match_Data!O17="",Match_Data!Q17=""),"",Match_Data!O17+Match_Data!Q17)</x:f>
      </x:c>
      <x:c r="J17" t="str">
        <x:f>IF(OR(Match_Data!P17="",Match_Data!R17=""),"",Match_Data!P17+Match_Data!R17)</x:f>
      </x:c>
      <x:c r="K17" t="str">
        <x:f>IF(OR(Match_Data!S17="",Match_Data!T17=""),"",Match_Data!S17+Match_Data!T17)</x:f>
      </x:c>
      <x:c r="L17" t="str">
        <x:f>IF(OR(Match_Data!U17="",Match_Data!V17=""),"",Match_Data!U17-Match_Data!V17)</x:f>
      </x:c>
      <x:c r="M17" s="32" t="str">
        <x:f>IF(Match_Data!Y17="","",1/Match_Data!Y17)</x:f>
      </x:c>
      <x:c r="N17" s="32" t="str">
        <x:f>IF(Match_Data!AA17="","",1/Match_Data!AA17)</x:f>
      </x:c>
      <x:c r="O17" s="32" t="str">
        <x:f>IF(OR(M17="",N17=""),"",N17-M17)</x:f>
      </x:c>
      <x:c r="P17" t="str">
        <x:f>IF(Match_Data!J17="","",IF(Match_Data!J17="OVER",1,0))</x:f>
      </x:c>
    </x:row>
    <x:row r="18">
      <x:c r="A18" t="n">
        <x:f>Match_Data!A18</x:f>
        <x:v>0</x:v>
      </x:c>
      <x:c r="B18" s="28" t="n">
        <x:f>Match_Data!B18</x:f>
        <x:v>0</x:v>
      </x:c>
      <x:c r="C18" t="n">
        <x:f>Match_Data!C18</x:f>
        <x:v>0</x:v>
      </x:c>
      <x:c r="D18" t="n">
        <x:f>Match_Data!E18</x:f>
        <x:v>0</x:v>
      </x:c>
      <x:c r="E18" t="n">
        <x:f>Match_Data!F18</x:f>
        <x:v>0</x:v>
      </x:c>
      <x:c r="F18" t="n">
        <x:f>Match_Data!AC18</x:f>
        <x:v>0</x:v>
      </x:c>
      <x:c r="G18" t="str">
        <x:f>IF(OR(Match_Data!K18="",Match_Data!L18=""),"",AVERAGE(Match_Data!K18:L18))</x:f>
      </x:c>
      <x:c r="H18" t="str">
        <x:f>IF(OR(Match_Data!M18="",Match_Data!N18=""),"",AVERAGE(Match_Data!M18:N18))</x:f>
      </x:c>
      <x:c r="I18" t="str">
        <x:f>IF(OR(Match_Data!O18="",Match_Data!Q18=""),"",Match_Data!O18+Match_Data!Q18)</x:f>
      </x:c>
      <x:c r="J18" t="str">
        <x:f>IF(OR(Match_Data!P18="",Match_Data!R18=""),"",Match_Data!P18+Match_Data!R18)</x:f>
      </x:c>
      <x:c r="K18" t="str">
        <x:f>IF(OR(Match_Data!S18="",Match_Data!T18=""),"",Match_Data!S18+Match_Data!T18)</x:f>
      </x:c>
      <x:c r="L18" t="str">
        <x:f>IF(OR(Match_Data!U18="",Match_Data!V18=""),"",Match_Data!U18-Match_Data!V18)</x:f>
      </x:c>
      <x:c r="M18" s="32" t="str">
        <x:f>IF(Match_Data!Y18="","",1/Match_Data!Y18)</x:f>
      </x:c>
      <x:c r="N18" s="32" t="str">
        <x:f>IF(Match_Data!AA18="","",1/Match_Data!AA18)</x:f>
      </x:c>
      <x:c r="O18" s="32" t="str">
        <x:f>IF(OR(M18="",N18=""),"",N18-M18)</x:f>
      </x:c>
      <x:c r="P18" t="str">
        <x:f>IF(Match_Data!J18="","",IF(Match_Data!J18="OVER",1,0))</x:f>
      </x:c>
    </x:row>
    <x:row r="19">
      <x:c r="A19" t="n">
        <x:f>Match_Data!A19</x:f>
        <x:v>0</x:v>
      </x:c>
      <x:c r="B19" s="28" t="n">
        <x:f>Match_Data!B19</x:f>
        <x:v>0</x:v>
      </x:c>
      <x:c r="C19" t="n">
        <x:f>Match_Data!C19</x:f>
        <x:v>0</x:v>
      </x:c>
      <x:c r="D19" t="n">
        <x:f>Match_Data!E19</x:f>
        <x:v>0</x:v>
      </x:c>
      <x:c r="E19" t="n">
        <x:f>Match_Data!F19</x:f>
        <x:v>0</x:v>
      </x:c>
      <x:c r="F19" t="n">
        <x:f>Match_Data!AC19</x:f>
        <x:v>0</x:v>
      </x:c>
      <x:c r="G19" t="str">
        <x:f>IF(OR(Match_Data!K19="",Match_Data!L19=""),"",AVERAGE(Match_Data!K19:L19))</x:f>
      </x:c>
      <x:c r="H19" t="str">
        <x:f>IF(OR(Match_Data!M19="",Match_Data!N19=""),"",AVERAGE(Match_Data!M19:N19))</x:f>
      </x:c>
      <x:c r="I19" t="str">
        <x:f>IF(OR(Match_Data!O19="",Match_Data!Q19=""),"",Match_Data!O19+Match_Data!Q19)</x:f>
      </x:c>
      <x:c r="J19" t="str">
        <x:f>IF(OR(Match_Data!P19="",Match_Data!R19=""),"",Match_Data!P19+Match_Data!R19)</x:f>
      </x:c>
      <x:c r="K19" t="str">
        <x:f>IF(OR(Match_Data!S19="",Match_Data!T19=""),"",Match_Data!S19+Match_Data!T19)</x:f>
      </x:c>
      <x:c r="L19" t="str">
        <x:f>IF(OR(Match_Data!U19="",Match_Data!V19=""),"",Match_Data!U19-Match_Data!V19)</x:f>
      </x:c>
      <x:c r="M19" s="32" t="str">
        <x:f>IF(Match_Data!Y19="","",1/Match_Data!Y19)</x:f>
      </x:c>
      <x:c r="N19" s="32" t="str">
        <x:f>IF(Match_Data!AA19="","",1/Match_Data!AA19)</x:f>
      </x:c>
      <x:c r="O19" s="32" t="str">
        <x:f>IF(OR(M19="",N19=""),"",N19-M19)</x:f>
      </x:c>
      <x:c r="P19" t="str">
        <x:f>IF(Match_Data!J19="","",IF(Match_Data!J19="OVER",1,0))</x:f>
      </x:c>
    </x:row>
    <x:row r="20">
      <x:c r="A20" t="n">
        <x:f>Match_Data!A20</x:f>
        <x:v>0</x:v>
      </x:c>
      <x:c r="B20" s="28" t="n">
        <x:f>Match_Data!B20</x:f>
        <x:v>0</x:v>
      </x:c>
      <x:c r="C20" t="n">
        <x:f>Match_Data!C20</x:f>
        <x:v>0</x:v>
      </x:c>
      <x:c r="D20" t="n">
        <x:f>Match_Data!E20</x:f>
        <x:v>0</x:v>
      </x:c>
      <x:c r="E20" t="n">
        <x:f>Match_Data!F20</x:f>
        <x:v>0</x:v>
      </x:c>
      <x:c r="F20" t="n">
        <x:f>Match_Data!AC20</x:f>
        <x:v>0</x:v>
      </x:c>
      <x:c r="G20" t="str">
        <x:f>IF(OR(Match_Data!K20="",Match_Data!L20=""),"",AVERAGE(Match_Data!K20:L20))</x:f>
      </x:c>
      <x:c r="H20" t="str">
        <x:f>IF(OR(Match_Data!M20="",Match_Data!N20=""),"",AVERAGE(Match_Data!M20:N20))</x:f>
      </x:c>
      <x:c r="I20" t="str">
        <x:f>IF(OR(Match_Data!O20="",Match_Data!Q20=""),"",Match_Data!O20+Match_Data!Q20)</x:f>
      </x:c>
      <x:c r="J20" t="str">
        <x:f>IF(OR(Match_Data!P20="",Match_Data!R20=""),"",Match_Data!P20+Match_Data!R20)</x:f>
      </x:c>
      <x:c r="K20" t="str">
        <x:f>IF(OR(Match_Data!S20="",Match_Data!T20=""),"",Match_Data!S20+Match_Data!T20)</x:f>
      </x:c>
      <x:c r="L20" t="str">
        <x:f>IF(OR(Match_Data!U20="",Match_Data!V20=""),"",Match_Data!U20-Match_Data!V20)</x:f>
      </x:c>
      <x:c r="M20" s="32" t="str">
        <x:f>IF(Match_Data!Y20="","",1/Match_Data!Y20)</x:f>
      </x:c>
      <x:c r="N20" s="32" t="str">
        <x:f>IF(Match_Data!AA20="","",1/Match_Data!AA20)</x:f>
      </x:c>
      <x:c r="O20" s="32" t="str">
        <x:f>IF(OR(M20="",N20=""),"",N20-M20)</x:f>
      </x:c>
      <x:c r="P20" t="str">
        <x:f>IF(Match_Data!J20="","",IF(Match_Data!J20="OVER",1,0))</x:f>
      </x:c>
    </x:row>
    <x:row r="21">
      <x:c r="A21" t="n">
        <x:f>Match_Data!A21</x:f>
        <x:v>0</x:v>
      </x:c>
      <x:c r="B21" s="28" t="n">
        <x:f>Match_Data!B21</x:f>
        <x:v>0</x:v>
      </x:c>
      <x:c r="C21" t="n">
        <x:f>Match_Data!C21</x:f>
        <x:v>0</x:v>
      </x:c>
      <x:c r="D21" t="n">
        <x:f>Match_Data!E21</x:f>
        <x:v>0</x:v>
      </x:c>
      <x:c r="E21" t="n">
        <x:f>Match_Data!F21</x:f>
        <x:v>0</x:v>
      </x:c>
      <x:c r="F21" t="n">
        <x:f>Match_Data!AC21</x:f>
        <x:v>0</x:v>
      </x:c>
      <x:c r="G21" t="str">
        <x:f>IF(OR(Match_Data!K21="",Match_Data!L21=""),"",AVERAGE(Match_Data!K21:L21))</x:f>
      </x:c>
      <x:c r="H21" t="str">
        <x:f>IF(OR(Match_Data!M21="",Match_Data!N21=""),"",AVERAGE(Match_Data!M21:N21))</x:f>
      </x:c>
      <x:c r="I21" t="str">
        <x:f>IF(OR(Match_Data!O21="",Match_Data!Q21=""),"",Match_Data!O21+Match_Data!Q21)</x:f>
      </x:c>
      <x:c r="J21" t="str">
        <x:f>IF(OR(Match_Data!P21="",Match_Data!R21=""),"",Match_Data!P21+Match_Data!R21)</x:f>
      </x:c>
      <x:c r="K21" t="str">
        <x:f>IF(OR(Match_Data!S21="",Match_Data!T21=""),"",Match_Data!S21+Match_Data!T21)</x:f>
      </x:c>
      <x:c r="L21" t="str">
        <x:f>IF(OR(Match_Data!U21="",Match_Data!V21=""),"",Match_Data!U21-Match_Data!V21)</x:f>
      </x:c>
      <x:c r="M21" s="32" t="str">
        <x:f>IF(Match_Data!Y21="","",1/Match_Data!Y21)</x:f>
      </x:c>
      <x:c r="N21" s="32" t="str">
        <x:f>IF(Match_Data!AA21="","",1/Match_Data!AA21)</x:f>
      </x:c>
      <x:c r="O21" s="32" t="str">
        <x:f>IF(OR(M21="",N21=""),"",N21-M21)</x:f>
      </x:c>
      <x:c r="P21" t="str">
        <x:f>IF(Match_Data!J21="","",IF(Match_Data!J21="OVER",1,0))</x:f>
      </x:c>
    </x:row>
    <x:row r="22">
      <x:c r="A22" t="n">
        <x:f>Match_Data!A22</x:f>
        <x:v>0</x:v>
      </x:c>
      <x:c r="B22" s="28" t="n">
        <x:f>Match_Data!B22</x:f>
        <x:v>0</x:v>
      </x:c>
      <x:c r="C22" t="n">
        <x:f>Match_Data!C22</x:f>
        <x:v>0</x:v>
      </x:c>
      <x:c r="D22" t="n">
        <x:f>Match_Data!E22</x:f>
        <x:v>0</x:v>
      </x:c>
      <x:c r="E22" t="n">
        <x:f>Match_Data!F22</x:f>
        <x:v>0</x:v>
      </x:c>
      <x:c r="F22" t="n">
        <x:f>Match_Data!AC22</x:f>
        <x:v>0</x:v>
      </x:c>
      <x:c r="G22" t="str">
        <x:f>IF(OR(Match_Data!K22="",Match_Data!L22=""),"",AVERAGE(Match_Data!K22:L22))</x:f>
      </x:c>
      <x:c r="H22" t="str">
        <x:f>IF(OR(Match_Data!M22="",Match_Data!N22=""),"",AVERAGE(Match_Data!M22:N22))</x:f>
      </x:c>
      <x:c r="I22" t="str">
        <x:f>IF(OR(Match_Data!O22="",Match_Data!Q22=""),"",Match_Data!O22+Match_Data!Q22)</x:f>
      </x:c>
      <x:c r="J22" t="str">
        <x:f>IF(OR(Match_Data!P22="",Match_Data!R22=""),"",Match_Data!P22+Match_Data!R22)</x:f>
      </x:c>
      <x:c r="K22" t="str">
        <x:f>IF(OR(Match_Data!S22="",Match_Data!T22=""),"",Match_Data!S22+Match_Data!T22)</x:f>
      </x:c>
      <x:c r="L22" t="str">
        <x:f>IF(OR(Match_Data!U22="",Match_Data!V22=""),"",Match_Data!U22-Match_Data!V22)</x:f>
      </x:c>
      <x:c r="M22" s="32" t="str">
        <x:f>IF(Match_Data!Y22="","",1/Match_Data!Y22)</x:f>
      </x:c>
      <x:c r="N22" s="32" t="str">
        <x:f>IF(Match_Data!AA22="","",1/Match_Data!AA22)</x:f>
      </x:c>
      <x:c r="O22" s="32" t="str">
        <x:f>IF(OR(M22="",N22=""),"",N22-M22)</x:f>
      </x:c>
      <x:c r="P22" t="str">
        <x:f>IF(Match_Data!J22="","",IF(Match_Data!J22="OVER",1,0))</x:f>
      </x:c>
    </x:row>
    <x:row r="23">
      <x:c r="A23" t="n">
        <x:f>Match_Data!A23</x:f>
        <x:v>0</x:v>
      </x:c>
      <x:c r="B23" s="28" t="n">
        <x:f>Match_Data!B23</x:f>
        <x:v>0</x:v>
      </x:c>
      <x:c r="C23" t="n">
        <x:f>Match_Data!C23</x:f>
        <x:v>0</x:v>
      </x:c>
      <x:c r="D23" t="n">
        <x:f>Match_Data!E23</x:f>
        <x:v>0</x:v>
      </x:c>
      <x:c r="E23" t="n">
        <x:f>Match_Data!F23</x:f>
        <x:v>0</x:v>
      </x:c>
      <x:c r="F23" t="n">
        <x:f>Match_Data!AC23</x:f>
        <x:v>0</x:v>
      </x:c>
      <x:c r="G23" t="str">
        <x:f>IF(OR(Match_Data!K23="",Match_Data!L23=""),"",AVERAGE(Match_Data!K23:L23))</x:f>
      </x:c>
      <x:c r="H23" t="str">
        <x:f>IF(OR(Match_Data!M23="",Match_Data!N23=""),"",AVERAGE(Match_Data!M23:N23))</x:f>
      </x:c>
      <x:c r="I23" t="str">
        <x:f>IF(OR(Match_Data!O23="",Match_Data!Q23=""),"",Match_Data!O23+Match_Data!Q23)</x:f>
      </x:c>
      <x:c r="J23" t="str">
        <x:f>IF(OR(Match_Data!P23="",Match_Data!R23=""),"",Match_Data!P23+Match_Data!R23)</x:f>
      </x:c>
      <x:c r="K23" t="str">
        <x:f>IF(OR(Match_Data!S23="",Match_Data!T23=""),"",Match_Data!S23+Match_Data!T23)</x:f>
      </x:c>
      <x:c r="L23" t="str">
        <x:f>IF(OR(Match_Data!U23="",Match_Data!V23=""),"",Match_Data!U23-Match_Data!V23)</x:f>
      </x:c>
      <x:c r="M23" s="32" t="str">
        <x:f>IF(Match_Data!Y23="","",1/Match_Data!Y23)</x:f>
      </x:c>
      <x:c r="N23" s="32" t="str">
        <x:f>IF(Match_Data!AA23="","",1/Match_Data!AA23)</x:f>
      </x:c>
      <x:c r="O23" s="32" t="str">
        <x:f>IF(OR(M23="",N23=""),"",N23-M23)</x:f>
      </x:c>
      <x:c r="P23" t="str">
        <x:f>IF(Match_Data!J23="","",IF(Match_Data!J23="OVER",1,0))</x:f>
      </x:c>
    </x:row>
    <x:row r="24">
      <x:c r="A24" t="n">
        <x:f>Match_Data!A24</x:f>
        <x:v>0</x:v>
      </x:c>
      <x:c r="B24" s="28" t="n">
        <x:f>Match_Data!B24</x:f>
        <x:v>0</x:v>
      </x:c>
      <x:c r="C24" t="n">
        <x:f>Match_Data!C24</x:f>
        <x:v>0</x:v>
      </x:c>
      <x:c r="D24" t="n">
        <x:f>Match_Data!E24</x:f>
        <x:v>0</x:v>
      </x:c>
      <x:c r="E24" t="n">
        <x:f>Match_Data!F24</x:f>
        <x:v>0</x:v>
      </x:c>
      <x:c r="F24" t="n">
        <x:f>Match_Data!AC24</x:f>
        <x:v>0</x:v>
      </x:c>
      <x:c r="G24" t="str">
        <x:f>IF(OR(Match_Data!K24="",Match_Data!L24=""),"",AVERAGE(Match_Data!K24:L24))</x:f>
      </x:c>
      <x:c r="H24" t="str">
        <x:f>IF(OR(Match_Data!M24="",Match_Data!N24=""),"",AVERAGE(Match_Data!M24:N24))</x:f>
      </x:c>
      <x:c r="I24" t="str">
        <x:f>IF(OR(Match_Data!O24="",Match_Data!Q24=""),"",Match_Data!O24+Match_Data!Q24)</x:f>
      </x:c>
      <x:c r="J24" t="str">
        <x:f>IF(OR(Match_Data!P24="",Match_Data!R24=""),"",Match_Data!P24+Match_Data!R24)</x:f>
      </x:c>
      <x:c r="K24" t="str">
        <x:f>IF(OR(Match_Data!S24="",Match_Data!T24=""),"",Match_Data!S24+Match_Data!T24)</x:f>
      </x:c>
      <x:c r="L24" t="str">
        <x:f>IF(OR(Match_Data!U24="",Match_Data!V24=""),"",Match_Data!U24-Match_Data!V24)</x:f>
      </x:c>
      <x:c r="M24" s="32" t="str">
        <x:f>IF(Match_Data!Y24="","",1/Match_Data!Y24)</x:f>
      </x:c>
      <x:c r="N24" s="32" t="str">
        <x:f>IF(Match_Data!AA24="","",1/Match_Data!AA24)</x:f>
      </x:c>
      <x:c r="O24" s="32" t="str">
        <x:f>IF(OR(M24="",N24=""),"",N24-M24)</x:f>
      </x:c>
      <x:c r="P24" t="str">
        <x:f>IF(Match_Data!J24="","",IF(Match_Data!J24="OVER",1,0))</x:f>
      </x:c>
    </x:row>
    <x:row r="25">
      <x:c r="A25" t="n">
        <x:f>Match_Data!A25</x:f>
        <x:v>0</x:v>
      </x:c>
      <x:c r="B25" s="28" t="n">
        <x:f>Match_Data!B25</x:f>
        <x:v>0</x:v>
      </x:c>
      <x:c r="C25" t="n">
        <x:f>Match_Data!C25</x:f>
        <x:v>0</x:v>
      </x:c>
      <x:c r="D25" t="n">
        <x:f>Match_Data!E25</x:f>
        <x:v>0</x:v>
      </x:c>
      <x:c r="E25" t="n">
        <x:f>Match_Data!F25</x:f>
        <x:v>0</x:v>
      </x:c>
      <x:c r="F25" t="n">
        <x:f>Match_Data!AC25</x:f>
        <x:v>0</x:v>
      </x:c>
      <x:c r="G25" t="str">
        <x:f>IF(OR(Match_Data!K25="",Match_Data!L25=""),"",AVERAGE(Match_Data!K25:L25))</x:f>
      </x:c>
      <x:c r="H25" t="str">
        <x:f>IF(OR(Match_Data!M25="",Match_Data!N25=""),"",AVERAGE(Match_Data!M25:N25))</x:f>
      </x:c>
      <x:c r="I25" t="str">
        <x:f>IF(OR(Match_Data!O25="",Match_Data!Q25=""),"",Match_Data!O25+Match_Data!Q25)</x:f>
      </x:c>
      <x:c r="J25" t="str">
        <x:f>IF(OR(Match_Data!P25="",Match_Data!R25=""),"",Match_Data!P25+Match_Data!R25)</x:f>
      </x:c>
      <x:c r="K25" t="str">
        <x:f>IF(OR(Match_Data!S25="",Match_Data!T25=""),"",Match_Data!S25+Match_Data!T25)</x:f>
      </x:c>
      <x:c r="L25" t="str">
        <x:f>IF(OR(Match_Data!U25="",Match_Data!V25=""),"",Match_Data!U25-Match_Data!V25)</x:f>
      </x:c>
      <x:c r="M25" s="32" t="str">
        <x:f>IF(Match_Data!Y25="","",1/Match_Data!Y25)</x:f>
      </x:c>
      <x:c r="N25" s="32" t="str">
        <x:f>IF(Match_Data!AA25="","",1/Match_Data!AA25)</x:f>
      </x:c>
      <x:c r="O25" s="32" t="str">
        <x:f>IF(OR(M25="",N25=""),"",N25-M25)</x:f>
      </x:c>
      <x:c r="P25" t="str">
        <x:f>IF(Match_Data!J25="","",IF(Match_Data!J25="OVER",1,0))</x:f>
      </x:c>
    </x:row>
    <x:row r="26">
      <x:c r="A26" t="n">
        <x:f>Match_Data!A26</x:f>
        <x:v>0</x:v>
      </x:c>
      <x:c r="B26" s="28" t="n">
        <x:f>Match_Data!B26</x:f>
        <x:v>0</x:v>
      </x:c>
      <x:c r="C26" t="n">
        <x:f>Match_Data!C26</x:f>
        <x:v>0</x:v>
      </x:c>
      <x:c r="D26" t="n">
        <x:f>Match_Data!E26</x:f>
        <x:v>0</x:v>
      </x:c>
      <x:c r="E26" t="n">
        <x:f>Match_Data!F26</x:f>
        <x:v>0</x:v>
      </x:c>
      <x:c r="F26" t="n">
        <x:f>Match_Data!AC26</x:f>
        <x:v>0</x:v>
      </x:c>
      <x:c r="G26" t="str">
        <x:f>IF(OR(Match_Data!K26="",Match_Data!L26=""),"",AVERAGE(Match_Data!K26:L26))</x:f>
      </x:c>
      <x:c r="H26" t="str">
        <x:f>IF(OR(Match_Data!M26="",Match_Data!N26=""),"",AVERAGE(Match_Data!M26:N26))</x:f>
      </x:c>
      <x:c r="I26" t="str">
        <x:f>IF(OR(Match_Data!O26="",Match_Data!Q26=""),"",Match_Data!O26+Match_Data!Q26)</x:f>
      </x:c>
      <x:c r="J26" t="str">
        <x:f>IF(OR(Match_Data!P26="",Match_Data!R26=""),"",Match_Data!P26+Match_Data!R26)</x:f>
      </x:c>
      <x:c r="K26" t="str">
        <x:f>IF(OR(Match_Data!S26="",Match_Data!T26=""),"",Match_Data!S26+Match_Data!T26)</x:f>
      </x:c>
      <x:c r="L26" t="str">
        <x:f>IF(OR(Match_Data!U26="",Match_Data!V26=""),"",Match_Data!U26-Match_Data!V26)</x:f>
      </x:c>
      <x:c r="M26" s="32" t="str">
        <x:f>IF(Match_Data!Y26="","",1/Match_Data!Y26)</x:f>
      </x:c>
      <x:c r="N26" s="32" t="str">
        <x:f>IF(Match_Data!AA26="","",1/Match_Data!AA26)</x:f>
      </x:c>
      <x:c r="O26" s="32" t="str">
        <x:f>IF(OR(M26="",N26=""),"",N26-M26)</x:f>
      </x:c>
      <x:c r="P26" t="str">
        <x:f>IF(Match_Data!J26="","",IF(Match_Data!J26="OVER",1,0))</x:f>
      </x:c>
    </x:row>
    <x:row r="27">
      <x:c r="A27" t="n">
        <x:f>Match_Data!A27</x:f>
        <x:v>0</x:v>
      </x:c>
      <x:c r="B27" s="28" t="n">
        <x:f>Match_Data!B27</x:f>
        <x:v>0</x:v>
      </x:c>
      <x:c r="C27" t="n">
        <x:f>Match_Data!C27</x:f>
        <x:v>0</x:v>
      </x:c>
      <x:c r="D27" t="n">
        <x:f>Match_Data!E27</x:f>
        <x:v>0</x:v>
      </x:c>
      <x:c r="E27" t="n">
        <x:f>Match_Data!F27</x:f>
        <x:v>0</x:v>
      </x:c>
      <x:c r="F27" t="n">
        <x:f>Match_Data!AC27</x:f>
        <x:v>0</x:v>
      </x:c>
      <x:c r="G27" t="str">
        <x:f>IF(OR(Match_Data!K27="",Match_Data!L27=""),"",AVERAGE(Match_Data!K27:L27))</x:f>
      </x:c>
      <x:c r="H27" t="str">
        <x:f>IF(OR(Match_Data!M27="",Match_Data!N27=""),"",AVERAGE(Match_Data!M27:N27))</x:f>
      </x:c>
      <x:c r="I27" t="str">
        <x:f>IF(OR(Match_Data!O27="",Match_Data!Q27=""),"",Match_Data!O27+Match_Data!Q27)</x:f>
      </x:c>
      <x:c r="J27" t="str">
        <x:f>IF(OR(Match_Data!P27="",Match_Data!R27=""),"",Match_Data!P27+Match_Data!R27)</x:f>
      </x:c>
      <x:c r="K27" t="str">
        <x:f>IF(OR(Match_Data!S27="",Match_Data!T27=""),"",Match_Data!S27+Match_Data!T27)</x:f>
      </x:c>
      <x:c r="L27" t="str">
        <x:f>IF(OR(Match_Data!U27="",Match_Data!V27=""),"",Match_Data!U27-Match_Data!V27)</x:f>
      </x:c>
      <x:c r="M27" s="32" t="str">
        <x:f>IF(Match_Data!Y27="","",1/Match_Data!Y27)</x:f>
      </x:c>
      <x:c r="N27" s="32" t="str">
        <x:f>IF(Match_Data!AA27="","",1/Match_Data!AA27)</x:f>
      </x:c>
      <x:c r="O27" s="32" t="str">
        <x:f>IF(OR(M27="",N27=""),"",N27-M27)</x:f>
      </x:c>
      <x:c r="P27" t="str">
        <x:f>IF(Match_Data!J27="","",IF(Match_Data!J27="OVER",1,0))</x:f>
      </x:c>
    </x:row>
    <x:row r="28">
      <x:c r="A28" t="n">
        <x:f>Match_Data!A28</x:f>
        <x:v>0</x:v>
      </x:c>
      <x:c r="B28" s="28" t="n">
        <x:f>Match_Data!B28</x:f>
        <x:v>0</x:v>
      </x:c>
      <x:c r="C28" t="n">
        <x:f>Match_Data!C28</x:f>
        <x:v>0</x:v>
      </x:c>
      <x:c r="D28" t="n">
        <x:f>Match_Data!E28</x:f>
        <x:v>0</x:v>
      </x:c>
      <x:c r="E28" t="n">
        <x:f>Match_Data!F28</x:f>
        <x:v>0</x:v>
      </x:c>
      <x:c r="F28" t="n">
        <x:f>Match_Data!AC28</x:f>
        <x:v>0</x:v>
      </x:c>
      <x:c r="G28" t="str">
        <x:f>IF(OR(Match_Data!K28="",Match_Data!L28=""),"",AVERAGE(Match_Data!K28:L28))</x:f>
      </x:c>
      <x:c r="H28" t="str">
        <x:f>IF(OR(Match_Data!M28="",Match_Data!N28=""),"",AVERAGE(Match_Data!M28:N28))</x:f>
      </x:c>
      <x:c r="I28" t="str">
        <x:f>IF(OR(Match_Data!O28="",Match_Data!Q28=""),"",Match_Data!O28+Match_Data!Q28)</x:f>
      </x:c>
      <x:c r="J28" t="str">
        <x:f>IF(OR(Match_Data!P28="",Match_Data!R28=""),"",Match_Data!P28+Match_Data!R28)</x:f>
      </x:c>
      <x:c r="K28" t="str">
        <x:f>IF(OR(Match_Data!S28="",Match_Data!T28=""),"",Match_Data!S28+Match_Data!T28)</x:f>
      </x:c>
      <x:c r="L28" t="str">
        <x:f>IF(OR(Match_Data!U28="",Match_Data!V28=""),"",Match_Data!U28-Match_Data!V28)</x:f>
      </x:c>
      <x:c r="M28" s="32" t="str">
        <x:f>IF(Match_Data!Y28="","",1/Match_Data!Y28)</x:f>
      </x:c>
      <x:c r="N28" s="32" t="str">
        <x:f>IF(Match_Data!AA28="","",1/Match_Data!AA28)</x:f>
      </x:c>
      <x:c r="O28" s="32" t="str">
        <x:f>IF(OR(M28="",N28=""),"",N28-M28)</x:f>
      </x:c>
      <x:c r="P28" t="str">
        <x:f>IF(Match_Data!J28="","",IF(Match_Data!J28="OVER",1,0))</x:f>
      </x:c>
    </x:row>
    <x:row r="29">
      <x:c r="A29" t="n">
        <x:f>Match_Data!A29</x:f>
        <x:v>0</x:v>
      </x:c>
      <x:c r="B29" s="28" t="n">
        <x:f>Match_Data!B29</x:f>
        <x:v>0</x:v>
      </x:c>
      <x:c r="C29" t="n">
        <x:f>Match_Data!C29</x:f>
        <x:v>0</x:v>
      </x:c>
      <x:c r="D29" t="n">
        <x:f>Match_Data!E29</x:f>
        <x:v>0</x:v>
      </x:c>
      <x:c r="E29" t="n">
        <x:f>Match_Data!F29</x:f>
        <x:v>0</x:v>
      </x:c>
      <x:c r="F29" t="n">
        <x:f>Match_Data!AC29</x:f>
        <x:v>0</x:v>
      </x:c>
      <x:c r="G29" t="str">
        <x:f>IF(OR(Match_Data!K29="",Match_Data!L29=""),"",AVERAGE(Match_Data!K29:L29))</x:f>
      </x:c>
      <x:c r="H29" t="str">
        <x:f>IF(OR(Match_Data!M29="",Match_Data!N29=""),"",AVERAGE(Match_Data!M29:N29))</x:f>
      </x:c>
      <x:c r="I29" t="str">
        <x:f>IF(OR(Match_Data!O29="",Match_Data!Q29=""),"",Match_Data!O29+Match_Data!Q29)</x:f>
      </x:c>
      <x:c r="J29" t="str">
        <x:f>IF(OR(Match_Data!P29="",Match_Data!R29=""),"",Match_Data!P29+Match_Data!R29)</x:f>
      </x:c>
      <x:c r="K29" t="str">
        <x:f>IF(OR(Match_Data!S29="",Match_Data!T29=""),"",Match_Data!S29+Match_Data!T29)</x:f>
      </x:c>
      <x:c r="L29" t="str">
        <x:f>IF(OR(Match_Data!U29="",Match_Data!V29=""),"",Match_Data!U29-Match_Data!V29)</x:f>
      </x:c>
      <x:c r="M29" s="32" t="str">
        <x:f>IF(Match_Data!Y29="","",1/Match_Data!Y29)</x:f>
      </x:c>
      <x:c r="N29" s="32" t="str">
        <x:f>IF(Match_Data!AA29="","",1/Match_Data!AA29)</x:f>
      </x:c>
      <x:c r="O29" s="32" t="str">
        <x:f>IF(OR(M29="",N29=""),"",N29-M29)</x:f>
      </x:c>
      <x:c r="P29" t="str">
        <x:f>IF(Match_Data!J29="","",IF(Match_Data!J29="OVER",1,0))</x:f>
      </x:c>
    </x:row>
    <x:row r="30">
      <x:c r="A30" t="n">
        <x:f>Match_Data!A30</x:f>
        <x:v>0</x:v>
      </x:c>
      <x:c r="B30" s="28" t="n">
        <x:f>Match_Data!B30</x:f>
        <x:v>0</x:v>
      </x:c>
      <x:c r="C30" t="n">
        <x:f>Match_Data!C30</x:f>
        <x:v>0</x:v>
      </x:c>
      <x:c r="D30" t="n">
        <x:f>Match_Data!E30</x:f>
        <x:v>0</x:v>
      </x:c>
      <x:c r="E30" t="n">
        <x:f>Match_Data!F30</x:f>
        <x:v>0</x:v>
      </x:c>
      <x:c r="F30" t="n">
        <x:f>Match_Data!AC30</x:f>
        <x:v>0</x:v>
      </x:c>
      <x:c r="G30" t="str">
        <x:f>IF(OR(Match_Data!K30="",Match_Data!L30=""),"",AVERAGE(Match_Data!K30:L30))</x:f>
      </x:c>
      <x:c r="H30" t="str">
        <x:f>IF(OR(Match_Data!M30="",Match_Data!N30=""),"",AVERAGE(Match_Data!M30:N30))</x:f>
      </x:c>
      <x:c r="I30" t="str">
        <x:f>IF(OR(Match_Data!O30="",Match_Data!Q30=""),"",Match_Data!O30+Match_Data!Q30)</x:f>
      </x:c>
      <x:c r="J30" t="str">
        <x:f>IF(OR(Match_Data!P30="",Match_Data!R30=""),"",Match_Data!P30+Match_Data!R30)</x:f>
      </x:c>
      <x:c r="K30" t="str">
        <x:f>IF(OR(Match_Data!S30="",Match_Data!T30=""),"",Match_Data!S30+Match_Data!T30)</x:f>
      </x:c>
      <x:c r="L30" t="str">
        <x:f>IF(OR(Match_Data!U30="",Match_Data!V30=""),"",Match_Data!U30-Match_Data!V30)</x:f>
      </x:c>
      <x:c r="M30" s="32" t="str">
        <x:f>IF(Match_Data!Y30="","",1/Match_Data!Y30)</x:f>
      </x:c>
      <x:c r="N30" s="32" t="str">
        <x:f>IF(Match_Data!AA30="","",1/Match_Data!AA30)</x:f>
      </x:c>
      <x:c r="O30" s="32" t="str">
        <x:f>IF(OR(M30="",N30=""),"",N30-M30)</x:f>
      </x:c>
      <x:c r="P30" t="str">
        <x:f>IF(Match_Data!J30="","",IF(Match_Data!J30="OVER",1,0))</x:f>
      </x:c>
    </x:row>
    <x:row r="31">
      <x:c r="A31" t="n">
        <x:f>Match_Data!A31</x:f>
        <x:v>0</x:v>
      </x:c>
      <x:c r="B31" s="28" t="n">
        <x:f>Match_Data!B31</x:f>
        <x:v>0</x:v>
      </x:c>
      <x:c r="C31" t="n">
        <x:f>Match_Data!C31</x:f>
        <x:v>0</x:v>
      </x:c>
      <x:c r="D31" t="n">
        <x:f>Match_Data!E31</x:f>
        <x:v>0</x:v>
      </x:c>
      <x:c r="E31" t="n">
        <x:f>Match_Data!F31</x:f>
        <x:v>0</x:v>
      </x:c>
      <x:c r="F31" t="n">
        <x:f>Match_Data!AC31</x:f>
        <x:v>0</x:v>
      </x:c>
      <x:c r="G31" t="str">
        <x:f>IF(OR(Match_Data!K31="",Match_Data!L31=""),"",AVERAGE(Match_Data!K31:L31))</x:f>
      </x:c>
      <x:c r="H31" t="str">
        <x:f>IF(OR(Match_Data!M31="",Match_Data!N31=""),"",AVERAGE(Match_Data!M31:N31))</x:f>
      </x:c>
      <x:c r="I31" t="str">
        <x:f>IF(OR(Match_Data!O31="",Match_Data!Q31=""),"",Match_Data!O31+Match_Data!Q31)</x:f>
      </x:c>
      <x:c r="J31" t="str">
        <x:f>IF(OR(Match_Data!P31="",Match_Data!R31=""),"",Match_Data!P31+Match_Data!R31)</x:f>
      </x:c>
      <x:c r="K31" t="str">
        <x:f>IF(OR(Match_Data!S31="",Match_Data!T31=""),"",Match_Data!S31+Match_Data!T31)</x:f>
      </x:c>
      <x:c r="L31" t="str">
        <x:f>IF(OR(Match_Data!U31="",Match_Data!V31=""),"",Match_Data!U31-Match_Data!V31)</x:f>
      </x:c>
      <x:c r="M31" s="32" t="str">
        <x:f>IF(Match_Data!Y31="","",1/Match_Data!Y31)</x:f>
      </x:c>
      <x:c r="N31" s="32" t="str">
        <x:f>IF(Match_Data!AA31="","",1/Match_Data!AA31)</x:f>
      </x:c>
      <x:c r="O31" s="32" t="str">
        <x:f>IF(OR(M31="",N31=""),"",N31-M31)</x:f>
      </x:c>
      <x:c r="P31" t="str">
        <x:f>IF(Match_Data!J31="","",IF(Match_Data!J31="OVER",1,0))</x:f>
      </x:c>
    </x:row>
    <x:row r="32">
      <x:c r="A32" t="n">
        <x:f>Match_Data!A32</x:f>
        <x:v>0</x:v>
      </x:c>
      <x:c r="B32" s="28" t="n">
        <x:f>Match_Data!B32</x:f>
        <x:v>0</x:v>
      </x:c>
      <x:c r="C32" t="n">
        <x:f>Match_Data!C32</x:f>
        <x:v>0</x:v>
      </x:c>
      <x:c r="D32" t="n">
        <x:f>Match_Data!E32</x:f>
        <x:v>0</x:v>
      </x:c>
      <x:c r="E32" t="n">
        <x:f>Match_Data!F32</x:f>
        <x:v>0</x:v>
      </x:c>
      <x:c r="F32" t="n">
        <x:f>Match_Data!AC32</x:f>
        <x:v>0</x:v>
      </x:c>
      <x:c r="G32" t="str">
        <x:f>IF(OR(Match_Data!K32="",Match_Data!L32=""),"",AVERAGE(Match_Data!K32:L32))</x:f>
      </x:c>
      <x:c r="H32" t="str">
        <x:f>IF(OR(Match_Data!M32="",Match_Data!N32=""),"",AVERAGE(Match_Data!M32:N32))</x:f>
      </x:c>
      <x:c r="I32" t="str">
        <x:f>IF(OR(Match_Data!O32="",Match_Data!Q32=""),"",Match_Data!O32+Match_Data!Q32)</x:f>
      </x:c>
      <x:c r="J32" t="str">
        <x:f>IF(OR(Match_Data!P32="",Match_Data!R32=""),"",Match_Data!P32+Match_Data!R32)</x:f>
      </x:c>
      <x:c r="K32" t="str">
        <x:f>IF(OR(Match_Data!S32="",Match_Data!T32=""),"",Match_Data!S32+Match_Data!T32)</x:f>
      </x:c>
      <x:c r="L32" t="str">
        <x:f>IF(OR(Match_Data!U32="",Match_Data!V32=""),"",Match_Data!U32-Match_Data!V32)</x:f>
      </x:c>
      <x:c r="M32" s="32" t="str">
        <x:f>IF(Match_Data!Y32="","",1/Match_Data!Y32)</x:f>
      </x:c>
      <x:c r="N32" s="32" t="str">
        <x:f>IF(Match_Data!AA32="","",1/Match_Data!AA32)</x:f>
      </x:c>
      <x:c r="O32" s="32" t="str">
        <x:f>IF(OR(M32="",N32=""),"",N32-M32)</x:f>
      </x:c>
      <x:c r="P32" t="str">
        <x:f>IF(Match_Data!J32="","",IF(Match_Data!J32="OVER",1,0))</x:f>
      </x:c>
    </x:row>
    <x:row r="33">
      <x:c r="A33" t="n">
        <x:f>Match_Data!A33</x:f>
        <x:v>0</x:v>
      </x:c>
      <x:c r="B33" s="28" t="n">
        <x:f>Match_Data!B33</x:f>
        <x:v>0</x:v>
      </x:c>
      <x:c r="C33" t="n">
        <x:f>Match_Data!C33</x:f>
        <x:v>0</x:v>
      </x:c>
      <x:c r="D33" t="n">
        <x:f>Match_Data!E33</x:f>
        <x:v>0</x:v>
      </x:c>
      <x:c r="E33" t="n">
        <x:f>Match_Data!F33</x:f>
        <x:v>0</x:v>
      </x:c>
      <x:c r="F33" t="n">
        <x:f>Match_Data!AC33</x:f>
        <x:v>0</x:v>
      </x:c>
      <x:c r="G33" t="str">
        <x:f>IF(OR(Match_Data!K33="",Match_Data!L33=""),"",AVERAGE(Match_Data!K33:L33))</x:f>
      </x:c>
      <x:c r="H33" t="str">
        <x:f>IF(OR(Match_Data!M33="",Match_Data!N33=""),"",AVERAGE(Match_Data!M33:N33))</x:f>
      </x:c>
      <x:c r="I33" t="str">
        <x:f>IF(OR(Match_Data!O33="",Match_Data!Q33=""),"",Match_Data!O33+Match_Data!Q33)</x:f>
      </x:c>
      <x:c r="J33" t="str">
        <x:f>IF(OR(Match_Data!P33="",Match_Data!R33=""),"",Match_Data!P33+Match_Data!R33)</x:f>
      </x:c>
      <x:c r="K33" t="str">
        <x:f>IF(OR(Match_Data!S33="",Match_Data!T33=""),"",Match_Data!S33+Match_Data!T33)</x:f>
      </x:c>
      <x:c r="L33" t="str">
        <x:f>IF(OR(Match_Data!U33="",Match_Data!V33=""),"",Match_Data!U33-Match_Data!V33)</x:f>
      </x:c>
      <x:c r="M33" s="32" t="str">
        <x:f>IF(Match_Data!Y33="","",1/Match_Data!Y33)</x:f>
      </x:c>
      <x:c r="N33" s="32" t="str">
        <x:f>IF(Match_Data!AA33="","",1/Match_Data!AA33)</x:f>
      </x:c>
      <x:c r="O33" s="32" t="str">
        <x:f>IF(OR(M33="",N33=""),"",N33-M33)</x:f>
      </x:c>
      <x:c r="P33" t="str">
        <x:f>IF(Match_Data!J33="","",IF(Match_Data!J33="OVER",1,0))</x:f>
      </x:c>
    </x:row>
    <x:row r="34">
      <x:c r="A34" t="n">
        <x:f>Match_Data!A34</x:f>
        <x:v>0</x:v>
      </x:c>
      <x:c r="B34" s="28" t="n">
        <x:f>Match_Data!B34</x:f>
        <x:v>0</x:v>
      </x:c>
      <x:c r="C34" t="n">
        <x:f>Match_Data!C34</x:f>
        <x:v>0</x:v>
      </x:c>
      <x:c r="D34" t="n">
        <x:f>Match_Data!E34</x:f>
        <x:v>0</x:v>
      </x:c>
      <x:c r="E34" t="n">
        <x:f>Match_Data!F34</x:f>
        <x:v>0</x:v>
      </x:c>
      <x:c r="F34" t="n">
        <x:f>Match_Data!AC34</x:f>
        <x:v>0</x:v>
      </x:c>
      <x:c r="G34" t="str">
        <x:f>IF(OR(Match_Data!K34="",Match_Data!L34=""),"",AVERAGE(Match_Data!K34:L34))</x:f>
      </x:c>
      <x:c r="H34" t="str">
        <x:f>IF(OR(Match_Data!M34="",Match_Data!N34=""),"",AVERAGE(Match_Data!M34:N34))</x:f>
      </x:c>
      <x:c r="I34" t="str">
        <x:f>IF(OR(Match_Data!O34="",Match_Data!Q34=""),"",Match_Data!O34+Match_Data!Q34)</x:f>
      </x:c>
      <x:c r="J34" t="str">
        <x:f>IF(OR(Match_Data!P34="",Match_Data!R34=""),"",Match_Data!P34+Match_Data!R34)</x:f>
      </x:c>
      <x:c r="K34" t="str">
        <x:f>IF(OR(Match_Data!S34="",Match_Data!T34=""),"",Match_Data!S34+Match_Data!T34)</x:f>
      </x:c>
      <x:c r="L34" t="str">
        <x:f>IF(OR(Match_Data!U34="",Match_Data!V34=""),"",Match_Data!U34-Match_Data!V34)</x:f>
      </x:c>
      <x:c r="M34" s="32" t="str">
        <x:f>IF(Match_Data!Y34="","",1/Match_Data!Y34)</x:f>
      </x:c>
      <x:c r="N34" s="32" t="str">
        <x:f>IF(Match_Data!AA34="","",1/Match_Data!AA34)</x:f>
      </x:c>
      <x:c r="O34" s="32" t="str">
        <x:f>IF(OR(M34="",N34=""),"",N34-M34)</x:f>
      </x:c>
      <x:c r="P34" t="str">
        <x:f>IF(Match_Data!J34="","",IF(Match_Data!J34="OVER",1,0))</x:f>
      </x:c>
    </x:row>
    <x:row r="35">
      <x:c r="A35" t="n">
        <x:f>Match_Data!A35</x:f>
        <x:v>0</x:v>
      </x:c>
      <x:c r="B35" s="28" t="n">
        <x:f>Match_Data!B35</x:f>
        <x:v>0</x:v>
      </x:c>
      <x:c r="C35" t="n">
        <x:f>Match_Data!C35</x:f>
        <x:v>0</x:v>
      </x:c>
      <x:c r="D35" t="n">
        <x:f>Match_Data!E35</x:f>
        <x:v>0</x:v>
      </x:c>
      <x:c r="E35" t="n">
        <x:f>Match_Data!F35</x:f>
        <x:v>0</x:v>
      </x:c>
      <x:c r="F35" t="n">
        <x:f>Match_Data!AC35</x:f>
        <x:v>0</x:v>
      </x:c>
      <x:c r="G35" t="str">
        <x:f>IF(OR(Match_Data!K35="",Match_Data!L35=""),"",AVERAGE(Match_Data!K35:L35))</x:f>
      </x:c>
      <x:c r="H35" t="str">
        <x:f>IF(OR(Match_Data!M35="",Match_Data!N35=""),"",AVERAGE(Match_Data!M35:N35))</x:f>
      </x:c>
      <x:c r="I35" t="str">
        <x:f>IF(OR(Match_Data!O35="",Match_Data!Q35=""),"",Match_Data!O35+Match_Data!Q35)</x:f>
      </x:c>
      <x:c r="J35" t="str">
        <x:f>IF(OR(Match_Data!P35="",Match_Data!R35=""),"",Match_Data!P35+Match_Data!R35)</x:f>
      </x:c>
      <x:c r="K35" t="str">
        <x:f>IF(OR(Match_Data!S35="",Match_Data!T35=""),"",Match_Data!S35+Match_Data!T35)</x:f>
      </x:c>
      <x:c r="L35" t="str">
        <x:f>IF(OR(Match_Data!U35="",Match_Data!V35=""),"",Match_Data!U35-Match_Data!V35)</x:f>
      </x:c>
      <x:c r="M35" s="32" t="str">
        <x:f>IF(Match_Data!Y35="","",1/Match_Data!Y35)</x:f>
      </x:c>
      <x:c r="N35" s="32" t="str">
        <x:f>IF(Match_Data!AA35="","",1/Match_Data!AA35)</x:f>
      </x:c>
      <x:c r="O35" s="32" t="str">
        <x:f>IF(OR(M35="",N35=""),"",N35-M35)</x:f>
      </x:c>
      <x:c r="P35" t="str">
        <x:f>IF(Match_Data!J35="","",IF(Match_Data!J35="OVER",1,0))</x:f>
      </x:c>
    </x:row>
    <x:row r="36">
      <x:c r="A36" t="n">
        <x:f>Match_Data!A36</x:f>
        <x:v>0</x:v>
      </x:c>
      <x:c r="B36" s="28" t="n">
        <x:f>Match_Data!B36</x:f>
        <x:v>0</x:v>
      </x:c>
      <x:c r="C36" t="n">
        <x:f>Match_Data!C36</x:f>
        <x:v>0</x:v>
      </x:c>
      <x:c r="D36" t="n">
        <x:f>Match_Data!E36</x:f>
        <x:v>0</x:v>
      </x:c>
      <x:c r="E36" t="n">
        <x:f>Match_Data!F36</x:f>
        <x:v>0</x:v>
      </x:c>
      <x:c r="F36" t="n">
        <x:f>Match_Data!AC36</x:f>
        <x:v>0</x:v>
      </x:c>
      <x:c r="G36" t="str">
        <x:f>IF(OR(Match_Data!K36="",Match_Data!L36=""),"",AVERAGE(Match_Data!K36:L36))</x:f>
      </x:c>
      <x:c r="H36" t="str">
        <x:f>IF(OR(Match_Data!M36="",Match_Data!N36=""),"",AVERAGE(Match_Data!M36:N36))</x:f>
      </x:c>
      <x:c r="I36" t="str">
        <x:f>IF(OR(Match_Data!O36="",Match_Data!Q36=""),"",Match_Data!O36+Match_Data!Q36)</x:f>
      </x:c>
      <x:c r="J36" t="str">
        <x:f>IF(OR(Match_Data!P36="",Match_Data!R36=""),"",Match_Data!P36+Match_Data!R36)</x:f>
      </x:c>
      <x:c r="K36" t="str">
        <x:f>IF(OR(Match_Data!S36="",Match_Data!T36=""),"",Match_Data!S36+Match_Data!T36)</x:f>
      </x:c>
      <x:c r="L36" t="str">
        <x:f>IF(OR(Match_Data!U36="",Match_Data!V36=""),"",Match_Data!U36-Match_Data!V36)</x:f>
      </x:c>
      <x:c r="M36" s="32" t="str">
        <x:f>IF(Match_Data!Y36="","",1/Match_Data!Y36)</x:f>
      </x:c>
      <x:c r="N36" s="32" t="str">
        <x:f>IF(Match_Data!AA36="","",1/Match_Data!AA36)</x:f>
      </x:c>
      <x:c r="O36" s="32" t="str">
        <x:f>IF(OR(M36="",N36=""),"",N36-M36)</x:f>
      </x:c>
      <x:c r="P36" t="str">
        <x:f>IF(Match_Data!J36="","",IF(Match_Data!J36="OVER",1,0))</x:f>
      </x:c>
    </x:row>
    <x:row r="37">
      <x:c r="A37" t="n">
        <x:f>Match_Data!A37</x:f>
        <x:v>0</x:v>
      </x:c>
      <x:c r="B37" s="28" t="n">
        <x:f>Match_Data!B37</x:f>
        <x:v>0</x:v>
      </x:c>
      <x:c r="C37" t="n">
        <x:f>Match_Data!C37</x:f>
        <x:v>0</x:v>
      </x:c>
      <x:c r="D37" t="n">
        <x:f>Match_Data!E37</x:f>
        <x:v>0</x:v>
      </x:c>
      <x:c r="E37" t="n">
        <x:f>Match_Data!F37</x:f>
        <x:v>0</x:v>
      </x:c>
      <x:c r="F37" t="n">
        <x:f>Match_Data!AC37</x:f>
        <x:v>0</x:v>
      </x:c>
      <x:c r="G37" t="str">
        <x:f>IF(OR(Match_Data!K37="",Match_Data!L37=""),"",AVERAGE(Match_Data!K37:L37))</x:f>
      </x:c>
      <x:c r="H37" t="str">
        <x:f>IF(OR(Match_Data!M37="",Match_Data!N37=""),"",AVERAGE(Match_Data!M37:N37))</x:f>
      </x:c>
      <x:c r="I37" t="str">
        <x:f>IF(OR(Match_Data!O37="",Match_Data!Q37=""),"",Match_Data!O37+Match_Data!Q37)</x:f>
      </x:c>
      <x:c r="J37" t="str">
        <x:f>IF(OR(Match_Data!P37="",Match_Data!R37=""),"",Match_Data!P37+Match_Data!R37)</x:f>
      </x:c>
      <x:c r="K37" t="str">
        <x:f>IF(OR(Match_Data!S37="",Match_Data!T37=""),"",Match_Data!S37+Match_Data!T37)</x:f>
      </x:c>
      <x:c r="L37" t="str">
        <x:f>IF(OR(Match_Data!U37="",Match_Data!V37=""),"",Match_Data!U37-Match_Data!V37)</x:f>
      </x:c>
      <x:c r="M37" s="32" t="str">
        <x:f>IF(Match_Data!Y37="","",1/Match_Data!Y37)</x:f>
      </x:c>
      <x:c r="N37" s="32" t="str">
        <x:f>IF(Match_Data!AA37="","",1/Match_Data!AA37)</x:f>
      </x:c>
      <x:c r="O37" s="32" t="str">
        <x:f>IF(OR(M37="",N37=""),"",N37-M37)</x:f>
      </x:c>
      <x:c r="P37" t="str">
        <x:f>IF(Match_Data!J37="","",IF(Match_Data!J37="OVER",1,0))</x:f>
      </x:c>
    </x:row>
    <x:row r="38">
      <x:c r="A38" t="n">
        <x:f>Match_Data!A38</x:f>
        <x:v>0</x:v>
      </x:c>
      <x:c r="B38" s="28" t="n">
        <x:f>Match_Data!B38</x:f>
        <x:v>0</x:v>
      </x:c>
      <x:c r="C38" t="n">
        <x:f>Match_Data!C38</x:f>
        <x:v>0</x:v>
      </x:c>
      <x:c r="D38" t="n">
        <x:f>Match_Data!E38</x:f>
        <x:v>0</x:v>
      </x:c>
      <x:c r="E38" t="n">
        <x:f>Match_Data!F38</x:f>
        <x:v>0</x:v>
      </x:c>
      <x:c r="F38" t="n">
        <x:f>Match_Data!AC38</x:f>
        <x:v>0</x:v>
      </x:c>
      <x:c r="G38" t="str">
        <x:f>IF(OR(Match_Data!K38="",Match_Data!L38=""),"",AVERAGE(Match_Data!K38:L38))</x:f>
      </x:c>
      <x:c r="H38" t="str">
        <x:f>IF(OR(Match_Data!M38="",Match_Data!N38=""),"",AVERAGE(Match_Data!M38:N38))</x:f>
      </x:c>
      <x:c r="I38" t="str">
        <x:f>IF(OR(Match_Data!O38="",Match_Data!Q38=""),"",Match_Data!O38+Match_Data!Q38)</x:f>
      </x:c>
      <x:c r="J38" t="str">
        <x:f>IF(OR(Match_Data!P38="",Match_Data!R38=""),"",Match_Data!P38+Match_Data!R38)</x:f>
      </x:c>
      <x:c r="K38" t="str">
        <x:f>IF(OR(Match_Data!S38="",Match_Data!T38=""),"",Match_Data!S38+Match_Data!T38)</x:f>
      </x:c>
      <x:c r="L38" t="str">
        <x:f>IF(OR(Match_Data!U38="",Match_Data!V38=""),"",Match_Data!U38-Match_Data!V38)</x:f>
      </x:c>
      <x:c r="M38" s="32" t="str">
        <x:f>IF(Match_Data!Y38="","",1/Match_Data!Y38)</x:f>
      </x:c>
      <x:c r="N38" s="32" t="str">
        <x:f>IF(Match_Data!AA38="","",1/Match_Data!AA38)</x:f>
      </x:c>
      <x:c r="O38" s="32" t="str">
        <x:f>IF(OR(M38="",N38=""),"",N38-M38)</x:f>
      </x:c>
      <x:c r="P38" t="str">
        <x:f>IF(Match_Data!J38="","",IF(Match_Data!J38="OVER",1,0))</x:f>
      </x:c>
    </x:row>
    <x:row r="39">
      <x:c r="A39" t="n">
        <x:f>Match_Data!A39</x:f>
        <x:v>0</x:v>
      </x:c>
      <x:c r="B39" s="28" t="n">
        <x:f>Match_Data!B39</x:f>
        <x:v>0</x:v>
      </x:c>
      <x:c r="C39" t="n">
        <x:f>Match_Data!C39</x:f>
        <x:v>0</x:v>
      </x:c>
      <x:c r="D39" t="n">
        <x:f>Match_Data!E39</x:f>
        <x:v>0</x:v>
      </x:c>
      <x:c r="E39" t="n">
        <x:f>Match_Data!F39</x:f>
        <x:v>0</x:v>
      </x:c>
      <x:c r="F39" t="n">
        <x:f>Match_Data!AC39</x:f>
        <x:v>0</x:v>
      </x:c>
      <x:c r="G39" t="str">
        <x:f>IF(OR(Match_Data!K39="",Match_Data!L39=""),"",AVERAGE(Match_Data!K39:L39))</x:f>
      </x:c>
      <x:c r="H39" t="str">
        <x:f>IF(OR(Match_Data!M39="",Match_Data!N39=""),"",AVERAGE(Match_Data!M39:N39))</x:f>
      </x:c>
      <x:c r="I39" t="str">
        <x:f>IF(OR(Match_Data!O39="",Match_Data!Q39=""),"",Match_Data!O39+Match_Data!Q39)</x:f>
      </x:c>
      <x:c r="J39" t="str">
        <x:f>IF(OR(Match_Data!P39="",Match_Data!R39=""),"",Match_Data!P39+Match_Data!R39)</x:f>
      </x:c>
      <x:c r="K39" t="str">
        <x:f>IF(OR(Match_Data!S39="",Match_Data!T39=""),"",Match_Data!S39+Match_Data!T39)</x:f>
      </x:c>
      <x:c r="L39" t="str">
        <x:f>IF(OR(Match_Data!U39="",Match_Data!V39=""),"",Match_Data!U39-Match_Data!V39)</x:f>
      </x:c>
      <x:c r="M39" s="32" t="str">
        <x:f>IF(Match_Data!Y39="","",1/Match_Data!Y39)</x:f>
      </x:c>
      <x:c r="N39" s="32" t="str">
        <x:f>IF(Match_Data!AA39="","",1/Match_Data!AA39)</x:f>
      </x:c>
      <x:c r="O39" s="32" t="str">
        <x:f>IF(OR(M39="",N39=""),"",N39-M39)</x:f>
      </x:c>
      <x:c r="P39" t="str">
        <x:f>IF(Match_Data!J39="","",IF(Match_Data!J39="OVER",1,0))</x:f>
      </x:c>
    </x:row>
    <x:row r="40">
      <x:c r="A40" t="n">
        <x:f>Match_Data!A40</x:f>
        <x:v>0</x:v>
      </x:c>
      <x:c r="B40" s="28" t="n">
        <x:f>Match_Data!B40</x:f>
        <x:v>0</x:v>
      </x:c>
      <x:c r="C40" t="n">
        <x:f>Match_Data!C40</x:f>
        <x:v>0</x:v>
      </x:c>
      <x:c r="D40" t="n">
        <x:f>Match_Data!E40</x:f>
        <x:v>0</x:v>
      </x:c>
      <x:c r="E40" t="n">
        <x:f>Match_Data!F40</x:f>
        <x:v>0</x:v>
      </x:c>
      <x:c r="F40" t="n">
        <x:f>Match_Data!AC40</x:f>
        <x:v>0</x:v>
      </x:c>
      <x:c r="G40" t="str">
        <x:f>IF(OR(Match_Data!K40="",Match_Data!L40=""),"",AVERAGE(Match_Data!K40:L40))</x:f>
      </x:c>
      <x:c r="H40" t="str">
        <x:f>IF(OR(Match_Data!M40="",Match_Data!N40=""),"",AVERAGE(Match_Data!M40:N40))</x:f>
      </x:c>
      <x:c r="I40" t="str">
        <x:f>IF(OR(Match_Data!O40="",Match_Data!Q40=""),"",Match_Data!O40+Match_Data!Q40)</x:f>
      </x:c>
      <x:c r="J40" t="str">
        <x:f>IF(OR(Match_Data!P40="",Match_Data!R40=""),"",Match_Data!P40+Match_Data!R40)</x:f>
      </x:c>
      <x:c r="K40" t="str">
        <x:f>IF(OR(Match_Data!S40="",Match_Data!T40=""),"",Match_Data!S40+Match_Data!T40)</x:f>
      </x:c>
      <x:c r="L40" t="str">
        <x:f>IF(OR(Match_Data!U40="",Match_Data!V40=""),"",Match_Data!U40-Match_Data!V40)</x:f>
      </x:c>
      <x:c r="M40" s="32" t="str">
        <x:f>IF(Match_Data!Y40="","",1/Match_Data!Y40)</x:f>
      </x:c>
      <x:c r="N40" s="32" t="str">
        <x:f>IF(Match_Data!AA40="","",1/Match_Data!AA40)</x:f>
      </x:c>
      <x:c r="O40" s="32" t="str">
        <x:f>IF(OR(M40="",N40=""),"",N40-M40)</x:f>
      </x:c>
      <x:c r="P40" t="str">
        <x:f>IF(Match_Data!J40="","",IF(Match_Data!J40="OVER",1,0))</x:f>
      </x:c>
    </x:row>
    <x:row r="41">
      <x:c r="A41" t="n">
        <x:f>Match_Data!A41</x:f>
        <x:v>0</x:v>
      </x:c>
      <x:c r="B41" s="28" t="n">
        <x:f>Match_Data!B41</x:f>
        <x:v>0</x:v>
      </x:c>
      <x:c r="C41" t="n">
        <x:f>Match_Data!C41</x:f>
        <x:v>0</x:v>
      </x:c>
      <x:c r="D41" t="n">
        <x:f>Match_Data!E41</x:f>
        <x:v>0</x:v>
      </x:c>
      <x:c r="E41" t="n">
        <x:f>Match_Data!F41</x:f>
        <x:v>0</x:v>
      </x:c>
      <x:c r="F41" t="n">
        <x:f>Match_Data!AC41</x:f>
        <x:v>0</x:v>
      </x:c>
      <x:c r="G41" t="str">
        <x:f>IF(OR(Match_Data!K41="",Match_Data!L41=""),"",AVERAGE(Match_Data!K41:L41))</x:f>
      </x:c>
      <x:c r="H41" t="str">
        <x:f>IF(OR(Match_Data!M41="",Match_Data!N41=""),"",AVERAGE(Match_Data!M41:N41))</x:f>
      </x:c>
      <x:c r="I41" t="str">
        <x:f>IF(OR(Match_Data!O41="",Match_Data!Q41=""),"",Match_Data!O41+Match_Data!Q41)</x:f>
      </x:c>
      <x:c r="J41" t="str">
        <x:f>IF(OR(Match_Data!P41="",Match_Data!R41=""),"",Match_Data!P41+Match_Data!R41)</x:f>
      </x:c>
      <x:c r="K41" t="str">
        <x:f>IF(OR(Match_Data!S41="",Match_Data!T41=""),"",Match_Data!S41+Match_Data!T41)</x:f>
      </x:c>
      <x:c r="L41" t="str">
        <x:f>IF(OR(Match_Data!U41="",Match_Data!V41=""),"",Match_Data!U41-Match_Data!V41)</x:f>
      </x:c>
      <x:c r="M41" s="32" t="str">
        <x:f>IF(Match_Data!Y41="","",1/Match_Data!Y41)</x:f>
      </x:c>
      <x:c r="N41" s="32" t="str">
        <x:f>IF(Match_Data!AA41="","",1/Match_Data!AA41)</x:f>
      </x:c>
      <x:c r="O41" s="32" t="str">
        <x:f>IF(OR(M41="",N41=""),"",N41-M41)</x:f>
      </x:c>
      <x:c r="P41" t="str">
        <x:f>IF(Match_Data!J41="","",IF(Match_Data!J41="OVER",1,0))</x:f>
      </x:c>
    </x:row>
    <x:row r="42">
      <x:c r="A42" t="n">
        <x:f>Match_Data!A42</x:f>
        <x:v>0</x:v>
      </x:c>
      <x:c r="B42" s="28" t="n">
        <x:f>Match_Data!B42</x:f>
        <x:v>0</x:v>
      </x:c>
      <x:c r="C42" t="n">
        <x:f>Match_Data!C42</x:f>
        <x:v>0</x:v>
      </x:c>
      <x:c r="D42" t="n">
        <x:f>Match_Data!E42</x:f>
        <x:v>0</x:v>
      </x:c>
      <x:c r="E42" t="n">
        <x:f>Match_Data!F42</x:f>
        <x:v>0</x:v>
      </x:c>
      <x:c r="F42" t="n">
        <x:f>Match_Data!AC42</x:f>
        <x:v>0</x:v>
      </x:c>
      <x:c r="G42" t="str">
        <x:f>IF(OR(Match_Data!K42="",Match_Data!L42=""),"",AVERAGE(Match_Data!K42:L42))</x:f>
      </x:c>
      <x:c r="H42" t="str">
        <x:f>IF(OR(Match_Data!M42="",Match_Data!N42=""),"",AVERAGE(Match_Data!M42:N42))</x:f>
      </x:c>
      <x:c r="I42" t="str">
        <x:f>IF(OR(Match_Data!O42="",Match_Data!Q42=""),"",Match_Data!O42+Match_Data!Q42)</x:f>
      </x:c>
      <x:c r="J42" t="str">
        <x:f>IF(OR(Match_Data!P42="",Match_Data!R42=""),"",Match_Data!P42+Match_Data!R42)</x:f>
      </x:c>
      <x:c r="K42" t="str">
        <x:f>IF(OR(Match_Data!S42="",Match_Data!T42=""),"",Match_Data!S42+Match_Data!T42)</x:f>
      </x:c>
      <x:c r="L42" t="str">
        <x:f>IF(OR(Match_Data!U42="",Match_Data!V42=""),"",Match_Data!U42-Match_Data!V42)</x:f>
      </x:c>
      <x:c r="M42" s="32" t="str">
        <x:f>IF(Match_Data!Y42="","",1/Match_Data!Y42)</x:f>
      </x:c>
      <x:c r="N42" s="32" t="str">
        <x:f>IF(Match_Data!AA42="","",1/Match_Data!AA42)</x:f>
      </x:c>
      <x:c r="O42" s="32" t="str">
        <x:f>IF(OR(M42="",N42=""),"",N42-M42)</x:f>
      </x:c>
      <x:c r="P42" t="str">
        <x:f>IF(Match_Data!J42="","",IF(Match_Data!J42="OVER",1,0))</x:f>
      </x:c>
    </x:row>
    <x:row r="43">
      <x:c r="A43" t="n">
        <x:f>Match_Data!A43</x:f>
        <x:v>0</x:v>
      </x:c>
      <x:c r="B43" s="28" t="n">
        <x:f>Match_Data!B43</x:f>
        <x:v>0</x:v>
      </x:c>
      <x:c r="C43" t="n">
        <x:f>Match_Data!C43</x:f>
        <x:v>0</x:v>
      </x:c>
      <x:c r="D43" t="n">
        <x:f>Match_Data!E43</x:f>
        <x:v>0</x:v>
      </x:c>
      <x:c r="E43" t="n">
        <x:f>Match_Data!F43</x:f>
        <x:v>0</x:v>
      </x:c>
      <x:c r="F43" t="n">
        <x:f>Match_Data!AC43</x:f>
        <x:v>0</x:v>
      </x:c>
      <x:c r="G43" t="str">
        <x:f>IF(OR(Match_Data!K43="",Match_Data!L43=""),"",AVERAGE(Match_Data!K43:L43))</x:f>
      </x:c>
      <x:c r="H43" t="str">
        <x:f>IF(OR(Match_Data!M43="",Match_Data!N43=""),"",AVERAGE(Match_Data!M43:N43))</x:f>
      </x:c>
      <x:c r="I43" t="str">
        <x:f>IF(OR(Match_Data!O43="",Match_Data!Q43=""),"",Match_Data!O43+Match_Data!Q43)</x:f>
      </x:c>
      <x:c r="J43" t="str">
        <x:f>IF(OR(Match_Data!P43="",Match_Data!R43=""),"",Match_Data!P43+Match_Data!R43)</x:f>
      </x:c>
      <x:c r="K43" t="str">
        <x:f>IF(OR(Match_Data!S43="",Match_Data!T43=""),"",Match_Data!S43+Match_Data!T43)</x:f>
      </x:c>
      <x:c r="L43" t="str">
        <x:f>IF(OR(Match_Data!U43="",Match_Data!V43=""),"",Match_Data!U43-Match_Data!V43)</x:f>
      </x:c>
      <x:c r="M43" s="32" t="str">
        <x:f>IF(Match_Data!Y43="","",1/Match_Data!Y43)</x:f>
      </x:c>
      <x:c r="N43" s="32" t="str">
        <x:f>IF(Match_Data!AA43="","",1/Match_Data!AA43)</x:f>
      </x:c>
      <x:c r="O43" s="32" t="str">
        <x:f>IF(OR(M43="",N43=""),"",N43-M43)</x:f>
      </x:c>
      <x:c r="P43" t="str">
        <x:f>IF(Match_Data!J43="","",IF(Match_Data!J43="OVER",1,0))</x:f>
      </x:c>
    </x:row>
    <x:row r="44">
      <x:c r="A44" t="n">
        <x:f>Match_Data!A44</x:f>
        <x:v>0</x:v>
      </x:c>
      <x:c r="B44" s="28" t="n">
        <x:f>Match_Data!B44</x:f>
        <x:v>0</x:v>
      </x:c>
      <x:c r="C44" t="n">
        <x:f>Match_Data!C44</x:f>
        <x:v>0</x:v>
      </x:c>
      <x:c r="D44" t="n">
        <x:f>Match_Data!E44</x:f>
        <x:v>0</x:v>
      </x:c>
      <x:c r="E44" t="n">
        <x:f>Match_Data!F44</x:f>
        <x:v>0</x:v>
      </x:c>
      <x:c r="F44" t="n">
        <x:f>Match_Data!AC44</x:f>
        <x:v>0</x:v>
      </x:c>
      <x:c r="G44" t="str">
        <x:f>IF(OR(Match_Data!K44="",Match_Data!L44=""),"",AVERAGE(Match_Data!K44:L44))</x:f>
      </x:c>
      <x:c r="H44" t="str">
        <x:f>IF(OR(Match_Data!M44="",Match_Data!N44=""),"",AVERAGE(Match_Data!M44:N44))</x:f>
      </x:c>
      <x:c r="I44" t="str">
        <x:f>IF(OR(Match_Data!O44="",Match_Data!Q44=""),"",Match_Data!O44+Match_Data!Q44)</x:f>
      </x:c>
      <x:c r="J44" t="str">
        <x:f>IF(OR(Match_Data!P44="",Match_Data!R44=""),"",Match_Data!P44+Match_Data!R44)</x:f>
      </x:c>
      <x:c r="K44" t="str">
        <x:f>IF(OR(Match_Data!S44="",Match_Data!T44=""),"",Match_Data!S44+Match_Data!T44)</x:f>
      </x:c>
      <x:c r="L44" t="str">
        <x:f>IF(OR(Match_Data!U44="",Match_Data!V44=""),"",Match_Data!U44-Match_Data!V44)</x:f>
      </x:c>
      <x:c r="M44" s="32" t="str">
        <x:f>IF(Match_Data!Y44="","",1/Match_Data!Y44)</x:f>
      </x:c>
      <x:c r="N44" s="32" t="str">
        <x:f>IF(Match_Data!AA44="","",1/Match_Data!AA44)</x:f>
      </x:c>
      <x:c r="O44" s="32" t="str">
        <x:f>IF(OR(M44="",N44=""),"",N44-M44)</x:f>
      </x:c>
      <x:c r="P44" t="str">
        <x:f>IF(Match_Data!J44="","",IF(Match_Data!J44="OVER",1,0))</x:f>
      </x:c>
    </x:row>
    <x:row r="45">
      <x:c r="A45" t="n">
        <x:f>Match_Data!A45</x:f>
        <x:v>0</x:v>
      </x:c>
      <x:c r="B45" s="28" t="n">
        <x:f>Match_Data!B45</x:f>
        <x:v>0</x:v>
      </x:c>
      <x:c r="C45" t="n">
        <x:f>Match_Data!C45</x:f>
        <x:v>0</x:v>
      </x:c>
      <x:c r="D45" t="n">
        <x:f>Match_Data!E45</x:f>
        <x:v>0</x:v>
      </x:c>
      <x:c r="E45" t="n">
        <x:f>Match_Data!F45</x:f>
        <x:v>0</x:v>
      </x:c>
      <x:c r="F45" t="n">
        <x:f>Match_Data!AC45</x:f>
        <x:v>0</x:v>
      </x:c>
      <x:c r="G45" t="str">
        <x:f>IF(OR(Match_Data!K45="",Match_Data!L45=""),"",AVERAGE(Match_Data!K45:L45))</x:f>
      </x:c>
      <x:c r="H45" t="str">
        <x:f>IF(OR(Match_Data!M45="",Match_Data!N45=""),"",AVERAGE(Match_Data!M45:N45))</x:f>
      </x:c>
      <x:c r="I45" t="str">
        <x:f>IF(OR(Match_Data!O45="",Match_Data!Q45=""),"",Match_Data!O45+Match_Data!Q45)</x:f>
      </x:c>
      <x:c r="J45" t="str">
        <x:f>IF(OR(Match_Data!P45="",Match_Data!R45=""),"",Match_Data!P45+Match_Data!R45)</x:f>
      </x:c>
      <x:c r="K45" t="str">
        <x:f>IF(OR(Match_Data!S45="",Match_Data!T45=""),"",Match_Data!S45+Match_Data!T45)</x:f>
      </x:c>
      <x:c r="L45" t="str">
        <x:f>IF(OR(Match_Data!U45="",Match_Data!V45=""),"",Match_Data!U45-Match_Data!V45)</x:f>
      </x:c>
      <x:c r="M45" s="32" t="str">
        <x:f>IF(Match_Data!Y45="","",1/Match_Data!Y45)</x:f>
      </x:c>
      <x:c r="N45" s="32" t="str">
        <x:f>IF(Match_Data!AA45="","",1/Match_Data!AA45)</x:f>
      </x:c>
      <x:c r="O45" s="32" t="str">
        <x:f>IF(OR(M45="",N45=""),"",N45-M45)</x:f>
      </x:c>
      <x:c r="P45" t="str">
        <x:f>IF(Match_Data!J45="","",IF(Match_Data!J45="OVER",1,0))</x:f>
      </x:c>
    </x:row>
    <x:row r="46">
      <x:c r="A46" t="n">
        <x:f>Match_Data!A46</x:f>
        <x:v>0</x:v>
      </x:c>
      <x:c r="B46" s="28" t="n">
        <x:f>Match_Data!B46</x:f>
        <x:v>0</x:v>
      </x:c>
      <x:c r="C46" t="n">
        <x:f>Match_Data!C46</x:f>
        <x:v>0</x:v>
      </x:c>
      <x:c r="D46" t="n">
        <x:f>Match_Data!E46</x:f>
        <x:v>0</x:v>
      </x:c>
      <x:c r="E46" t="n">
        <x:f>Match_Data!F46</x:f>
        <x:v>0</x:v>
      </x:c>
      <x:c r="F46" t="n">
        <x:f>Match_Data!AC46</x:f>
        <x:v>0</x:v>
      </x:c>
      <x:c r="G46" t="str">
        <x:f>IF(OR(Match_Data!K46="",Match_Data!L46=""),"",AVERAGE(Match_Data!K46:L46))</x:f>
      </x:c>
      <x:c r="H46" t="str">
        <x:f>IF(OR(Match_Data!M46="",Match_Data!N46=""),"",AVERAGE(Match_Data!M46:N46))</x:f>
      </x:c>
      <x:c r="I46" t="str">
        <x:f>IF(OR(Match_Data!O46="",Match_Data!Q46=""),"",Match_Data!O46+Match_Data!Q46)</x:f>
      </x:c>
      <x:c r="J46" t="str">
        <x:f>IF(OR(Match_Data!P46="",Match_Data!R46=""),"",Match_Data!P46+Match_Data!R46)</x:f>
      </x:c>
      <x:c r="K46" t="str">
        <x:f>IF(OR(Match_Data!S46="",Match_Data!T46=""),"",Match_Data!S46+Match_Data!T46)</x:f>
      </x:c>
      <x:c r="L46" t="str">
        <x:f>IF(OR(Match_Data!U46="",Match_Data!V46=""),"",Match_Data!U46-Match_Data!V46)</x:f>
      </x:c>
      <x:c r="M46" s="32" t="str">
        <x:f>IF(Match_Data!Y46="","",1/Match_Data!Y46)</x:f>
      </x:c>
      <x:c r="N46" s="32" t="str">
        <x:f>IF(Match_Data!AA46="","",1/Match_Data!AA46)</x:f>
      </x:c>
      <x:c r="O46" s="32" t="str">
        <x:f>IF(OR(M46="",N46=""),"",N46-M46)</x:f>
      </x:c>
      <x:c r="P46" t="str">
        <x:f>IF(Match_Data!J46="","",IF(Match_Data!J46="OVER",1,0))</x:f>
      </x:c>
    </x:row>
    <x:row r="47">
      <x:c r="A47" t="n">
        <x:f>Match_Data!A47</x:f>
        <x:v>0</x:v>
      </x:c>
      <x:c r="B47" s="28" t="n">
        <x:f>Match_Data!B47</x:f>
        <x:v>0</x:v>
      </x:c>
      <x:c r="C47" t="n">
        <x:f>Match_Data!C47</x:f>
        <x:v>0</x:v>
      </x:c>
      <x:c r="D47" t="n">
        <x:f>Match_Data!E47</x:f>
        <x:v>0</x:v>
      </x:c>
      <x:c r="E47" t="n">
        <x:f>Match_Data!F47</x:f>
        <x:v>0</x:v>
      </x:c>
      <x:c r="F47" t="n">
        <x:f>Match_Data!AC47</x:f>
        <x:v>0</x:v>
      </x:c>
      <x:c r="G47" t="str">
        <x:f>IF(OR(Match_Data!K47="",Match_Data!L47=""),"",AVERAGE(Match_Data!K47:L47))</x:f>
      </x:c>
      <x:c r="H47" t="str">
        <x:f>IF(OR(Match_Data!M47="",Match_Data!N47=""),"",AVERAGE(Match_Data!M47:N47))</x:f>
      </x:c>
      <x:c r="I47" t="str">
        <x:f>IF(OR(Match_Data!O47="",Match_Data!Q47=""),"",Match_Data!O47+Match_Data!Q47)</x:f>
      </x:c>
      <x:c r="J47" t="str">
        <x:f>IF(OR(Match_Data!P47="",Match_Data!R47=""),"",Match_Data!P47+Match_Data!R47)</x:f>
      </x:c>
      <x:c r="K47" t="str">
        <x:f>IF(OR(Match_Data!S47="",Match_Data!T47=""),"",Match_Data!S47+Match_Data!T47)</x:f>
      </x:c>
      <x:c r="L47" t="str">
        <x:f>IF(OR(Match_Data!U47="",Match_Data!V47=""),"",Match_Data!U47-Match_Data!V47)</x:f>
      </x:c>
      <x:c r="M47" s="32" t="str">
        <x:f>IF(Match_Data!Y47="","",1/Match_Data!Y47)</x:f>
      </x:c>
      <x:c r="N47" s="32" t="str">
        <x:f>IF(Match_Data!AA47="","",1/Match_Data!AA47)</x:f>
      </x:c>
      <x:c r="O47" s="32" t="str">
        <x:f>IF(OR(M47="",N47=""),"",N47-M47)</x:f>
      </x:c>
      <x:c r="P47" t="str">
        <x:f>IF(Match_Data!J47="","",IF(Match_Data!J47="OVER",1,0))</x:f>
      </x:c>
    </x:row>
    <x:row r="48">
      <x:c r="A48" t="n">
        <x:f>Match_Data!A48</x:f>
        <x:v>0</x:v>
      </x:c>
      <x:c r="B48" s="28" t="n">
        <x:f>Match_Data!B48</x:f>
        <x:v>0</x:v>
      </x:c>
      <x:c r="C48" t="n">
        <x:f>Match_Data!C48</x:f>
        <x:v>0</x:v>
      </x:c>
      <x:c r="D48" t="n">
        <x:f>Match_Data!E48</x:f>
        <x:v>0</x:v>
      </x:c>
      <x:c r="E48" t="n">
        <x:f>Match_Data!F48</x:f>
        <x:v>0</x:v>
      </x:c>
      <x:c r="F48" t="n">
        <x:f>Match_Data!AC48</x:f>
        <x:v>0</x:v>
      </x:c>
      <x:c r="G48" t="str">
        <x:f>IF(OR(Match_Data!K48="",Match_Data!L48=""),"",AVERAGE(Match_Data!K48:L48))</x:f>
      </x:c>
      <x:c r="H48" t="str">
        <x:f>IF(OR(Match_Data!M48="",Match_Data!N48=""),"",AVERAGE(Match_Data!M48:N48))</x:f>
      </x:c>
      <x:c r="I48" t="str">
        <x:f>IF(OR(Match_Data!O48="",Match_Data!Q48=""),"",Match_Data!O48+Match_Data!Q48)</x:f>
      </x:c>
      <x:c r="J48" t="str">
        <x:f>IF(OR(Match_Data!P48="",Match_Data!R48=""),"",Match_Data!P48+Match_Data!R48)</x:f>
      </x:c>
      <x:c r="K48" t="str">
        <x:f>IF(OR(Match_Data!S48="",Match_Data!T48=""),"",Match_Data!S48+Match_Data!T48)</x:f>
      </x:c>
      <x:c r="L48" t="str">
        <x:f>IF(OR(Match_Data!U48="",Match_Data!V48=""),"",Match_Data!U48-Match_Data!V48)</x:f>
      </x:c>
      <x:c r="M48" s="32" t="str">
        <x:f>IF(Match_Data!Y48="","",1/Match_Data!Y48)</x:f>
      </x:c>
      <x:c r="N48" s="32" t="str">
        <x:f>IF(Match_Data!AA48="","",1/Match_Data!AA48)</x:f>
      </x:c>
      <x:c r="O48" s="32" t="str">
        <x:f>IF(OR(M48="",N48=""),"",N48-M48)</x:f>
      </x:c>
      <x:c r="P48" t="str">
        <x:f>IF(Match_Data!J48="","",IF(Match_Data!J48="OVER",1,0))</x:f>
      </x:c>
    </x:row>
    <x:row r="49">
      <x:c r="A49" t="n">
        <x:f>Match_Data!A49</x:f>
        <x:v>0</x:v>
      </x:c>
      <x:c r="B49" s="28" t="n">
        <x:f>Match_Data!B49</x:f>
        <x:v>0</x:v>
      </x:c>
      <x:c r="C49" t="n">
        <x:f>Match_Data!C49</x:f>
        <x:v>0</x:v>
      </x:c>
      <x:c r="D49" t="n">
        <x:f>Match_Data!E49</x:f>
        <x:v>0</x:v>
      </x:c>
      <x:c r="E49" t="n">
        <x:f>Match_Data!F49</x:f>
        <x:v>0</x:v>
      </x:c>
      <x:c r="F49" t="n">
        <x:f>Match_Data!AC49</x:f>
        <x:v>0</x:v>
      </x:c>
      <x:c r="G49" t="str">
        <x:f>IF(OR(Match_Data!K49="",Match_Data!L49=""),"",AVERAGE(Match_Data!K49:L49))</x:f>
      </x:c>
      <x:c r="H49" t="str">
        <x:f>IF(OR(Match_Data!M49="",Match_Data!N49=""),"",AVERAGE(Match_Data!M49:N49))</x:f>
      </x:c>
      <x:c r="I49" t="str">
        <x:f>IF(OR(Match_Data!O49="",Match_Data!Q49=""),"",Match_Data!O49+Match_Data!Q49)</x:f>
      </x:c>
      <x:c r="J49" t="str">
        <x:f>IF(OR(Match_Data!P49="",Match_Data!R49=""),"",Match_Data!P49+Match_Data!R49)</x:f>
      </x:c>
      <x:c r="K49" t="str">
        <x:f>IF(OR(Match_Data!S49="",Match_Data!T49=""),"",Match_Data!S49+Match_Data!T49)</x:f>
      </x:c>
      <x:c r="L49" t="str">
        <x:f>IF(OR(Match_Data!U49="",Match_Data!V49=""),"",Match_Data!U49-Match_Data!V49)</x:f>
      </x:c>
      <x:c r="M49" s="32" t="str">
        <x:f>IF(Match_Data!Y49="","",1/Match_Data!Y49)</x:f>
      </x:c>
      <x:c r="N49" s="32" t="str">
        <x:f>IF(Match_Data!AA49="","",1/Match_Data!AA49)</x:f>
      </x:c>
      <x:c r="O49" s="32" t="str">
        <x:f>IF(OR(M49="",N49=""),"",N49-M49)</x:f>
      </x:c>
      <x:c r="P49" t="str">
        <x:f>IF(Match_Data!J49="","",IF(Match_Data!J49="OVER",1,0))</x:f>
      </x:c>
    </x:row>
    <x:row r="50">
      <x:c r="A50" t="n">
        <x:f>Match_Data!A50</x:f>
        <x:v>0</x:v>
      </x:c>
      <x:c r="B50" s="28" t="n">
        <x:f>Match_Data!B50</x:f>
        <x:v>0</x:v>
      </x:c>
      <x:c r="C50" t="n">
        <x:f>Match_Data!C50</x:f>
        <x:v>0</x:v>
      </x:c>
      <x:c r="D50" t="n">
        <x:f>Match_Data!E50</x:f>
        <x:v>0</x:v>
      </x:c>
      <x:c r="E50" t="n">
        <x:f>Match_Data!F50</x:f>
        <x:v>0</x:v>
      </x:c>
      <x:c r="F50" t="n">
        <x:f>Match_Data!AC50</x:f>
        <x:v>0</x:v>
      </x:c>
      <x:c r="G50" t="str">
        <x:f>IF(OR(Match_Data!K50="",Match_Data!L50=""),"",AVERAGE(Match_Data!K50:L50))</x:f>
      </x:c>
      <x:c r="H50" t="str">
        <x:f>IF(OR(Match_Data!M50="",Match_Data!N50=""),"",AVERAGE(Match_Data!M50:N50))</x:f>
      </x:c>
      <x:c r="I50" t="str">
        <x:f>IF(OR(Match_Data!O50="",Match_Data!Q50=""),"",Match_Data!O50+Match_Data!Q50)</x:f>
      </x:c>
      <x:c r="J50" t="str">
        <x:f>IF(OR(Match_Data!P50="",Match_Data!R50=""),"",Match_Data!P50+Match_Data!R50)</x:f>
      </x:c>
      <x:c r="K50" t="str">
        <x:f>IF(OR(Match_Data!S50="",Match_Data!T50=""),"",Match_Data!S50+Match_Data!T50)</x:f>
      </x:c>
      <x:c r="L50" t="str">
        <x:f>IF(OR(Match_Data!U50="",Match_Data!V50=""),"",Match_Data!U50-Match_Data!V50)</x:f>
      </x:c>
      <x:c r="M50" s="32" t="str">
        <x:f>IF(Match_Data!Y50="","",1/Match_Data!Y50)</x:f>
      </x:c>
      <x:c r="N50" s="32" t="str">
        <x:f>IF(Match_Data!AA50="","",1/Match_Data!AA50)</x:f>
      </x:c>
      <x:c r="O50" s="32" t="str">
        <x:f>IF(OR(M50="",N50=""),"",N50-M50)</x:f>
      </x:c>
      <x:c r="P50" t="str">
        <x:f>IF(Match_Data!J50="","",IF(Match_Data!J50="OVER",1,0))</x:f>
      </x:c>
    </x:row>
    <x:row r="51">
      <x:c r="A51" t="n">
        <x:f>Match_Data!A51</x:f>
        <x:v>0</x:v>
      </x:c>
      <x:c r="B51" s="28" t="n">
        <x:f>Match_Data!B51</x:f>
        <x:v>0</x:v>
      </x:c>
      <x:c r="C51" t="n">
        <x:f>Match_Data!C51</x:f>
        <x:v>0</x:v>
      </x:c>
      <x:c r="D51" t="n">
        <x:f>Match_Data!E51</x:f>
        <x:v>0</x:v>
      </x:c>
      <x:c r="E51" t="n">
        <x:f>Match_Data!F51</x:f>
        <x:v>0</x:v>
      </x:c>
      <x:c r="F51" t="n">
        <x:f>Match_Data!AC51</x:f>
        <x:v>0</x:v>
      </x:c>
      <x:c r="G51" t="str">
        <x:f>IF(OR(Match_Data!K51="",Match_Data!L51=""),"",AVERAGE(Match_Data!K51:L51))</x:f>
      </x:c>
      <x:c r="H51" t="str">
        <x:f>IF(OR(Match_Data!M51="",Match_Data!N51=""),"",AVERAGE(Match_Data!M51:N51))</x:f>
      </x:c>
      <x:c r="I51" t="str">
        <x:f>IF(OR(Match_Data!O51="",Match_Data!Q51=""),"",Match_Data!O51+Match_Data!Q51)</x:f>
      </x:c>
      <x:c r="J51" t="str">
        <x:f>IF(OR(Match_Data!P51="",Match_Data!R51=""),"",Match_Data!P51+Match_Data!R51)</x:f>
      </x:c>
      <x:c r="K51" t="str">
        <x:f>IF(OR(Match_Data!S51="",Match_Data!T51=""),"",Match_Data!S51+Match_Data!T51)</x:f>
      </x:c>
      <x:c r="L51" t="str">
        <x:f>IF(OR(Match_Data!U51="",Match_Data!V51=""),"",Match_Data!U51-Match_Data!V51)</x:f>
      </x:c>
      <x:c r="M51" s="32" t="str">
        <x:f>IF(Match_Data!Y51="","",1/Match_Data!Y51)</x:f>
      </x:c>
      <x:c r="N51" s="32" t="str">
        <x:f>IF(Match_Data!AA51="","",1/Match_Data!AA51)</x:f>
      </x:c>
      <x:c r="O51" s="32" t="str">
        <x:f>IF(OR(M51="",N51=""),"",N51-M51)</x:f>
      </x:c>
      <x:c r="P51" t="str">
        <x:f>IF(Match_Data!J51="","",IF(Match_Data!J51="OVER",1,0))</x:f>
      </x:c>
    </x:row>
    <x:row r="52">
      <x:c r="A52" t="n">
        <x:f>Match_Data!A52</x:f>
        <x:v>0</x:v>
      </x:c>
      <x:c r="B52" s="28" t="n">
        <x:f>Match_Data!B52</x:f>
        <x:v>0</x:v>
      </x:c>
      <x:c r="C52" t="n">
        <x:f>Match_Data!C52</x:f>
        <x:v>0</x:v>
      </x:c>
      <x:c r="D52" t="n">
        <x:f>Match_Data!E52</x:f>
        <x:v>0</x:v>
      </x:c>
      <x:c r="E52" t="n">
        <x:f>Match_Data!F52</x:f>
        <x:v>0</x:v>
      </x:c>
      <x:c r="F52" t="n">
        <x:f>Match_Data!AC52</x:f>
        <x:v>0</x:v>
      </x:c>
      <x:c r="G52" t="str">
        <x:f>IF(OR(Match_Data!K52="",Match_Data!L52=""),"",AVERAGE(Match_Data!K52:L52))</x:f>
      </x:c>
      <x:c r="H52" t="str">
        <x:f>IF(OR(Match_Data!M52="",Match_Data!N52=""),"",AVERAGE(Match_Data!M52:N52))</x:f>
      </x:c>
      <x:c r="I52" t="str">
        <x:f>IF(OR(Match_Data!O52="",Match_Data!Q52=""),"",Match_Data!O52+Match_Data!Q52)</x:f>
      </x:c>
      <x:c r="J52" t="str">
        <x:f>IF(OR(Match_Data!P52="",Match_Data!R52=""),"",Match_Data!P52+Match_Data!R52)</x:f>
      </x:c>
      <x:c r="K52" t="str">
        <x:f>IF(OR(Match_Data!S52="",Match_Data!T52=""),"",Match_Data!S52+Match_Data!T52)</x:f>
      </x:c>
      <x:c r="L52" t="str">
        <x:f>IF(OR(Match_Data!U52="",Match_Data!V52=""),"",Match_Data!U52-Match_Data!V52)</x:f>
      </x:c>
      <x:c r="M52" s="32" t="str">
        <x:f>IF(Match_Data!Y52="","",1/Match_Data!Y52)</x:f>
      </x:c>
      <x:c r="N52" s="32" t="str">
        <x:f>IF(Match_Data!AA52="","",1/Match_Data!AA52)</x:f>
      </x:c>
      <x:c r="O52" s="32" t="str">
        <x:f>IF(OR(M52="",N52=""),"",N52-M52)</x:f>
      </x:c>
      <x:c r="P52" t="str">
        <x:f>IF(Match_Data!J52="","",IF(Match_Data!J52="OVER",1,0))</x:f>
      </x:c>
    </x:row>
    <x:row r="53">
      <x:c r="A53" t="n">
        <x:f>Match_Data!A53</x:f>
        <x:v>0</x:v>
      </x:c>
      <x:c r="B53" s="28" t="n">
        <x:f>Match_Data!B53</x:f>
        <x:v>0</x:v>
      </x:c>
      <x:c r="C53" t="n">
        <x:f>Match_Data!C53</x:f>
        <x:v>0</x:v>
      </x:c>
      <x:c r="D53" t="n">
        <x:f>Match_Data!E53</x:f>
        <x:v>0</x:v>
      </x:c>
      <x:c r="E53" t="n">
        <x:f>Match_Data!F53</x:f>
        <x:v>0</x:v>
      </x:c>
      <x:c r="F53" t="n">
        <x:f>Match_Data!AC53</x:f>
        <x:v>0</x:v>
      </x:c>
      <x:c r="G53" t="str">
        <x:f>IF(OR(Match_Data!K53="",Match_Data!L53=""),"",AVERAGE(Match_Data!K53:L53))</x:f>
      </x:c>
      <x:c r="H53" t="str">
        <x:f>IF(OR(Match_Data!M53="",Match_Data!N53=""),"",AVERAGE(Match_Data!M53:N53))</x:f>
      </x:c>
      <x:c r="I53" t="str">
        <x:f>IF(OR(Match_Data!O53="",Match_Data!Q53=""),"",Match_Data!O53+Match_Data!Q53)</x:f>
      </x:c>
      <x:c r="J53" t="str">
        <x:f>IF(OR(Match_Data!P53="",Match_Data!R53=""),"",Match_Data!P53+Match_Data!R53)</x:f>
      </x:c>
      <x:c r="K53" t="str">
        <x:f>IF(OR(Match_Data!S53="",Match_Data!T53=""),"",Match_Data!S53+Match_Data!T53)</x:f>
      </x:c>
      <x:c r="L53" t="str">
        <x:f>IF(OR(Match_Data!U53="",Match_Data!V53=""),"",Match_Data!U53-Match_Data!V53)</x:f>
      </x:c>
      <x:c r="M53" s="32" t="str">
        <x:f>IF(Match_Data!Y53="","",1/Match_Data!Y53)</x:f>
      </x:c>
      <x:c r="N53" s="32" t="str">
        <x:f>IF(Match_Data!AA53="","",1/Match_Data!AA53)</x:f>
      </x:c>
      <x:c r="O53" s="32" t="str">
        <x:f>IF(OR(M53="",N53=""),"",N53-M53)</x:f>
      </x:c>
      <x:c r="P53" t="str">
        <x:f>IF(Match_Data!J53="","",IF(Match_Data!J53="OVER",1,0))</x:f>
      </x:c>
    </x:row>
    <x:row r="54">
      <x:c r="A54" t="n">
        <x:f>Match_Data!A54</x:f>
        <x:v>0</x:v>
      </x:c>
      <x:c r="B54" s="28" t="n">
        <x:f>Match_Data!B54</x:f>
        <x:v>0</x:v>
      </x:c>
      <x:c r="C54" t="n">
        <x:f>Match_Data!C54</x:f>
        <x:v>0</x:v>
      </x:c>
      <x:c r="D54" t="n">
        <x:f>Match_Data!E54</x:f>
        <x:v>0</x:v>
      </x:c>
      <x:c r="E54" t="n">
        <x:f>Match_Data!F54</x:f>
        <x:v>0</x:v>
      </x:c>
      <x:c r="F54" t="n">
        <x:f>Match_Data!AC54</x:f>
        <x:v>0</x:v>
      </x:c>
      <x:c r="G54" t="str">
        <x:f>IF(OR(Match_Data!K54="",Match_Data!L54=""),"",AVERAGE(Match_Data!K54:L54))</x:f>
      </x:c>
      <x:c r="H54" t="str">
        <x:f>IF(OR(Match_Data!M54="",Match_Data!N54=""),"",AVERAGE(Match_Data!M54:N54))</x:f>
      </x:c>
      <x:c r="I54" t="str">
        <x:f>IF(OR(Match_Data!O54="",Match_Data!Q54=""),"",Match_Data!O54+Match_Data!Q54)</x:f>
      </x:c>
      <x:c r="J54" t="str">
        <x:f>IF(OR(Match_Data!P54="",Match_Data!R54=""),"",Match_Data!P54+Match_Data!R54)</x:f>
      </x:c>
      <x:c r="K54" t="str">
        <x:f>IF(OR(Match_Data!S54="",Match_Data!T54=""),"",Match_Data!S54+Match_Data!T54)</x:f>
      </x:c>
      <x:c r="L54" t="str">
        <x:f>IF(OR(Match_Data!U54="",Match_Data!V54=""),"",Match_Data!U54-Match_Data!V54)</x:f>
      </x:c>
      <x:c r="M54" s="32" t="str">
        <x:f>IF(Match_Data!Y54="","",1/Match_Data!Y54)</x:f>
      </x:c>
      <x:c r="N54" s="32" t="str">
        <x:f>IF(Match_Data!AA54="","",1/Match_Data!AA54)</x:f>
      </x:c>
      <x:c r="O54" s="32" t="str">
        <x:f>IF(OR(M54="",N54=""),"",N54-M54)</x:f>
      </x:c>
      <x:c r="P54" t="str">
        <x:f>IF(Match_Data!J54="","",IF(Match_Data!J54="OVER",1,0))</x:f>
      </x:c>
    </x:row>
    <x:row r="55">
      <x:c r="A55" t="n">
        <x:f>Match_Data!A55</x:f>
        <x:v>0</x:v>
      </x:c>
      <x:c r="B55" s="28" t="n">
        <x:f>Match_Data!B55</x:f>
        <x:v>0</x:v>
      </x:c>
      <x:c r="C55" t="n">
        <x:f>Match_Data!C55</x:f>
        <x:v>0</x:v>
      </x:c>
      <x:c r="D55" t="n">
        <x:f>Match_Data!E55</x:f>
        <x:v>0</x:v>
      </x:c>
      <x:c r="E55" t="n">
        <x:f>Match_Data!F55</x:f>
        <x:v>0</x:v>
      </x:c>
      <x:c r="F55" t="n">
        <x:f>Match_Data!AC55</x:f>
        <x:v>0</x:v>
      </x:c>
      <x:c r="G55" t="str">
        <x:f>IF(OR(Match_Data!K55="",Match_Data!L55=""),"",AVERAGE(Match_Data!K55:L55))</x:f>
      </x:c>
      <x:c r="H55" t="str">
        <x:f>IF(OR(Match_Data!M55="",Match_Data!N55=""),"",AVERAGE(Match_Data!M55:N55))</x:f>
      </x:c>
      <x:c r="I55" t="str">
        <x:f>IF(OR(Match_Data!O55="",Match_Data!Q55=""),"",Match_Data!O55+Match_Data!Q55)</x:f>
      </x:c>
      <x:c r="J55" t="str">
        <x:f>IF(OR(Match_Data!P55="",Match_Data!R55=""),"",Match_Data!P55+Match_Data!R55)</x:f>
      </x:c>
      <x:c r="K55" t="str">
        <x:f>IF(OR(Match_Data!S55="",Match_Data!T55=""),"",Match_Data!S55+Match_Data!T55)</x:f>
      </x:c>
      <x:c r="L55" t="str">
        <x:f>IF(OR(Match_Data!U55="",Match_Data!V55=""),"",Match_Data!U55-Match_Data!V55)</x:f>
      </x:c>
      <x:c r="M55" s="32" t="str">
        <x:f>IF(Match_Data!Y55="","",1/Match_Data!Y55)</x:f>
      </x:c>
      <x:c r="N55" s="32" t="str">
        <x:f>IF(Match_Data!AA55="","",1/Match_Data!AA55)</x:f>
      </x:c>
      <x:c r="O55" s="32" t="str">
        <x:f>IF(OR(M55="",N55=""),"",N55-M55)</x:f>
      </x:c>
      <x:c r="P55" t="str">
        <x:f>IF(Match_Data!J55="","",IF(Match_Data!J55="OVER",1,0))</x:f>
      </x:c>
    </x:row>
    <x:row r="56">
      <x:c r="A56" t="n">
        <x:f>Match_Data!A56</x:f>
        <x:v>0</x:v>
      </x:c>
      <x:c r="B56" s="28" t="n">
        <x:f>Match_Data!B56</x:f>
        <x:v>0</x:v>
      </x:c>
      <x:c r="C56" t="n">
        <x:f>Match_Data!C56</x:f>
        <x:v>0</x:v>
      </x:c>
      <x:c r="D56" t="n">
        <x:f>Match_Data!E56</x:f>
        <x:v>0</x:v>
      </x:c>
      <x:c r="E56" t="n">
        <x:f>Match_Data!F56</x:f>
        <x:v>0</x:v>
      </x:c>
      <x:c r="F56" t="n">
        <x:f>Match_Data!AC56</x:f>
        <x:v>0</x:v>
      </x:c>
      <x:c r="G56" t="str">
        <x:f>IF(OR(Match_Data!K56="",Match_Data!L56=""),"",AVERAGE(Match_Data!K56:L56))</x:f>
      </x:c>
      <x:c r="H56" t="str">
        <x:f>IF(OR(Match_Data!M56="",Match_Data!N56=""),"",AVERAGE(Match_Data!M56:N56))</x:f>
      </x:c>
      <x:c r="I56" t="str">
        <x:f>IF(OR(Match_Data!O56="",Match_Data!Q56=""),"",Match_Data!O56+Match_Data!Q56)</x:f>
      </x:c>
      <x:c r="J56" t="str">
        <x:f>IF(OR(Match_Data!P56="",Match_Data!R56=""),"",Match_Data!P56+Match_Data!R56)</x:f>
      </x:c>
      <x:c r="K56" t="str">
        <x:f>IF(OR(Match_Data!S56="",Match_Data!T56=""),"",Match_Data!S56+Match_Data!T56)</x:f>
      </x:c>
      <x:c r="L56" t="str">
        <x:f>IF(OR(Match_Data!U56="",Match_Data!V56=""),"",Match_Data!U56-Match_Data!V56)</x:f>
      </x:c>
      <x:c r="M56" s="32" t="str">
        <x:f>IF(Match_Data!Y56="","",1/Match_Data!Y56)</x:f>
      </x:c>
      <x:c r="N56" s="32" t="str">
        <x:f>IF(Match_Data!AA56="","",1/Match_Data!AA56)</x:f>
      </x:c>
      <x:c r="O56" s="32" t="str">
        <x:f>IF(OR(M56="",N56=""),"",N56-M56)</x:f>
      </x:c>
      <x:c r="P56" t="str">
        <x:f>IF(Match_Data!J56="","",IF(Match_Data!J56="OVER",1,0))</x:f>
      </x:c>
    </x:row>
    <x:row r="57">
      <x:c r="A57" t="n">
        <x:f>Match_Data!A57</x:f>
        <x:v>0</x:v>
      </x:c>
      <x:c r="B57" s="28" t="n">
        <x:f>Match_Data!B57</x:f>
        <x:v>0</x:v>
      </x:c>
      <x:c r="C57" t="n">
        <x:f>Match_Data!C57</x:f>
        <x:v>0</x:v>
      </x:c>
      <x:c r="D57" t="n">
        <x:f>Match_Data!E57</x:f>
        <x:v>0</x:v>
      </x:c>
      <x:c r="E57" t="n">
        <x:f>Match_Data!F57</x:f>
        <x:v>0</x:v>
      </x:c>
      <x:c r="F57" t="n">
        <x:f>Match_Data!AC57</x:f>
        <x:v>0</x:v>
      </x:c>
      <x:c r="G57" t="str">
        <x:f>IF(OR(Match_Data!K57="",Match_Data!L57=""),"",AVERAGE(Match_Data!K57:L57))</x:f>
      </x:c>
      <x:c r="H57" t="str">
        <x:f>IF(OR(Match_Data!M57="",Match_Data!N57=""),"",AVERAGE(Match_Data!M57:N57))</x:f>
      </x:c>
      <x:c r="I57" t="str">
        <x:f>IF(OR(Match_Data!O57="",Match_Data!Q57=""),"",Match_Data!O57+Match_Data!Q57)</x:f>
      </x:c>
      <x:c r="J57" t="str">
        <x:f>IF(OR(Match_Data!P57="",Match_Data!R57=""),"",Match_Data!P57+Match_Data!R57)</x:f>
      </x:c>
      <x:c r="K57" t="str">
        <x:f>IF(OR(Match_Data!S57="",Match_Data!T57=""),"",Match_Data!S57+Match_Data!T57)</x:f>
      </x:c>
      <x:c r="L57" t="str">
        <x:f>IF(OR(Match_Data!U57="",Match_Data!V57=""),"",Match_Data!U57-Match_Data!V57)</x:f>
      </x:c>
      <x:c r="M57" s="32" t="str">
        <x:f>IF(Match_Data!Y57="","",1/Match_Data!Y57)</x:f>
      </x:c>
      <x:c r="N57" s="32" t="str">
        <x:f>IF(Match_Data!AA57="","",1/Match_Data!AA57)</x:f>
      </x:c>
      <x:c r="O57" s="32" t="str">
        <x:f>IF(OR(M57="",N57=""),"",N57-M57)</x:f>
      </x:c>
      <x:c r="P57" t="str">
        <x:f>IF(Match_Data!J57="","",IF(Match_Data!J57="OVER",1,0))</x:f>
      </x:c>
    </x:row>
    <x:row r="58">
      <x:c r="A58" t="n">
        <x:f>Match_Data!A58</x:f>
        <x:v>0</x:v>
      </x:c>
      <x:c r="B58" s="28" t="n">
        <x:f>Match_Data!B58</x:f>
        <x:v>0</x:v>
      </x:c>
      <x:c r="C58" t="n">
        <x:f>Match_Data!C58</x:f>
        <x:v>0</x:v>
      </x:c>
      <x:c r="D58" t="n">
        <x:f>Match_Data!E58</x:f>
        <x:v>0</x:v>
      </x:c>
      <x:c r="E58" t="n">
        <x:f>Match_Data!F58</x:f>
        <x:v>0</x:v>
      </x:c>
      <x:c r="F58" t="n">
        <x:f>Match_Data!AC58</x:f>
        <x:v>0</x:v>
      </x:c>
      <x:c r="G58" t="str">
        <x:f>IF(OR(Match_Data!K58="",Match_Data!L58=""),"",AVERAGE(Match_Data!K58:L58))</x:f>
      </x:c>
      <x:c r="H58" t="str">
        <x:f>IF(OR(Match_Data!M58="",Match_Data!N58=""),"",AVERAGE(Match_Data!M58:N58))</x:f>
      </x:c>
      <x:c r="I58" t="str">
        <x:f>IF(OR(Match_Data!O58="",Match_Data!Q58=""),"",Match_Data!O58+Match_Data!Q58)</x:f>
      </x:c>
      <x:c r="J58" t="str">
        <x:f>IF(OR(Match_Data!P58="",Match_Data!R58=""),"",Match_Data!P58+Match_Data!R58)</x:f>
      </x:c>
      <x:c r="K58" t="str">
        <x:f>IF(OR(Match_Data!S58="",Match_Data!T58=""),"",Match_Data!S58+Match_Data!T58)</x:f>
      </x:c>
      <x:c r="L58" t="str">
        <x:f>IF(OR(Match_Data!U58="",Match_Data!V58=""),"",Match_Data!U58-Match_Data!V58)</x:f>
      </x:c>
      <x:c r="M58" s="32" t="str">
        <x:f>IF(Match_Data!Y58="","",1/Match_Data!Y58)</x:f>
      </x:c>
      <x:c r="N58" s="32" t="str">
        <x:f>IF(Match_Data!AA58="","",1/Match_Data!AA58)</x:f>
      </x:c>
      <x:c r="O58" s="32" t="str">
        <x:f>IF(OR(M58="",N58=""),"",N58-M58)</x:f>
      </x:c>
      <x:c r="P58" t="str">
        <x:f>IF(Match_Data!J58="","",IF(Match_Data!J58="OVER",1,0))</x:f>
      </x:c>
    </x:row>
    <x:row r="59">
      <x:c r="A59" t="n">
        <x:f>Match_Data!A59</x:f>
        <x:v>0</x:v>
      </x:c>
      <x:c r="B59" s="28" t="n">
        <x:f>Match_Data!B59</x:f>
        <x:v>0</x:v>
      </x:c>
      <x:c r="C59" t="n">
        <x:f>Match_Data!C59</x:f>
        <x:v>0</x:v>
      </x:c>
      <x:c r="D59" t="n">
        <x:f>Match_Data!E59</x:f>
        <x:v>0</x:v>
      </x:c>
      <x:c r="E59" t="n">
        <x:f>Match_Data!F59</x:f>
        <x:v>0</x:v>
      </x:c>
      <x:c r="F59" t="n">
        <x:f>Match_Data!AC59</x:f>
        <x:v>0</x:v>
      </x:c>
      <x:c r="G59" t="str">
        <x:f>IF(OR(Match_Data!K59="",Match_Data!L59=""),"",AVERAGE(Match_Data!K59:L59))</x:f>
      </x:c>
      <x:c r="H59" t="str">
        <x:f>IF(OR(Match_Data!M59="",Match_Data!N59=""),"",AVERAGE(Match_Data!M59:N59))</x:f>
      </x:c>
      <x:c r="I59" t="str">
        <x:f>IF(OR(Match_Data!O59="",Match_Data!Q59=""),"",Match_Data!O59+Match_Data!Q59)</x:f>
      </x:c>
      <x:c r="J59" t="str">
        <x:f>IF(OR(Match_Data!P59="",Match_Data!R59=""),"",Match_Data!P59+Match_Data!R59)</x:f>
      </x:c>
      <x:c r="K59" t="str">
        <x:f>IF(OR(Match_Data!S59="",Match_Data!T59=""),"",Match_Data!S59+Match_Data!T59)</x:f>
      </x:c>
      <x:c r="L59" t="str">
        <x:f>IF(OR(Match_Data!U59="",Match_Data!V59=""),"",Match_Data!U59-Match_Data!V59)</x:f>
      </x:c>
      <x:c r="M59" s="32" t="str">
        <x:f>IF(Match_Data!Y59="","",1/Match_Data!Y59)</x:f>
      </x:c>
      <x:c r="N59" s="32" t="str">
        <x:f>IF(Match_Data!AA59="","",1/Match_Data!AA59)</x:f>
      </x:c>
      <x:c r="O59" s="32" t="str">
        <x:f>IF(OR(M59="",N59=""),"",N59-M59)</x:f>
      </x:c>
      <x:c r="P59" t="str">
        <x:f>IF(Match_Data!J59="","",IF(Match_Data!J59="OVER",1,0))</x:f>
      </x:c>
    </x:row>
    <x:row r="60">
      <x:c r="A60" t="n">
        <x:f>Match_Data!A60</x:f>
        <x:v>0</x:v>
      </x:c>
      <x:c r="B60" s="28" t="n">
        <x:f>Match_Data!B60</x:f>
        <x:v>0</x:v>
      </x:c>
      <x:c r="C60" t="n">
        <x:f>Match_Data!C60</x:f>
        <x:v>0</x:v>
      </x:c>
      <x:c r="D60" t="n">
        <x:f>Match_Data!E60</x:f>
        <x:v>0</x:v>
      </x:c>
      <x:c r="E60" t="n">
        <x:f>Match_Data!F60</x:f>
        <x:v>0</x:v>
      </x:c>
      <x:c r="F60" t="n">
        <x:f>Match_Data!AC60</x:f>
        <x:v>0</x:v>
      </x:c>
      <x:c r="G60" t="str">
        <x:f>IF(OR(Match_Data!K60="",Match_Data!L60=""),"",AVERAGE(Match_Data!K60:L60))</x:f>
      </x:c>
      <x:c r="H60" t="str">
        <x:f>IF(OR(Match_Data!M60="",Match_Data!N60=""),"",AVERAGE(Match_Data!M60:N60))</x:f>
      </x:c>
      <x:c r="I60" t="str">
        <x:f>IF(OR(Match_Data!O60="",Match_Data!Q60=""),"",Match_Data!O60+Match_Data!Q60)</x:f>
      </x:c>
      <x:c r="J60" t="str">
        <x:f>IF(OR(Match_Data!P60="",Match_Data!R60=""),"",Match_Data!P60+Match_Data!R60)</x:f>
      </x:c>
      <x:c r="K60" t="str">
        <x:f>IF(OR(Match_Data!S60="",Match_Data!T60=""),"",Match_Data!S60+Match_Data!T60)</x:f>
      </x:c>
      <x:c r="L60" t="str">
        <x:f>IF(OR(Match_Data!U60="",Match_Data!V60=""),"",Match_Data!U60-Match_Data!V60)</x:f>
      </x:c>
      <x:c r="M60" s="32" t="str">
        <x:f>IF(Match_Data!Y60="","",1/Match_Data!Y60)</x:f>
      </x:c>
      <x:c r="N60" s="32" t="str">
        <x:f>IF(Match_Data!AA60="","",1/Match_Data!AA60)</x:f>
      </x:c>
      <x:c r="O60" s="32" t="str">
        <x:f>IF(OR(M60="",N60=""),"",N60-M60)</x:f>
      </x:c>
      <x:c r="P60" t="str">
        <x:f>IF(Match_Data!J60="","",IF(Match_Data!J60="OVER",1,0))</x:f>
      </x:c>
    </x:row>
    <x:row r="61">
      <x:c r="A61" t="n">
        <x:f>Match_Data!A61</x:f>
        <x:v>0</x:v>
      </x:c>
      <x:c r="B61" s="28" t="n">
        <x:f>Match_Data!B61</x:f>
        <x:v>0</x:v>
      </x:c>
      <x:c r="C61" t="n">
        <x:f>Match_Data!C61</x:f>
        <x:v>0</x:v>
      </x:c>
      <x:c r="D61" t="n">
        <x:f>Match_Data!E61</x:f>
        <x:v>0</x:v>
      </x:c>
      <x:c r="E61" t="n">
        <x:f>Match_Data!F61</x:f>
        <x:v>0</x:v>
      </x:c>
      <x:c r="F61" t="n">
        <x:f>Match_Data!AC61</x:f>
        <x:v>0</x:v>
      </x:c>
      <x:c r="G61" t="str">
        <x:f>IF(OR(Match_Data!K61="",Match_Data!L61=""),"",AVERAGE(Match_Data!K61:L61))</x:f>
      </x:c>
      <x:c r="H61" t="str">
        <x:f>IF(OR(Match_Data!M61="",Match_Data!N61=""),"",AVERAGE(Match_Data!M61:N61))</x:f>
      </x:c>
      <x:c r="I61" t="str">
        <x:f>IF(OR(Match_Data!O61="",Match_Data!Q61=""),"",Match_Data!O61+Match_Data!Q61)</x:f>
      </x:c>
      <x:c r="J61" t="str">
        <x:f>IF(OR(Match_Data!P61="",Match_Data!R61=""),"",Match_Data!P61+Match_Data!R61)</x:f>
      </x:c>
      <x:c r="K61" t="str">
        <x:f>IF(OR(Match_Data!S61="",Match_Data!T61=""),"",Match_Data!S61+Match_Data!T61)</x:f>
      </x:c>
      <x:c r="L61" t="str">
        <x:f>IF(OR(Match_Data!U61="",Match_Data!V61=""),"",Match_Data!U61-Match_Data!V61)</x:f>
      </x:c>
      <x:c r="M61" s="32" t="str">
        <x:f>IF(Match_Data!Y61="","",1/Match_Data!Y61)</x:f>
      </x:c>
      <x:c r="N61" s="32" t="str">
        <x:f>IF(Match_Data!AA61="","",1/Match_Data!AA61)</x:f>
      </x:c>
      <x:c r="O61" s="32" t="str">
        <x:f>IF(OR(M61="",N61=""),"",N61-M61)</x:f>
      </x:c>
      <x:c r="P61" t="str">
        <x:f>IF(Match_Data!J61="","",IF(Match_Data!J61="OVER",1,0))</x:f>
      </x:c>
    </x:row>
    <x:row r="62">
      <x:c r="A62" t="n">
        <x:f>Match_Data!A62</x:f>
        <x:v>0</x:v>
      </x:c>
      <x:c r="B62" s="28" t="n">
        <x:f>Match_Data!B62</x:f>
        <x:v>0</x:v>
      </x:c>
      <x:c r="C62" t="n">
        <x:f>Match_Data!C62</x:f>
        <x:v>0</x:v>
      </x:c>
      <x:c r="D62" t="n">
        <x:f>Match_Data!E62</x:f>
        <x:v>0</x:v>
      </x:c>
      <x:c r="E62" t="n">
        <x:f>Match_Data!F62</x:f>
        <x:v>0</x:v>
      </x:c>
      <x:c r="F62" t="n">
        <x:f>Match_Data!AC62</x:f>
        <x:v>0</x:v>
      </x:c>
      <x:c r="G62" t="str">
        <x:f>IF(OR(Match_Data!K62="",Match_Data!L62=""),"",AVERAGE(Match_Data!K62:L62))</x:f>
      </x:c>
      <x:c r="H62" t="str">
        <x:f>IF(OR(Match_Data!M62="",Match_Data!N62=""),"",AVERAGE(Match_Data!M62:N62))</x:f>
      </x:c>
      <x:c r="I62" t="str">
        <x:f>IF(OR(Match_Data!O62="",Match_Data!Q62=""),"",Match_Data!O62+Match_Data!Q62)</x:f>
      </x:c>
      <x:c r="J62" t="str">
        <x:f>IF(OR(Match_Data!P62="",Match_Data!R62=""),"",Match_Data!P62+Match_Data!R62)</x:f>
      </x:c>
      <x:c r="K62" t="str">
        <x:f>IF(OR(Match_Data!S62="",Match_Data!T62=""),"",Match_Data!S62+Match_Data!T62)</x:f>
      </x:c>
      <x:c r="L62" t="str">
        <x:f>IF(OR(Match_Data!U62="",Match_Data!V62=""),"",Match_Data!U62-Match_Data!V62)</x:f>
      </x:c>
      <x:c r="M62" s="32" t="str">
        <x:f>IF(Match_Data!Y62="","",1/Match_Data!Y62)</x:f>
      </x:c>
      <x:c r="N62" s="32" t="str">
        <x:f>IF(Match_Data!AA62="","",1/Match_Data!AA62)</x:f>
      </x:c>
      <x:c r="O62" s="32" t="str">
        <x:f>IF(OR(M62="",N62=""),"",N62-M62)</x:f>
      </x:c>
      <x:c r="P62" t="str">
        <x:f>IF(Match_Data!J62="","",IF(Match_Data!J62="OVER",1,0))</x:f>
      </x:c>
    </x:row>
    <x:row r="63">
      <x:c r="A63" t="n">
        <x:f>Match_Data!A63</x:f>
        <x:v>0</x:v>
      </x:c>
      <x:c r="B63" s="28" t="n">
        <x:f>Match_Data!B63</x:f>
        <x:v>0</x:v>
      </x:c>
      <x:c r="C63" t="n">
        <x:f>Match_Data!C63</x:f>
        <x:v>0</x:v>
      </x:c>
      <x:c r="D63" t="n">
        <x:f>Match_Data!E63</x:f>
        <x:v>0</x:v>
      </x:c>
      <x:c r="E63" t="n">
        <x:f>Match_Data!F63</x:f>
        <x:v>0</x:v>
      </x:c>
      <x:c r="F63" t="n">
        <x:f>Match_Data!AC63</x:f>
        <x:v>0</x:v>
      </x:c>
      <x:c r="G63" t="str">
        <x:f>IF(OR(Match_Data!K63="",Match_Data!L63=""),"",AVERAGE(Match_Data!K63:L63))</x:f>
      </x:c>
      <x:c r="H63" t="str">
        <x:f>IF(OR(Match_Data!M63="",Match_Data!N63=""),"",AVERAGE(Match_Data!M63:N63))</x:f>
      </x:c>
      <x:c r="I63" t="str">
        <x:f>IF(OR(Match_Data!O63="",Match_Data!Q63=""),"",Match_Data!O63+Match_Data!Q63)</x:f>
      </x:c>
      <x:c r="J63" t="str">
        <x:f>IF(OR(Match_Data!P63="",Match_Data!R63=""),"",Match_Data!P63+Match_Data!R63)</x:f>
      </x:c>
      <x:c r="K63" t="str">
        <x:f>IF(OR(Match_Data!S63="",Match_Data!T63=""),"",Match_Data!S63+Match_Data!T63)</x:f>
      </x:c>
      <x:c r="L63" t="str">
        <x:f>IF(OR(Match_Data!U63="",Match_Data!V63=""),"",Match_Data!U63-Match_Data!V63)</x:f>
      </x:c>
      <x:c r="M63" s="32" t="str">
        <x:f>IF(Match_Data!Y63="","",1/Match_Data!Y63)</x:f>
      </x:c>
      <x:c r="N63" s="32" t="str">
        <x:f>IF(Match_Data!AA63="","",1/Match_Data!AA63)</x:f>
      </x:c>
      <x:c r="O63" s="32" t="str">
        <x:f>IF(OR(M63="",N63=""),"",N63-M63)</x:f>
      </x:c>
      <x:c r="P63" t="str">
        <x:f>IF(Match_Data!J63="","",IF(Match_Data!J63="OVER",1,0))</x:f>
      </x:c>
    </x:row>
    <x:row r="64">
      <x:c r="A64" t="n">
        <x:f>Match_Data!A64</x:f>
        <x:v>0</x:v>
      </x:c>
      <x:c r="B64" s="28" t="n">
        <x:f>Match_Data!B64</x:f>
        <x:v>0</x:v>
      </x:c>
      <x:c r="C64" t="n">
        <x:f>Match_Data!C64</x:f>
        <x:v>0</x:v>
      </x:c>
      <x:c r="D64" t="n">
        <x:f>Match_Data!E64</x:f>
        <x:v>0</x:v>
      </x:c>
      <x:c r="E64" t="n">
        <x:f>Match_Data!F64</x:f>
        <x:v>0</x:v>
      </x:c>
      <x:c r="F64" t="n">
        <x:f>Match_Data!AC64</x:f>
        <x:v>0</x:v>
      </x:c>
      <x:c r="G64" t="str">
        <x:f>IF(OR(Match_Data!K64="",Match_Data!L64=""),"",AVERAGE(Match_Data!K64:L64))</x:f>
      </x:c>
      <x:c r="H64" t="str">
        <x:f>IF(OR(Match_Data!M64="",Match_Data!N64=""),"",AVERAGE(Match_Data!M64:N64))</x:f>
      </x:c>
      <x:c r="I64" t="str">
        <x:f>IF(OR(Match_Data!O64="",Match_Data!Q64=""),"",Match_Data!O64+Match_Data!Q64)</x:f>
      </x:c>
      <x:c r="J64" t="str">
        <x:f>IF(OR(Match_Data!P64="",Match_Data!R64=""),"",Match_Data!P64+Match_Data!R64)</x:f>
      </x:c>
      <x:c r="K64" t="str">
        <x:f>IF(OR(Match_Data!S64="",Match_Data!T64=""),"",Match_Data!S64+Match_Data!T64)</x:f>
      </x:c>
      <x:c r="L64" t="str">
        <x:f>IF(OR(Match_Data!U64="",Match_Data!V64=""),"",Match_Data!U64-Match_Data!V64)</x:f>
      </x:c>
      <x:c r="M64" s="32" t="str">
        <x:f>IF(Match_Data!Y64="","",1/Match_Data!Y64)</x:f>
      </x:c>
      <x:c r="N64" s="32" t="str">
        <x:f>IF(Match_Data!AA64="","",1/Match_Data!AA64)</x:f>
      </x:c>
      <x:c r="O64" s="32" t="str">
        <x:f>IF(OR(M64="",N64=""),"",N64-M64)</x:f>
      </x:c>
      <x:c r="P64" t="str">
        <x:f>IF(Match_Data!J64="","",IF(Match_Data!J64="OVER",1,0))</x:f>
      </x:c>
    </x:row>
    <x:row r="65">
      <x:c r="A65" t="n">
        <x:f>Match_Data!A65</x:f>
        <x:v>0</x:v>
      </x:c>
      <x:c r="B65" s="28" t="n">
        <x:f>Match_Data!B65</x:f>
        <x:v>0</x:v>
      </x:c>
      <x:c r="C65" t="n">
        <x:f>Match_Data!C65</x:f>
        <x:v>0</x:v>
      </x:c>
      <x:c r="D65" t="n">
        <x:f>Match_Data!E65</x:f>
        <x:v>0</x:v>
      </x:c>
      <x:c r="E65" t="n">
        <x:f>Match_Data!F65</x:f>
        <x:v>0</x:v>
      </x:c>
      <x:c r="F65" t="n">
        <x:f>Match_Data!AC65</x:f>
        <x:v>0</x:v>
      </x:c>
      <x:c r="G65" t="str">
        <x:f>IF(OR(Match_Data!K65="",Match_Data!L65=""),"",AVERAGE(Match_Data!K65:L65))</x:f>
      </x:c>
      <x:c r="H65" t="str">
        <x:f>IF(OR(Match_Data!M65="",Match_Data!N65=""),"",AVERAGE(Match_Data!M65:N65))</x:f>
      </x:c>
      <x:c r="I65" t="str">
        <x:f>IF(OR(Match_Data!O65="",Match_Data!Q65=""),"",Match_Data!O65+Match_Data!Q65)</x:f>
      </x:c>
      <x:c r="J65" t="str">
        <x:f>IF(OR(Match_Data!P65="",Match_Data!R65=""),"",Match_Data!P65+Match_Data!R65)</x:f>
      </x:c>
      <x:c r="K65" t="str">
        <x:f>IF(OR(Match_Data!S65="",Match_Data!T65=""),"",Match_Data!S65+Match_Data!T65)</x:f>
      </x:c>
      <x:c r="L65" t="str">
        <x:f>IF(OR(Match_Data!U65="",Match_Data!V65=""),"",Match_Data!U65-Match_Data!V65)</x:f>
      </x:c>
      <x:c r="M65" s="32" t="str">
        <x:f>IF(Match_Data!Y65="","",1/Match_Data!Y65)</x:f>
      </x:c>
      <x:c r="N65" s="32" t="str">
        <x:f>IF(Match_Data!AA65="","",1/Match_Data!AA65)</x:f>
      </x:c>
      <x:c r="O65" s="32" t="str">
        <x:f>IF(OR(M65="",N65=""),"",N65-M65)</x:f>
      </x:c>
      <x:c r="P65" t="str">
        <x:f>IF(Match_Data!J65="","",IF(Match_Data!J65="OVER",1,0))</x:f>
      </x:c>
    </x:row>
    <x:row r="66">
      <x:c r="A66" t="n">
        <x:f>Match_Data!A66</x:f>
        <x:v>0</x:v>
      </x:c>
      <x:c r="B66" s="28" t="n">
        <x:f>Match_Data!B66</x:f>
        <x:v>0</x:v>
      </x:c>
      <x:c r="C66" t="n">
        <x:f>Match_Data!C66</x:f>
        <x:v>0</x:v>
      </x:c>
      <x:c r="D66" t="n">
        <x:f>Match_Data!E66</x:f>
        <x:v>0</x:v>
      </x:c>
      <x:c r="E66" t="n">
        <x:f>Match_Data!F66</x:f>
        <x:v>0</x:v>
      </x:c>
      <x:c r="F66" t="n">
        <x:f>Match_Data!AC66</x:f>
        <x:v>0</x:v>
      </x:c>
      <x:c r="G66" t="str">
        <x:f>IF(OR(Match_Data!K66="",Match_Data!L66=""),"",AVERAGE(Match_Data!K66:L66))</x:f>
      </x:c>
      <x:c r="H66" t="str">
        <x:f>IF(OR(Match_Data!M66="",Match_Data!N66=""),"",AVERAGE(Match_Data!M66:N66))</x:f>
      </x:c>
      <x:c r="I66" t="str">
        <x:f>IF(OR(Match_Data!O66="",Match_Data!Q66=""),"",Match_Data!O66+Match_Data!Q66)</x:f>
      </x:c>
      <x:c r="J66" t="str">
        <x:f>IF(OR(Match_Data!P66="",Match_Data!R66=""),"",Match_Data!P66+Match_Data!R66)</x:f>
      </x:c>
      <x:c r="K66" t="str">
        <x:f>IF(OR(Match_Data!S66="",Match_Data!T66=""),"",Match_Data!S66+Match_Data!T66)</x:f>
      </x:c>
      <x:c r="L66" t="str">
        <x:f>IF(OR(Match_Data!U66="",Match_Data!V66=""),"",Match_Data!U66-Match_Data!V66)</x:f>
      </x:c>
      <x:c r="M66" s="32" t="str">
        <x:f>IF(Match_Data!Y66="","",1/Match_Data!Y66)</x:f>
      </x:c>
      <x:c r="N66" s="32" t="str">
        <x:f>IF(Match_Data!AA66="","",1/Match_Data!AA66)</x:f>
      </x:c>
      <x:c r="O66" s="32" t="str">
        <x:f>IF(OR(M66="",N66=""),"",N66-M66)</x:f>
      </x:c>
      <x:c r="P66" t="str">
        <x:f>IF(Match_Data!J66="","",IF(Match_Data!J66="OVER",1,0))</x:f>
      </x:c>
    </x:row>
    <x:row r="67">
      <x:c r="A67" t="n">
        <x:f>Match_Data!A67</x:f>
        <x:v>0</x:v>
      </x:c>
      <x:c r="B67" s="28" t="n">
        <x:f>Match_Data!B67</x:f>
        <x:v>0</x:v>
      </x:c>
      <x:c r="C67" t="n">
        <x:f>Match_Data!C67</x:f>
        <x:v>0</x:v>
      </x:c>
      <x:c r="D67" t="n">
        <x:f>Match_Data!E67</x:f>
        <x:v>0</x:v>
      </x:c>
      <x:c r="E67" t="n">
        <x:f>Match_Data!F67</x:f>
        <x:v>0</x:v>
      </x:c>
      <x:c r="F67" t="n">
        <x:f>Match_Data!AC67</x:f>
        <x:v>0</x:v>
      </x:c>
      <x:c r="G67" t="str">
        <x:f>IF(OR(Match_Data!K67="",Match_Data!L67=""),"",AVERAGE(Match_Data!K67:L67))</x:f>
      </x:c>
      <x:c r="H67" t="str">
        <x:f>IF(OR(Match_Data!M67="",Match_Data!N67=""),"",AVERAGE(Match_Data!M67:N67))</x:f>
      </x:c>
      <x:c r="I67" t="str">
        <x:f>IF(OR(Match_Data!O67="",Match_Data!Q67=""),"",Match_Data!O67+Match_Data!Q67)</x:f>
      </x:c>
      <x:c r="J67" t="str">
        <x:f>IF(OR(Match_Data!P67="",Match_Data!R67=""),"",Match_Data!P67+Match_Data!R67)</x:f>
      </x:c>
      <x:c r="K67" t="str">
        <x:f>IF(OR(Match_Data!S67="",Match_Data!T67=""),"",Match_Data!S67+Match_Data!T67)</x:f>
      </x:c>
      <x:c r="L67" t="str">
        <x:f>IF(OR(Match_Data!U67="",Match_Data!V67=""),"",Match_Data!U67-Match_Data!V67)</x:f>
      </x:c>
      <x:c r="M67" s="32" t="str">
        <x:f>IF(Match_Data!Y67="","",1/Match_Data!Y67)</x:f>
      </x:c>
      <x:c r="N67" s="32" t="str">
        <x:f>IF(Match_Data!AA67="","",1/Match_Data!AA67)</x:f>
      </x:c>
      <x:c r="O67" s="32" t="str">
        <x:f>IF(OR(M67="",N67=""),"",N67-M67)</x:f>
      </x:c>
      <x:c r="P67" t="str">
        <x:f>IF(Match_Data!J67="","",IF(Match_Data!J67="OVER",1,0))</x:f>
      </x:c>
    </x:row>
    <x:row r="68">
      <x:c r="A68" t="n">
        <x:f>Match_Data!A68</x:f>
        <x:v>0</x:v>
      </x:c>
      <x:c r="B68" s="28" t="n">
        <x:f>Match_Data!B68</x:f>
        <x:v>0</x:v>
      </x:c>
      <x:c r="C68" t="n">
        <x:f>Match_Data!C68</x:f>
        <x:v>0</x:v>
      </x:c>
      <x:c r="D68" t="n">
        <x:f>Match_Data!E68</x:f>
        <x:v>0</x:v>
      </x:c>
      <x:c r="E68" t="n">
        <x:f>Match_Data!F68</x:f>
        <x:v>0</x:v>
      </x:c>
      <x:c r="F68" t="n">
        <x:f>Match_Data!AC68</x:f>
        <x:v>0</x:v>
      </x:c>
      <x:c r="G68" t="str">
        <x:f>IF(OR(Match_Data!K68="",Match_Data!L68=""),"",AVERAGE(Match_Data!K68:L68))</x:f>
      </x:c>
      <x:c r="H68" t="str">
        <x:f>IF(OR(Match_Data!M68="",Match_Data!N68=""),"",AVERAGE(Match_Data!M68:N68))</x:f>
      </x:c>
      <x:c r="I68" t="str">
        <x:f>IF(OR(Match_Data!O68="",Match_Data!Q68=""),"",Match_Data!O68+Match_Data!Q68)</x:f>
      </x:c>
      <x:c r="J68" t="str">
        <x:f>IF(OR(Match_Data!P68="",Match_Data!R68=""),"",Match_Data!P68+Match_Data!R68)</x:f>
      </x:c>
      <x:c r="K68" t="str">
        <x:f>IF(OR(Match_Data!S68="",Match_Data!T68=""),"",Match_Data!S68+Match_Data!T68)</x:f>
      </x:c>
      <x:c r="L68" t="str">
        <x:f>IF(OR(Match_Data!U68="",Match_Data!V68=""),"",Match_Data!U68-Match_Data!V68)</x:f>
      </x:c>
      <x:c r="M68" s="32" t="str">
        <x:f>IF(Match_Data!Y68="","",1/Match_Data!Y68)</x:f>
      </x:c>
      <x:c r="N68" s="32" t="str">
        <x:f>IF(Match_Data!AA68="","",1/Match_Data!AA68)</x:f>
      </x:c>
      <x:c r="O68" s="32" t="str">
        <x:f>IF(OR(M68="",N68=""),"",N68-M68)</x:f>
      </x:c>
      <x:c r="P68" t="str">
        <x:f>IF(Match_Data!J68="","",IF(Match_Data!J68="OVER",1,0))</x:f>
      </x:c>
    </x:row>
    <x:row r="69">
      <x:c r="A69" t="n">
        <x:f>Match_Data!A69</x:f>
        <x:v>0</x:v>
      </x:c>
      <x:c r="B69" s="28" t="n">
        <x:f>Match_Data!B69</x:f>
        <x:v>0</x:v>
      </x:c>
      <x:c r="C69" t="n">
        <x:f>Match_Data!C69</x:f>
        <x:v>0</x:v>
      </x:c>
      <x:c r="D69" t="n">
        <x:f>Match_Data!E69</x:f>
        <x:v>0</x:v>
      </x:c>
      <x:c r="E69" t="n">
        <x:f>Match_Data!F69</x:f>
        <x:v>0</x:v>
      </x:c>
      <x:c r="F69" t="n">
        <x:f>Match_Data!AC69</x:f>
        <x:v>0</x:v>
      </x:c>
      <x:c r="G69" t="str">
        <x:f>IF(OR(Match_Data!K69="",Match_Data!L69=""),"",AVERAGE(Match_Data!K69:L69))</x:f>
      </x:c>
      <x:c r="H69" t="str">
        <x:f>IF(OR(Match_Data!M69="",Match_Data!N69=""),"",AVERAGE(Match_Data!M69:N69))</x:f>
      </x:c>
      <x:c r="I69" t="str">
        <x:f>IF(OR(Match_Data!O69="",Match_Data!Q69=""),"",Match_Data!O69+Match_Data!Q69)</x:f>
      </x:c>
      <x:c r="J69" t="str">
        <x:f>IF(OR(Match_Data!P69="",Match_Data!R69=""),"",Match_Data!P69+Match_Data!R69)</x:f>
      </x:c>
      <x:c r="K69" t="str">
        <x:f>IF(OR(Match_Data!S69="",Match_Data!T69=""),"",Match_Data!S69+Match_Data!T69)</x:f>
      </x:c>
      <x:c r="L69" t="str">
        <x:f>IF(OR(Match_Data!U69="",Match_Data!V69=""),"",Match_Data!U69-Match_Data!V69)</x:f>
      </x:c>
      <x:c r="M69" s="32" t="str">
        <x:f>IF(Match_Data!Y69="","",1/Match_Data!Y69)</x:f>
      </x:c>
      <x:c r="N69" s="32" t="str">
        <x:f>IF(Match_Data!AA69="","",1/Match_Data!AA69)</x:f>
      </x:c>
      <x:c r="O69" s="32" t="str">
        <x:f>IF(OR(M69="",N69=""),"",N69-M69)</x:f>
      </x:c>
      <x:c r="P69" t="str">
        <x:f>IF(Match_Data!J69="","",IF(Match_Data!J69="OVER",1,0))</x:f>
      </x:c>
    </x:row>
    <x:row r="70">
      <x:c r="A70" t="n">
        <x:f>Match_Data!A70</x:f>
        <x:v>0</x:v>
      </x:c>
      <x:c r="B70" s="28" t="n">
        <x:f>Match_Data!B70</x:f>
        <x:v>0</x:v>
      </x:c>
      <x:c r="C70" t="n">
        <x:f>Match_Data!C70</x:f>
        <x:v>0</x:v>
      </x:c>
      <x:c r="D70" t="n">
        <x:f>Match_Data!E70</x:f>
        <x:v>0</x:v>
      </x:c>
      <x:c r="E70" t="n">
        <x:f>Match_Data!F70</x:f>
        <x:v>0</x:v>
      </x:c>
      <x:c r="F70" t="n">
        <x:f>Match_Data!AC70</x:f>
        <x:v>0</x:v>
      </x:c>
      <x:c r="G70" t="str">
        <x:f>IF(OR(Match_Data!K70="",Match_Data!L70=""),"",AVERAGE(Match_Data!K70:L70))</x:f>
      </x:c>
      <x:c r="H70" t="str">
        <x:f>IF(OR(Match_Data!M70="",Match_Data!N70=""),"",AVERAGE(Match_Data!M70:N70))</x:f>
      </x:c>
      <x:c r="I70" t="str">
        <x:f>IF(OR(Match_Data!O70="",Match_Data!Q70=""),"",Match_Data!O70+Match_Data!Q70)</x:f>
      </x:c>
      <x:c r="J70" t="str">
        <x:f>IF(OR(Match_Data!P70="",Match_Data!R70=""),"",Match_Data!P70+Match_Data!R70)</x:f>
      </x:c>
      <x:c r="K70" t="str">
        <x:f>IF(OR(Match_Data!S70="",Match_Data!T70=""),"",Match_Data!S70+Match_Data!T70)</x:f>
      </x:c>
      <x:c r="L70" t="str">
        <x:f>IF(OR(Match_Data!U70="",Match_Data!V70=""),"",Match_Data!U70-Match_Data!V70)</x:f>
      </x:c>
      <x:c r="M70" s="32" t="str">
        <x:f>IF(Match_Data!Y70="","",1/Match_Data!Y70)</x:f>
      </x:c>
      <x:c r="N70" s="32" t="str">
        <x:f>IF(Match_Data!AA70="","",1/Match_Data!AA70)</x:f>
      </x:c>
      <x:c r="O70" s="32" t="str">
        <x:f>IF(OR(M70="",N70=""),"",N70-M70)</x:f>
      </x:c>
      <x:c r="P70" t="str">
        <x:f>IF(Match_Data!J70="","",IF(Match_Data!J70="OVER",1,0))</x:f>
      </x:c>
    </x:row>
    <x:row r="71">
      <x:c r="A71" t="n">
        <x:f>Match_Data!A71</x:f>
        <x:v>0</x:v>
      </x:c>
      <x:c r="B71" s="28" t="n">
        <x:f>Match_Data!B71</x:f>
        <x:v>0</x:v>
      </x:c>
      <x:c r="C71" t="n">
        <x:f>Match_Data!C71</x:f>
        <x:v>0</x:v>
      </x:c>
      <x:c r="D71" t="n">
        <x:f>Match_Data!E71</x:f>
        <x:v>0</x:v>
      </x:c>
      <x:c r="E71" t="n">
        <x:f>Match_Data!F71</x:f>
        <x:v>0</x:v>
      </x:c>
      <x:c r="F71" t="n">
        <x:f>Match_Data!AC71</x:f>
        <x:v>0</x:v>
      </x:c>
      <x:c r="G71" t="str">
        <x:f>IF(OR(Match_Data!K71="",Match_Data!L71=""),"",AVERAGE(Match_Data!K71:L71))</x:f>
      </x:c>
      <x:c r="H71" t="str">
        <x:f>IF(OR(Match_Data!M71="",Match_Data!N71=""),"",AVERAGE(Match_Data!M71:N71))</x:f>
      </x:c>
      <x:c r="I71" t="str">
        <x:f>IF(OR(Match_Data!O71="",Match_Data!Q71=""),"",Match_Data!O71+Match_Data!Q71)</x:f>
      </x:c>
      <x:c r="J71" t="str">
        <x:f>IF(OR(Match_Data!P71="",Match_Data!R71=""),"",Match_Data!P71+Match_Data!R71)</x:f>
      </x:c>
      <x:c r="K71" t="str">
        <x:f>IF(OR(Match_Data!S71="",Match_Data!T71=""),"",Match_Data!S71+Match_Data!T71)</x:f>
      </x:c>
      <x:c r="L71" t="str">
        <x:f>IF(OR(Match_Data!U71="",Match_Data!V71=""),"",Match_Data!U71-Match_Data!V71)</x:f>
      </x:c>
      <x:c r="M71" s="32" t="str">
        <x:f>IF(Match_Data!Y71="","",1/Match_Data!Y71)</x:f>
      </x:c>
      <x:c r="N71" s="32" t="str">
        <x:f>IF(Match_Data!AA71="","",1/Match_Data!AA71)</x:f>
      </x:c>
      <x:c r="O71" s="32" t="str">
        <x:f>IF(OR(M71="",N71=""),"",N71-M71)</x:f>
      </x:c>
      <x:c r="P71" t="str">
        <x:f>IF(Match_Data!J71="","",IF(Match_Data!J71="OVER",1,0))</x:f>
      </x:c>
    </x:row>
    <x:row r="72">
      <x:c r="A72" t="n">
        <x:f>Match_Data!A72</x:f>
        <x:v>0</x:v>
      </x:c>
      <x:c r="B72" s="28" t="n">
        <x:f>Match_Data!B72</x:f>
        <x:v>0</x:v>
      </x:c>
      <x:c r="C72" t="n">
        <x:f>Match_Data!C72</x:f>
        <x:v>0</x:v>
      </x:c>
      <x:c r="D72" t="n">
        <x:f>Match_Data!E72</x:f>
        <x:v>0</x:v>
      </x:c>
      <x:c r="E72" t="n">
        <x:f>Match_Data!F72</x:f>
        <x:v>0</x:v>
      </x:c>
      <x:c r="F72" t="n">
        <x:f>Match_Data!AC72</x:f>
        <x:v>0</x:v>
      </x:c>
      <x:c r="G72" t="str">
        <x:f>IF(OR(Match_Data!K72="",Match_Data!L72=""),"",AVERAGE(Match_Data!K72:L72))</x:f>
      </x:c>
      <x:c r="H72" t="str">
        <x:f>IF(OR(Match_Data!M72="",Match_Data!N72=""),"",AVERAGE(Match_Data!M72:N72))</x:f>
      </x:c>
      <x:c r="I72" t="str">
        <x:f>IF(OR(Match_Data!O72="",Match_Data!Q72=""),"",Match_Data!O72+Match_Data!Q72)</x:f>
      </x:c>
      <x:c r="J72" t="str">
        <x:f>IF(OR(Match_Data!P72="",Match_Data!R72=""),"",Match_Data!P72+Match_Data!R72)</x:f>
      </x:c>
      <x:c r="K72" t="str">
        <x:f>IF(OR(Match_Data!S72="",Match_Data!T72=""),"",Match_Data!S72+Match_Data!T72)</x:f>
      </x:c>
      <x:c r="L72" t="str">
        <x:f>IF(OR(Match_Data!U72="",Match_Data!V72=""),"",Match_Data!U72-Match_Data!V72)</x:f>
      </x:c>
      <x:c r="M72" s="32" t="str">
        <x:f>IF(Match_Data!Y72="","",1/Match_Data!Y72)</x:f>
      </x:c>
      <x:c r="N72" s="32" t="str">
        <x:f>IF(Match_Data!AA72="","",1/Match_Data!AA72)</x:f>
      </x:c>
      <x:c r="O72" s="32" t="str">
        <x:f>IF(OR(M72="",N72=""),"",N72-M72)</x:f>
      </x:c>
      <x:c r="P72" t="str">
        <x:f>IF(Match_Data!J72="","",IF(Match_Data!J72="OVER",1,0))</x:f>
      </x:c>
    </x:row>
    <x:row r="73">
      <x:c r="A73" t="n">
        <x:f>Match_Data!A73</x:f>
        <x:v>0</x:v>
      </x:c>
      <x:c r="B73" s="28" t="n">
        <x:f>Match_Data!B73</x:f>
        <x:v>0</x:v>
      </x:c>
      <x:c r="C73" t="n">
        <x:f>Match_Data!C73</x:f>
        <x:v>0</x:v>
      </x:c>
      <x:c r="D73" t="n">
        <x:f>Match_Data!E73</x:f>
        <x:v>0</x:v>
      </x:c>
      <x:c r="E73" t="n">
        <x:f>Match_Data!F73</x:f>
        <x:v>0</x:v>
      </x:c>
      <x:c r="F73" t="n">
        <x:f>Match_Data!AC73</x:f>
        <x:v>0</x:v>
      </x:c>
      <x:c r="G73" t="str">
        <x:f>IF(OR(Match_Data!K73="",Match_Data!L73=""),"",AVERAGE(Match_Data!K73:L73))</x:f>
      </x:c>
      <x:c r="H73" t="str">
        <x:f>IF(OR(Match_Data!M73="",Match_Data!N73=""),"",AVERAGE(Match_Data!M73:N73))</x:f>
      </x:c>
      <x:c r="I73" t="str">
        <x:f>IF(OR(Match_Data!O73="",Match_Data!Q73=""),"",Match_Data!O73+Match_Data!Q73)</x:f>
      </x:c>
      <x:c r="J73" t="str">
        <x:f>IF(OR(Match_Data!P73="",Match_Data!R73=""),"",Match_Data!P73+Match_Data!R73)</x:f>
      </x:c>
      <x:c r="K73" t="str">
        <x:f>IF(OR(Match_Data!S73="",Match_Data!T73=""),"",Match_Data!S73+Match_Data!T73)</x:f>
      </x:c>
      <x:c r="L73" t="str">
        <x:f>IF(OR(Match_Data!U73="",Match_Data!V73=""),"",Match_Data!U73-Match_Data!V73)</x:f>
      </x:c>
      <x:c r="M73" s="32" t="str">
        <x:f>IF(Match_Data!Y73="","",1/Match_Data!Y73)</x:f>
      </x:c>
      <x:c r="N73" s="32" t="str">
        <x:f>IF(Match_Data!AA73="","",1/Match_Data!AA73)</x:f>
      </x:c>
      <x:c r="O73" s="32" t="str">
        <x:f>IF(OR(M73="",N73=""),"",N73-M73)</x:f>
      </x:c>
      <x:c r="P73" t="str">
        <x:f>IF(Match_Data!J73="","",IF(Match_Data!J73="OVER",1,0))</x:f>
      </x:c>
    </x:row>
    <x:row r="74">
      <x:c r="A74" t="n">
        <x:f>Match_Data!A74</x:f>
        <x:v>0</x:v>
      </x:c>
      <x:c r="B74" s="28" t="n">
        <x:f>Match_Data!B74</x:f>
        <x:v>0</x:v>
      </x:c>
      <x:c r="C74" t="n">
        <x:f>Match_Data!C74</x:f>
        <x:v>0</x:v>
      </x:c>
      <x:c r="D74" t="n">
        <x:f>Match_Data!E74</x:f>
        <x:v>0</x:v>
      </x:c>
      <x:c r="E74" t="n">
        <x:f>Match_Data!F74</x:f>
        <x:v>0</x:v>
      </x:c>
      <x:c r="F74" t="n">
        <x:f>Match_Data!AC74</x:f>
        <x:v>0</x:v>
      </x:c>
      <x:c r="G74" t="str">
        <x:f>IF(OR(Match_Data!K74="",Match_Data!L74=""),"",AVERAGE(Match_Data!K74:L74))</x:f>
      </x:c>
      <x:c r="H74" t="str">
        <x:f>IF(OR(Match_Data!M74="",Match_Data!N74=""),"",AVERAGE(Match_Data!M74:N74))</x:f>
      </x:c>
      <x:c r="I74" t="str">
        <x:f>IF(OR(Match_Data!O74="",Match_Data!Q74=""),"",Match_Data!O74+Match_Data!Q74)</x:f>
      </x:c>
      <x:c r="J74" t="str">
        <x:f>IF(OR(Match_Data!P74="",Match_Data!R74=""),"",Match_Data!P74+Match_Data!R74)</x:f>
      </x:c>
      <x:c r="K74" t="str">
        <x:f>IF(OR(Match_Data!S74="",Match_Data!T74=""),"",Match_Data!S74+Match_Data!T74)</x:f>
      </x:c>
      <x:c r="L74" t="str">
        <x:f>IF(OR(Match_Data!U74="",Match_Data!V74=""),"",Match_Data!U74-Match_Data!V74)</x:f>
      </x:c>
      <x:c r="M74" s="32" t="str">
        <x:f>IF(Match_Data!Y74="","",1/Match_Data!Y74)</x:f>
      </x:c>
      <x:c r="N74" s="32" t="str">
        <x:f>IF(Match_Data!AA74="","",1/Match_Data!AA74)</x:f>
      </x:c>
      <x:c r="O74" s="32" t="str">
        <x:f>IF(OR(M74="",N74=""),"",N74-M74)</x:f>
      </x:c>
      <x:c r="P74" t="str">
        <x:f>IF(Match_Data!J74="","",IF(Match_Data!J74="OVER",1,0))</x:f>
      </x:c>
    </x:row>
    <x:row r="75">
      <x:c r="A75" t="n">
        <x:f>Match_Data!A75</x:f>
        <x:v>0</x:v>
      </x:c>
      <x:c r="B75" s="28" t="n">
        <x:f>Match_Data!B75</x:f>
        <x:v>0</x:v>
      </x:c>
      <x:c r="C75" t="n">
        <x:f>Match_Data!C75</x:f>
        <x:v>0</x:v>
      </x:c>
      <x:c r="D75" t="n">
        <x:f>Match_Data!E75</x:f>
        <x:v>0</x:v>
      </x:c>
      <x:c r="E75" t="n">
        <x:f>Match_Data!F75</x:f>
        <x:v>0</x:v>
      </x:c>
      <x:c r="F75" t="n">
        <x:f>Match_Data!AC75</x:f>
        <x:v>0</x:v>
      </x:c>
      <x:c r="G75" t="str">
        <x:f>IF(OR(Match_Data!K75="",Match_Data!L75=""),"",AVERAGE(Match_Data!K75:L75))</x:f>
      </x:c>
      <x:c r="H75" t="str">
        <x:f>IF(OR(Match_Data!M75="",Match_Data!N75=""),"",AVERAGE(Match_Data!M75:N75))</x:f>
      </x:c>
      <x:c r="I75" t="str">
        <x:f>IF(OR(Match_Data!O75="",Match_Data!Q75=""),"",Match_Data!O75+Match_Data!Q75)</x:f>
      </x:c>
      <x:c r="J75" t="str">
        <x:f>IF(OR(Match_Data!P75="",Match_Data!R75=""),"",Match_Data!P75+Match_Data!R75)</x:f>
      </x:c>
      <x:c r="K75" t="str">
        <x:f>IF(OR(Match_Data!S75="",Match_Data!T75=""),"",Match_Data!S75+Match_Data!T75)</x:f>
      </x:c>
      <x:c r="L75" t="str">
        <x:f>IF(OR(Match_Data!U75="",Match_Data!V75=""),"",Match_Data!U75-Match_Data!V75)</x:f>
      </x:c>
      <x:c r="M75" s="32" t="str">
        <x:f>IF(Match_Data!Y75="","",1/Match_Data!Y75)</x:f>
      </x:c>
      <x:c r="N75" s="32" t="str">
        <x:f>IF(Match_Data!AA75="","",1/Match_Data!AA75)</x:f>
      </x:c>
      <x:c r="O75" s="32" t="str">
        <x:f>IF(OR(M75="",N75=""),"",N75-M75)</x:f>
      </x:c>
      <x:c r="P75" t="str">
        <x:f>IF(Match_Data!J75="","",IF(Match_Data!J75="OVER",1,0))</x:f>
      </x:c>
    </x:row>
    <x:row r="76">
      <x:c r="A76" t="n">
        <x:f>Match_Data!A76</x:f>
        <x:v>0</x:v>
      </x:c>
      <x:c r="B76" s="28" t="n">
        <x:f>Match_Data!B76</x:f>
        <x:v>0</x:v>
      </x:c>
      <x:c r="C76" t="n">
        <x:f>Match_Data!C76</x:f>
        <x:v>0</x:v>
      </x:c>
      <x:c r="D76" t="n">
        <x:f>Match_Data!E76</x:f>
        <x:v>0</x:v>
      </x:c>
      <x:c r="E76" t="n">
        <x:f>Match_Data!F76</x:f>
        <x:v>0</x:v>
      </x:c>
      <x:c r="F76" t="n">
        <x:f>Match_Data!AC76</x:f>
        <x:v>0</x:v>
      </x:c>
      <x:c r="G76" t="str">
        <x:f>IF(OR(Match_Data!K76="",Match_Data!L76=""),"",AVERAGE(Match_Data!K76:L76))</x:f>
      </x:c>
      <x:c r="H76" t="str">
        <x:f>IF(OR(Match_Data!M76="",Match_Data!N76=""),"",AVERAGE(Match_Data!M76:N76))</x:f>
      </x:c>
      <x:c r="I76" t="str">
        <x:f>IF(OR(Match_Data!O76="",Match_Data!Q76=""),"",Match_Data!O76+Match_Data!Q76)</x:f>
      </x:c>
      <x:c r="J76" t="str">
        <x:f>IF(OR(Match_Data!P76="",Match_Data!R76=""),"",Match_Data!P76+Match_Data!R76)</x:f>
      </x:c>
      <x:c r="K76" t="str">
        <x:f>IF(OR(Match_Data!S76="",Match_Data!T76=""),"",Match_Data!S76+Match_Data!T76)</x:f>
      </x:c>
      <x:c r="L76" t="str">
        <x:f>IF(OR(Match_Data!U76="",Match_Data!V76=""),"",Match_Data!U76-Match_Data!V76)</x:f>
      </x:c>
      <x:c r="M76" s="32" t="str">
        <x:f>IF(Match_Data!Y76="","",1/Match_Data!Y76)</x:f>
      </x:c>
      <x:c r="N76" s="32" t="str">
        <x:f>IF(Match_Data!AA76="","",1/Match_Data!AA76)</x:f>
      </x:c>
      <x:c r="O76" s="32" t="str">
        <x:f>IF(OR(M76="",N76=""),"",N76-M76)</x:f>
      </x:c>
      <x:c r="P76" t="str">
        <x:f>IF(Match_Data!J76="","",IF(Match_Data!J76="OVER",1,0))</x:f>
      </x:c>
    </x:row>
    <x:row r="77">
      <x:c r="A77" t="n">
        <x:f>Match_Data!A77</x:f>
        <x:v>0</x:v>
      </x:c>
      <x:c r="B77" s="28" t="n">
        <x:f>Match_Data!B77</x:f>
        <x:v>0</x:v>
      </x:c>
      <x:c r="C77" t="n">
        <x:f>Match_Data!C77</x:f>
        <x:v>0</x:v>
      </x:c>
      <x:c r="D77" t="n">
        <x:f>Match_Data!E77</x:f>
        <x:v>0</x:v>
      </x:c>
      <x:c r="E77" t="n">
        <x:f>Match_Data!F77</x:f>
        <x:v>0</x:v>
      </x:c>
      <x:c r="F77" t="n">
        <x:f>Match_Data!AC77</x:f>
        <x:v>0</x:v>
      </x:c>
      <x:c r="G77" t="str">
        <x:f>IF(OR(Match_Data!K77="",Match_Data!L77=""),"",AVERAGE(Match_Data!K77:L77))</x:f>
      </x:c>
      <x:c r="H77" t="str">
        <x:f>IF(OR(Match_Data!M77="",Match_Data!N77=""),"",AVERAGE(Match_Data!M77:N77))</x:f>
      </x:c>
      <x:c r="I77" t="str">
        <x:f>IF(OR(Match_Data!O77="",Match_Data!Q77=""),"",Match_Data!O77+Match_Data!Q77)</x:f>
      </x:c>
      <x:c r="J77" t="str">
        <x:f>IF(OR(Match_Data!P77="",Match_Data!R77=""),"",Match_Data!P77+Match_Data!R77)</x:f>
      </x:c>
      <x:c r="K77" t="str">
        <x:f>IF(OR(Match_Data!S77="",Match_Data!T77=""),"",Match_Data!S77+Match_Data!T77)</x:f>
      </x:c>
      <x:c r="L77" t="str">
        <x:f>IF(OR(Match_Data!U77="",Match_Data!V77=""),"",Match_Data!U77-Match_Data!V77)</x:f>
      </x:c>
      <x:c r="M77" s="32" t="str">
        <x:f>IF(Match_Data!Y77="","",1/Match_Data!Y77)</x:f>
      </x:c>
      <x:c r="N77" s="32" t="str">
        <x:f>IF(Match_Data!AA77="","",1/Match_Data!AA77)</x:f>
      </x:c>
      <x:c r="O77" s="32" t="str">
        <x:f>IF(OR(M77="",N77=""),"",N77-M77)</x:f>
      </x:c>
      <x:c r="P77" t="str">
        <x:f>IF(Match_Data!J77="","",IF(Match_Data!J77="OVER",1,0))</x:f>
      </x:c>
    </x:row>
    <x:row r="78">
      <x:c r="A78" t="n">
        <x:f>Match_Data!A78</x:f>
        <x:v>0</x:v>
      </x:c>
      <x:c r="B78" s="28" t="n">
        <x:f>Match_Data!B78</x:f>
        <x:v>0</x:v>
      </x:c>
      <x:c r="C78" t="n">
        <x:f>Match_Data!C78</x:f>
        <x:v>0</x:v>
      </x:c>
      <x:c r="D78" t="n">
        <x:f>Match_Data!E78</x:f>
        <x:v>0</x:v>
      </x:c>
      <x:c r="E78" t="n">
        <x:f>Match_Data!F78</x:f>
        <x:v>0</x:v>
      </x:c>
      <x:c r="F78" t="n">
        <x:f>Match_Data!AC78</x:f>
        <x:v>0</x:v>
      </x:c>
      <x:c r="G78" t="str">
        <x:f>IF(OR(Match_Data!K78="",Match_Data!L78=""),"",AVERAGE(Match_Data!K78:L78))</x:f>
      </x:c>
      <x:c r="H78" t="str">
        <x:f>IF(OR(Match_Data!M78="",Match_Data!N78=""),"",AVERAGE(Match_Data!M78:N78))</x:f>
      </x:c>
      <x:c r="I78" t="str">
        <x:f>IF(OR(Match_Data!O78="",Match_Data!Q78=""),"",Match_Data!O78+Match_Data!Q78)</x:f>
      </x:c>
      <x:c r="J78" t="str">
        <x:f>IF(OR(Match_Data!P78="",Match_Data!R78=""),"",Match_Data!P78+Match_Data!R78)</x:f>
      </x:c>
      <x:c r="K78" t="str">
        <x:f>IF(OR(Match_Data!S78="",Match_Data!T78=""),"",Match_Data!S78+Match_Data!T78)</x:f>
      </x:c>
      <x:c r="L78" t="str">
        <x:f>IF(OR(Match_Data!U78="",Match_Data!V78=""),"",Match_Data!U78-Match_Data!V78)</x:f>
      </x:c>
      <x:c r="M78" s="32" t="str">
        <x:f>IF(Match_Data!Y78="","",1/Match_Data!Y78)</x:f>
      </x:c>
      <x:c r="N78" s="32" t="str">
        <x:f>IF(Match_Data!AA78="","",1/Match_Data!AA78)</x:f>
      </x:c>
      <x:c r="O78" s="32" t="str">
        <x:f>IF(OR(M78="",N78=""),"",N78-M78)</x:f>
      </x:c>
      <x:c r="P78" t="str">
        <x:f>IF(Match_Data!J78="","",IF(Match_Data!J78="OVER",1,0))</x:f>
      </x:c>
    </x:row>
    <x:row r="79">
      <x:c r="A79" t="n">
        <x:f>Match_Data!A79</x:f>
        <x:v>0</x:v>
      </x:c>
      <x:c r="B79" s="28" t="n">
        <x:f>Match_Data!B79</x:f>
        <x:v>0</x:v>
      </x:c>
      <x:c r="C79" t="n">
        <x:f>Match_Data!C79</x:f>
        <x:v>0</x:v>
      </x:c>
      <x:c r="D79" t="n">
        <x:f>Match_Data!E79</x:f>
        <x:v>0</x:v>
      </x:c>
      <x:c r="E79" t="n">
        <x:f>Match_Data!F79</x:f>
        <x:v>0</x:v>
      </x:c>
      <x:c r="F79" t="n">
        <x:f>Match_Data!AC79</x:f>
        <x:v>0</x:v>
      </x:c>
      <x:c r="G79" t="str">
        <x:f>IF(OR(Match_Data!K79="",Match_Data!L79=""),"",AVERAGE(Match_Data!K79:L79))</x:f>
      </x:c>
      <x:c r="H79" t="str">
        <x:f>IF(OR(Match_Data!M79="",Match_Data!N79=""),"",AVERAGE(Match_Data!M79:N79))</x:f>
      </x:c>
      <x:c r="I79" t="str">
        <x:f>IF(OR(Match_Data!O79="",Match_Data!Q79=""),"",Match_Data!O79+Match_Data!Q79)</x:f>
      </x:c>
      <x:c r="J79" t="str">
        <x:f>IF(OR(Match_Data!P79="",Match_Data!R79=""),"",Match_Data!P79+Match_Data!R79)</x:f>
      </x:c>
      <x:c r="K79" t="str">
        <x:f>IF(OR(Match_Data!S79="",Match_Data!T79=""),"",Match_Data!S79+Match_Data!T79)</x:f>
      </x:c>
      <x:c r="L79" t="str">
        <x:f>IF(OR(Match_Data!U79="",Match_Data!V79=""),"",Match_Data!U79-Match_Data!V79)</x:f>
      </x:c>
      <x:c r="M79" s="32" t="str">
        <x:f>IF(Match_Data!Y79="","",1/Match_Data!Y79)</x:f>
      </x:c>
      <x:c r="N79" s="32" t="str">
        <x:f>IF(Match_Data!AA79="","",1/Match_Data!AA79)</x:f>
      </x:c>
      <x:c r="O79" s="32" t="str">
        <x:f>IF(OR(M79="",N79=""),"",N79-M79)</x:f>
      </x:c>
      <x:c r="P79" t="str">
        <x:f>IF(Match_Data!J79="","",IF(Match_Data!J79="OVER",1,0))</x:f>
      </x:c>
    </x:row>
    <x:row r="80">
      <x:c r="A80" t="n">
        <x:f>Match_Data!A80</x:f>
        <x:v>0</x:v>
      </x:c>
      <x:c r="B80" s="28" t="n">
        <x:f>Match_Data!B80</x:f>
        <x:v>0</x:v>
      </x:c>
      <x:c r="C80" t="n">
        <x:f>Match_Data!C80</x:f>
        <x:v>0</x:v>
      </x:c>
      <x:c r="D80" t="n">
        <x:f>Match_Data!E80</x:f>
        <x:v>0</x:v>
      </x:c>
      <x:c r="E80" t="n">
        <x:f>Match_Data!F80</x:f>
        <x:v>0</x:v>
      </x:c>
      <x:c r="F80" t="n">
        <x:f>Match_Data!AC80</x:f>
        <x:v>0</x:v>
      </x:c>
      <x:c r="G80" t="str">
        <x:f>IF(OR(Match_Data!K80="",Match_Data!L80=""),"",AVERAGE(Match_Data!K80:L80))</x:f>
      </x:c>
      <x:c r="H80" t="str">
        <x:f>IF(OR(Match_Data!M80="",Match_Data!N80=""),"",AVERAGE(Match_Data!M80:N80))</x:f>
      </x:c>
      <x:c r="I80" t="str">
        <x:f>IF(OR(Match_Data!O80="",Match_Data!Q80=""),"",Match_Data!O80+Match_Data!Q80)</x:f>
      </x:c>
      <x:c r="J80" t="str">
        <x:f>IF(OR(Match_Data!P80="",Match_Data!R80=""),"",Match_Data!P80+Match_Data!R80)</x:f>
      </x:c>
      <x:c r="K80" t="str">
        <x:f>IF(OR(Match_Data!S80="",Match_Data!T80=""),"",Match_Data!S80+Match_Data!T80)</x:f>
      </x:c>
      <x:c r="L80" t="str">
        <x:f>IF(OR(Match_Data!U80="",Match_Data!V80=""),"",Match_Data!U80-Match_Data!V80)</x:f>
      </x:c>
      <x:c r="M80" s="32" t="str">
        <x:f>IF(Match_Data!Y80="","",1/Match_Data!Y80)</x:f>
      </x:c>
      <x:c r="N80" s="32" t="str">
        <x:f>IF(Match_Data!AA80="","",1/Match_Data!AA80)</x:f>
      </x:c>
      <x:c r="O80" s="32" t="str">
        <x:f>IF(OR(M80="",N80=""),"",N80-M80)</x:f>
      </x:c>
      <x:c r="P80" t="str">
        <x:f>IF(Match_Data!J80="","",IF(Match_Data!J80="OVER",1,0))</x:f>
      </x:c>
    </x:row>
    <x:row r="81">
      <x:c r="A81" t="n">
        <x:f>Match_Data!A81</x:f>
        <x:v>0</x:v>
      </x:c>
      <x:c r="B81" s="28" t="n">
        <x:f>Match_Data!B81</x:f>
        <x:v>0</x:v>
      </x:c>
      <x:c r="C81" t="n">
        <x:f>Match_Data!C81</x:f>
        <x:v>0</x:v>
      </x:c>
      <x:c r="D81" t="n">
        <x:f>Match_Data!E81</x:f>
        <x:v>0</x:v>
      </x:c>
      <x:c r="E81" t="n">
        <x:f>Match_Data!F81</x:f>
        <x:v>0</x:v>
      </x:c>
      <x:c r="F81" t="n">
        <x:f>Match_Data!AC81</x:f>
        <x:v>0</x:v>
      </x:c>
      <x:c r="G81" t="str">
        <x:f>IF(OR(Match_Data!K81="",Match_Data!L81=""),"",AVERAGE(Match_Data!K81:L81))</x:f>
      </x:c>
      <x:c r="H81" t="str">
        <x:f>IF(OR(Match_Data!M81="",Match_Data!N81=""),"",AVERAGE(Match_Data!M81:N81))</x:f>
      </x:c>
      <x:c r="I81" t="str">
        <x:f>IF(OR(Match_Data!O81="",Match_Data!Q81=""),"",Match_Data!O81+Match_Data!Q81)</x:f>
      </x:c>
      <x:c r="J81" t="str">
        <x:f>IF(OR(Match_Data!P81="",Match_Data!R81=""),"",Match_Data!P81+Match_Data!R81)</x:f>
      </x:c>
      <x:c r="K81" t="str">
        <x:f>IF(OR(Match_Data!S81="",Match_Data!T81=""),"",Match_Data!S81+Match_Data!T81)</x:f>
      </x:c>
      <x:c r="L81" t="str">
        <x:f>IF(OR(Match_Data!U81="",Match_Data!V81=""),"",Match_Data!U81-Match_Data!V81)</x:f>
      </x:c>
      <x:c r="M81" s="32" t="str">
        <x:f>IF(Match_Data!Y81="","",1/Match_Data!Y81)</x:f>
      </x:c>
      <x:c r="N81" s="32" t="str">
        <x:f>IF(Match_Data!AA81="","",1/Match_Data!AA81)</x:f>
      </x:c>
      <x:c r="O81" s="32" t="str">
        <x:f>IF(OR(M81="",N81=""),"",N81-M81)</x:f>
      </x:c>
      <x:c r="P81" t="str">
        <x:f>IF(Match_Data!J81="","",IF(Match_Data!J81="OVER",1,0))</x:f>
      </x:c>
    </x:row>
    <x:row r="82">
      <x:c r="A82" t="n">
        <x:f>Match_Data!A82</x:f>
        <x:v>0</x:v>
      </x:c>
      <x:c r="B82" s="28" t="n">
        <x:f>Match_Data!B82</x:f>
        <x:v>0</x:v>
      </x:c>
      <x:c r="C82" t="n">
        <x:f>Match_Data!C82</x:f>
        <x:v>0</x:v>
      </x:c>
      <x:c r="D82" t="n">
        <x:f>Match_Data!E82</x:f>
        <x:v>0</x:v>
      </x:c>
      <x:c r="E82" t="n">
        <x:f>Match_Data!F82</x:f>
        <x:v>0</x:v>
      </x:c>
      <x:c r="F82" t="n">
        <x:f>Match_Data!AC82</x:f>
        <x:v>0</x:v>
      </x:c>
      <x:c r="G82" t="str">
        <x:f>IF(OR(Match_Data!K82="",Match_Data!L82=""),"",AVERAGE(Match_Data!K82:L82))</x:f>
      </x:c>
      <x:c r="H82" t="str">
        <x:f>IF(OR(Match_Data!M82="",Match_Data!N82=""),"",AVERAGE(Match_Data!M82:N82))</x:f>
      </x:c>
      <x:c r="I82" t="str">
        <x:f>IF(OR(Match_Data!O82="",Match_Data!Q82=""),"",Match_Data!O82+Match_Data!Q82)</x:f>
      </x:c>
      <x:c r="J82" t="str">
        <x:f>IF(OR(Match_Data!P82="",Match_Data!R82=""),"",Match_Data!P82+Match_Data!R82)</x:f>
      </x:c>
      <x:c r="K82" t="str">
        <x:f>IF(OR(Match_Data!S82="",Match_Data!T82=""),"",Match_Data!S82+Match_Data!T82)</x:f>
      </x:c>
      <x:c r="L82" t="str">
        <x:f>IF(OR(Match_Data!U82="",Match_Data!V82=""),"",Match_Data!U82-Match_Data!V82)</x:f>
      </x:c>
      <x:c r="M82" s="32" t="str">
        <x:f>IF(Match_Data!Y82="","",1/Match_Data!Y82)</x:f>
      </x:c>
      <x:c r="N82" s="32" t="str">
        <x:f>IF(Match_Data!AA82="","",1/Match_Data!AA82)</x:f>
      </x:c>
      <x:c r="O82" s="32" t="str">
        <x:f>IF(OR(M82="",N82=""),"",N82-M82)</x:f>
      </x:c>
      <x:c r="P82" t="str">
        <x:f>IF(Match_Data!J82="","",IF(Match_Data!J82="OVER",1,0))</x:f>
      </x:c>
    </x:row>
    <x:row r="83">
      <x:c r="A83" t="n">
        <x:f>Match_Data!A83</x:f>
        <x:v>0</x:v>
      </x:c>
      <x:c r="B83" s="28" t="n">
        <x:f>Match_Data!B83</x:f>
        <x:v>0</x:v>
      </x:c>
      <x:c r="C83" t="n">
        <x:f>Match_Data!C83</x:f>
        <x:v>0</x:v>
      </x:c>
      <x:c r="D83" t="n">
        <x:f>Match_Data!E83</x:f>
        <x:v>0</x:v>
      </x:c>
      <x:c r="E83" t="n">
        <x:f>Match_Data!F83</x:f>
        <x:v>0</x:v>
      </x:c>
      <x:c r="F83" t="n">
        <x:f>Match_Data!AC83</x:f>
        <x:v>0</x:v>
      </x:c>
      <x:c r="G83" t="str">
        <x:f>IF(OR(Match_Data!K83="",Match_Data!L83=""),"",AVERAGE(Match_Data!K83:L83))</x:f>
      </x:c>
      <x:c r="H83" t="str">
        <x:f>IF(OR(Match_Data!M83="",Match_Data!N83=""),"",AVERAGE(Match_Data!M83:N83))</x:f>
      </x:c>
      <x:c r="I83" t="str">
        <x:f>IF(OR(Match_Data!O83="",Match_Data!Q83=""),"",Match_Data!O83+Match_Data!Q83)</x:f>
      </x:c>
      <x:c r="J83" t="str">
        <x:f>IF(OR(Match_Data!P83="",Match_Data!R83=""),"",Match_Data!P83+Match_Data!R83)</x:f>
      </x:c>
      <x:c r="K83" t="str">
        <x:f>IF(OR(Match_Data!S83="",Match_Data!T83=""),"",Match_Data!S83+Match_Data!T83)</x:f>
      </x:c>
      <x:c r="L83" t="str">
        <x:f>IF(OR(Match_Data!U83="",Match_Data!V83=""),"",Match_Data!U83-Match_Data!V83)</x:f>
      </x:c>
      <x:c r="M83" s="32" t="str">
        <x:f>IF(Match_Data!Y83="","",1/Match_Data!Y83)</x:f>
      </x:c>
      <x:c r="N83" s="32" t="str">
        <x:f>IF(Match_Data!AA83="","",1/Match_Data!AA83)</x:f>
      </x:c>
      <x:c r="O83" s="32" t="str">
        <x:f>IF(OR(M83="",N83=""),"",N83-M83)</x:f>
      </x:c>
      <x:c r="P83" t="str">
        <x:f>IF(Match_Data!J83="","",IF(Match_Data!J83="OVER",1,0))</x:f>
      </x:c>
    </x:row>
    <x:row r="84">
      <x:c r="A84" t="n">
        <x:f>Match_Data!A84</x:f>
        <x:v>0</x:v>
      </x:c>
      <x:c r="B84" s="28" t="n">
        <x:f>Match_Data!B84</x:f>
        <x:v>0</x:v>
      </x:c>
      <x:c r="C84" t="n">
        <x:f>Match_Data!C84</x:f>
        <x:v>0</x:v>
      </x:c>
      <x:c r="D84" t="n">
        <x:f>Match_Data!E84</x:f>
        <x:v>0</x:v>
      </x:c>
      <x:c r="E84" t="n">
        <x:f>Match_Data!F84</x:f>
        <x:v>0</x:v>
      </x:c>
      <x:c r="F84" t="n">
        <x:f>Match_Data!AC84</x:f>
        <x:v>0</x:v>
      </x:c>
      <x:c r="G84" t="str">
        <x:f>IF(OR(Match_Data!K84="",Match_Data!L84=""),"",AVERAGE(Match_Data!K84:L84))</x:f>
      </x:c>
      <x:c r="H84" t="str">
        <x:f>IF(OR(Match_Data!M84="",Match_Data!N84=""),"",AVERAGE(Match_Data!M84:N84))</x:f>
      </x:c>
      <x:c r="I84" t="str">
        <x:f>IF(OR(Match_Data!O84="",Match_Data!Q84=""),"",Match_Data!O84+Match_Data!Q84)</x:f>
      </x:c>
      <x:c r="J84" t="str">
        <x:f>IF(OR(Match_Data!P84="",Match_Data!R84=""),"",Match_Data!P84+Match_Data!R84)</x:f>
      </x:c>
      <x:c r="K84" t="str">
        <x:f>IF(OR(Match_Data!S84="",Match_Data!T84=""),"",Match_Data!S84+Match_Data!T84)</x:f>
      </x:c>
      <x:c r="L84" t="str">
        <x:f>IF(OR(Match_Data!U84="",Match_Data!V84=""),"",Match_Data!U84-Match_Data!V84)</x:f>
      </x:c>
      <x:c r="M84" s="32" t="str">
        <x:f>IF(Match_Data!Y84="","",1/Match_Data!Y84)</x:f>
      </x:c>
      <x:c r="N84" s="32" t="str">
        <x:f>IF(Match_Data!AA84="","",1/Match_Data!AA84)</x:f>
      </x:c>
      <x:c r="O84" s="32" t="str">
        <x:f>IF(OR(M84="",N84=""),"",N84-M84)</x:f>
      </x:c>
      <x:c r="P84" t="str">
        <x:f>IF(Match_Data!J84="","",IF(Match_Data!J84="OVER",1,0))</x:f>
      </x:c>
    </x:row>
    <x:row r="85">
      <x:c r="A85" t="n">
        <x:f>Match_Data!A85</x:f>
        <x:v>0</x:v>
      </x:c>
      <x:c r="B85" s="28" t="n">
        <x:f>Match_Data!B85</x:f>
        <x:v>0</x:v>
      </x:c>
      <x:c r="C85" t="n">
        <x:f>Match_Data!C85</x:f>
        <x:v>0</x:v>
      </x:c>
      <x:c r="D85" t="n">
        <x:f>Match_Data!E85</x:f>
        <x:v>0</x:v>
      </x:c>
      <x:c r="E85" t="n">
        <x:f>Match_Data!F85</x:f>
        <x:v>0</x:v>
      </x:c>
      <x:c r="F85" t="n">
        <x:f>Match_Data!AC85</x:f>
        <x:v>0</x:v>
      </x:c>
      <x:c r="G85" t="str">
        <x:f>IF(OR(Match_Data!K85="",Match_Data!L85=""),"",AVERAGE(Match_Data!K85:L85))</x:f>
      </x:c>
      <x:c r="H85" t="str">
        <x:f>IF(OR(Match_Data!M85="",Match_Data!N85=""),"",AVERAGE(Match_Data!M85:N85))</x:f>
      </x:c>
      <x:c r="I85" t="str">
        <x:f>IF(OR(Match_Data!O85="",Match_Data!Q85=""),"",Match_Data!O85+Match_Data!Q85)</x:f>
      </x:c>
      <x:c r="J85" t="str">
        <x:f>IF(OR(Match_Data!P85="",Match_Data!R85=""),"",Match_Data!P85+Match_Data!R85)</x:f>
      </x:c>
      <x:c r="K85" t="str">
        <x:f>IF(OR(Match_Data!S85="",Match_Data!T85=""),"",Match_Data!S85+Match_Data!T85)</x:f>
      </x:c>
      <x:c r="L85" t="str">
        <x:f>IF(OR(Match_Data!U85="",Match_Data!V85=""),"",Match_Data!U85-Match_Data!V85)</x:f>
      </x:c>
      <x:c r="M85" s="32" t="str">
        <x:f>IF(Match_Data!Y85="","",1/Match_Data!Y85)</x:f>
      </x:c>
      <x:c r="N85" s="32" t="str">
        <x:f>IF(Match_Data!AA85="","",1/Match_Data!AA85)</x:f>
      </x:c>
      <x:c r="O85" s="32" t="str">
        <x:f>IF(OR(M85="",N85=""),"",N85-M85)</x:f>
      </x:c>
      <x:c r="P85" t="str">
        <x:f>IF(Match_Data!J85="","",IF(Match_Data!J85="OVER",1,0))</x:f>
      </x:c>
    </x:row>
    <x:row r="86">
      <x:c r="A86" t="n">
        <x:f>Match_Data!A86</x:f>
        <x:v>0</x:v>
      </x:c>
      <x:c r="B86" s="28" t="n">
        <x:f>Match_Data!B86</x:f>
        <x:v>0</x:v>
      </x:c>
      <x:c r="C86" t="n">
        <x:f>Match_Data!C86</x:f>
        <x:v>0</x:v>
      </x:c>
      <x:c r="D86" t="n">
        <x:f>Match_Data!E86</x:f>
        <x:v>0</x:v>
      </x:c>
      <x:c r="E86" t="n">
        <x:f>Match_Data!F86</x:f>
        <x:v>0</x:v>
      </x:c>
      <x:c r="F86" t="n">
        <x:f>Match_Data!AC86</x:f>
        <x:v>0</x:v>
      </x:c>
      <x:c r="G86" t="str">
        <x:f>IF(OR(Match_Data!K86="",Match_Data!L86=""),"",AVERAGE(Match_Data!K86:L86))</x:f>
      </x:c>
      <x:c r="H86" t="str">
        <x:f>IF(OR(Match_Data!M86="",Match_Data!N86=""),"",AVERAGE(Match_Data!M86:N86))</x:f>
      </x:c>
      <x:c r="I86" t="str">
        <x:f>IF(OR(Match_Data!O86="",Match_Data!Q86=""),"",Match_Data!O86+Match_Data!Q86)</x:f>
      </x:c>
      <x:c r="J86" t="str">
        <x:f>IF(OR(Match_Data!P86="",Match_Data!R86=""),"",Match_Data!P86+Match_Data!R86)</x:f>
      </x:c>
      <x:c r="K86" t="str">
        <x:f>IF(OR(Match_Data!S86="",Match_Data!T86=""),"",Match_Data!S86+Match_Data!T86)</x:f>
      </x:c>
      <x:c r="L86" t="str">
        <x:f>IF(OR(Match_Data!U86="",Match_Data!V86=""),"",Match_Data!U86-Match_Data!V86)</x:f>
      </x:c>
      <x:c r="M86" s="32" t="str">
        <x:f>IF(Match_Data!Y86="","",1/Match_Data!Y86)</x:f>
      </x:c>
      <x:c r="N86" s="32" t="str">
        <x:f>IF(Match_Data!AA86="","",1/Match_Data!AA86)</x:f>
      </x:c>
      <x:c r="O86" s="32" t="str">
        <x:f>IF(OR(M86="",N86=""),"",N86-M86)</x:f>
      </x:c>
      <x:c r="P86" t="str">
        <x:f>IF(Match_Data!J86="","",IF(Match_Data!J86="OVER",1,0))</x:f>
      </x:c>
    </x:row>
    <x:row r="87">
      <x:c r="A87" t="n">
        <x:f>Match_Data!A87</x:f>
        <x:v>0</x:v>
      </x:c>
      <x:c r="B87" s="28" t="n">
        <x:f>Match_Data!B87</x:f>
        <x:v>0</x:v>
      </x:c>
      <x:c r="C87" t="n">
        <x:f>Match_Data!C87</x:f>
        <x:v>0</x:v>
      </x:c>
      <x:c r="D87" t="n">
        <x:f>Match_Data!E87</x:f>
        <x:v>0</x:v>
      </x:c>
      <x:c r="E87" t="n">
        <x:f>Match_Data!F87</x:f>
        <x:v>0</x:v>
      </x:c>
      <x:c r="F87" t="n">
        <x:f>Match_Data!AC87</x:f>
        <x:v>0</x:v>
      </x:c>
      <x:c r="G87" t="str">
        <x:f>IF(OR(Match_Data!K87="",Match_Data!L87=""),"",AVERAGE(Match_Data!K87:L87))</x:f>
      </x:c>
      <x:c r="H87" t="str">
        <x:f>IF(OR(Match_Data!M87="",Match_Data!N87=""),"",AVERAGE(Match_Data!M87:N87))</x:f>
      </x:c>
      <x:c r="I87" t="str">
        <x:f>IF(OR(Match_Data!O87="",Match_Data!Q87=""),"",Match_Data!O87+Match_Data!Q87)</x:f>
      </x:c>
      <x:c r="J87" t="str">
        <x:f>IF(OR(Match_Data!P87="",Match_Data!R87=""),"",Match_Data!P87+Match_Data!R87)</x:f>
      </x:c>
      <x:c r="K87" t="str">
        <x:f>IF(OR(Match_Data!S87="",Match_Data!T87=""),"",Match_Data!S87+Match_Data!T87)</x:f>
      </x:c>
      <x:c r="L87" t="str">
        <x:f>IF(OR(Match_Data!U87="",Match_Data!V87=""),"",Match_Data!U87-Match_Data!V87)</x:f>
      </x:c>
      <x:c r="M87" s="32" t="str">
        <x:f>IF(Match_Data!Y87="","",1/Match_Data!Y87)</x:f>
      </x:c>
      <x:c r="N87" s="32" t="str">
        <x:f>IF(Match_Data!AA87="","",1/Match_Data!AA87)</x:f>
      </x:c>
      <x:c r="O87" s="32" t="str">
        <x:f>IF(OR(M87="",N87=""),"",N87-M87)</x:f>
      </x:c>
      <x:c r="P87" t="str">
        <x:f>IF(Match_Data!J87="","",IF(Match_Data!J87="OVER",1,0))</x:f>
      </x:c>
    </x:row>
    <x:row r="88">
      <x:c r="A88" t="n">
        <x:f>Match_Data!A88</x:f>
        <x:v>0</x:v>
      </x:c>
      <x:c r="B88" s="28" t="n">
        <x:f>Match_Data!B88</x:f>
        <x:v>0</x:v>
      </x:c>
      <x:c r="C88" t="n">
        <x:f>Match_Data!C88</x:f>
        <x:v>0</x:v>
      </x:c>
      <x:c r="D88" t="n">
        <x:f>Match_Data!E88</x:f>
        <x:v>0</x:v>
      </x:c>
      <x:c r="E88" t="n">
        <x:f>Match_Data!F88</x:f>
        <x:v>0</x:v>
      </x:c>
      <x:c r="F88" t="n">
        <x:f>Match_Data!AC88</x:f>
        <x:v>0</x:v>
      </x:c>
      <x:c r="G88" t="str">
        <x:f>IF(OR(Match_Data!K88="",Match_Data!L88=""),"",AVERAGE(Match_Data!K88:L88))</x:f>
      </x:c>
      <x:c r="H88" t="str">
        <x:f>IF(OR(Match_Data!M88="",Match_Data!N88=""),"",AVERAGE(Match_Data!M88:N88))</x:f>
      </x:c>
      <x:c r="I88" t="str">
        <x:f>IF(OR(Match_Data!O88="",Match_Data!Q88=""),"",Match_Data!O88+Match_Data!Q88)</x:f>
      </x:c>
      <x:c r="J88" t="str">
        <x:f>IF(OR(Match_Data!P88="",Match_Data!R88=""),"",Match_Data!P88+Match_Data!R88)</x:f>
      </x:c>
      <x:c r="K88" t="str">
        <x:f>IF(OR(Match_Data!S88="",Match_Data!T88=""),"",Match_Data!S88+Match_Data!T88)</x:f>
      </x:c>
      <x:c r="L88" t="str">
        <x:f>IF(OR(Match_Data!U88="",Match_Data!V88=""),"",Match_Data!U88-Match_Data!V88)</x:f>
      </x:c>
      <x:c r="M88" s="32" t="str">
        <x:f>IF(Match_Data!Y88="","",1/Match_Data!Y88)</x:f>
      </x:c>
      <x:c r="N88" s="32" t="str">
        <x:f>IF(Match_Data!AA88="","",1/Match_Data!AA88)</x:f>
      </x:c>
      <x:c r="O88" s="32" t="str">
        <x:f>IF(OR(M88="",N88=""),"",N88-M88)</x:f>
      </x:c>
      <x:c r="P88" t="str">
        <x:f>IF(Match_Data!J88="","",IF(Match_Data!J88="OVER",1,0))</x:f>
      </x:c>
    </x:row>
    <x:row r="89">
      <x:c r="A89" t="n">
        <x:f>Match_Data!A89</x:f>
        <x:v>0</x:v>
      </x:c>
      <x:c r="B89" s="28" t="n">
        <x:f>Match_Data!B89</x:f>
        <x:v>0</x:v>
      </x:c>
      <x:c r="C89" t="n">
        <x:f>Match_Data!C89</x:f>
        <x:v>0</x:v>
      </x:c>
      <x:c r="D89" t="n">
        <x:f>Match_Data!E89</x:f>
        <x:v>0</x:v>
      </x:c>
      <x:c r="E89" t="n">
        <x:f>Match_Data!F89</x:f>
        <x:v>0</x:v>
      </x:c>
      <x:c r="F89" t="n">
        <x:f>Match_Data!AC89</x:f>
        <x:v>0</x:v>
      </x:c>
      <x:c r="G89" t="str">
        <x:f>IF(OR(Match_Data!K89="",Match_Data!L89=""),"",AVERAGE(Match_Data!K89:L89))</x:f>
      </x:c>
      <x:c r="H89" t="str">
        <x:f>IF(OR(Match_Data!M89="",Match_Data!N89=""),"",AVERAGE(Match_Data!M89:N89))</x:f>
      </x:c>
      <x:c r="I89" t="str">
        <x:f>IF(OR(Match_Data!O89="",Match_Data!Q89=""),"",Match_Data!O89+Match_Data!Q89)</x:f>
      </x:c>
      <x:c r="J89" t="str">
        <x:f>IF(OR(Match_Data!P89="",Match_Data!R89=""),"",Match_Data!P89+Match_Data!R89)</x:f>
      </x:c>
      <x:c r="K89" t="str">
        <x:f>IF(OR(Match_Data!S89="",Match_Data!T89=""),"",Match_Data!S89+Match_Data!T89)</x:f>
      </x:c>
      <x:c r="L89" t="str">
        <x:f>IF(OR(Match_Data!U89="",Match_Data!V89=""),"",Match_Data!U89-Match_Data!V89)</x:f>
      </x:c>
      <x:c r="M89" s="32" t="str">
        <x:f>IF(Match_Data!Y89="","",1/Match_Data!Y89)</x:f>
      </x:c>
      <x:c r="N89" s="32" t="str">
        <x:f>IF(Match_Data!AA89="","",1/Match_Data!AA89)</x:f>
      </x:c>
      <x:c r="O89" s="32" t="str">
        <x:f>IF(OR(M89="",N89=""),"",N89-M89)</x:f>
      </x:c>
      <x:c r="P89" t="str">
        <x:f>IF(Match_Data!J89="","",IF(Match_Data!J89="OVER",1,0))</x:f>
      </x:c>
    </x:row>
    <x:row r="90">
      <x:c r="A90" t="n">
        <x:f>Match_Data!A90</x:f>
        <x:v>0</x:v>
      </x:c>
      <x:c r="B90" s="28" t="n">
        <x:f>Match_Data!B90</x:f>
        <x:v>0</x:v>
      </x:c>
      <x:c r="C90" t="n">
        <x:f>Match_Data!C90</x:f>
        <x:v>0</x:v>
      </x:c>
      <x:c r="D90" t="n">
        <x:f>Match_Data!E90</x:f>
        <x:v>0</x:v>
      </x:c>
      <x:c r="E90" t="n">
        <x:f>Match_Data!F90</x:f>
        <x:v>0</x:v>
      </x:c>
      <x:c r="F90" t="n">
        <x:f>Match_Data!AC90</x:f>
        <x:v>0</x:v>
      </x:c>
      <x:c r="G90" t="str">
        <x:f>IF(OR(Match_Data!K90="",Match_Data!L90=""),"",AVERAGE(Match_Data!K90:L90))</x:f>
      </x:c>
      <x:c r="H90" t="str">
        <x:f>IF(OR(Match_Data!M90="",Match_Data!N90=""),"",AVERAGE(Match_Data!M90:N90))</x:f>
      </x:c>
      <x:c r="I90" t="str">
        <x:f>IF(OR(Match_Data!O90="",Match_Data!Q90=""),"",Match_Data!O90+Match_Data!Q90)</x:f>
      </x:c>
      <x:c r="J90" t="str">
        <x:f>IF(OR(Match_Data!P90="",Match_Data!R90=""),"",Match_Data!P90+Match_Data!R90)</x:f>
      </x:c>
      <x:c r="K90" t="str">
        <x:f>IF(OR(Match_Data!S90="",Match_Data!T90=""),"",Match_Data!S90+Match_Data!T90)</x:f>
      </x:c>
      <x:c r="L90" t="str">
        <x:f>IF(OR(Match_Data!U90="",Match_Data!V90=""),"",Match_Data!U90-Match_Data!V90)</x:f>
      </x:c>
      <x:c r="M90" s="32" t="str">
        <x:f>IF(Match_Data!Y90="","",1/Match_Data!Y90)</x:f>
      </x:c>
      <x:c r="N90" s="32" t="str">
        <x:f>IF(Match_Data!AA90="","",1/Match_Data!AA90)</x:f>
      </x:c>
      <x:c r="O90" s="32" t="str">
        <x:f>IF(OR(M90="",N90=""),"",N90-M90)</x:f>
      </x:c>
      <x:c r="P90" t="str">
        <x:f>IF(Match_Data!J90="","",IF(Match_Data!J90="OVER",1,0))</x:f>
      </x:c>
    </x:row>
    <x:row r="91">
      <x:c r="A91" t="n">
        <x:f>Match_Data!A91</x:f>
        <x:v>0</x:v>
      </x:c>
      <x:c r="B91" s="28" t="n">
        <x:f>Match_Data!B91</x:f>
        <x:v>0</x:v>
      </x:c>
      <x:c r="C91" t="n">
        <x:f>Match_Data!C91</x:f>
        <x:v>0</x:v>
      </x:c>
      <x:c r="D91" t="n">
        <x:f>Match_Data!E91</x:f>
        <x:v>0</x:v>
      </x:c>
      <x:c r="E91" t="n">
        <x:f>Match_Data!F91</x:f>
        <x:v>0</x:v>
      </x:c>
      <x:c r="F91" t="n">
        <x:f>Match_Data!AC91</x:f>
        <x:v>0</x:v>
      </x:c>
      <x:c r="G91" t="str">
        <x:f>IF(OR(Match_Data!K91="",Match_Data!L91=""),"",AVERAGE(Match_Data!K91:L91))</x:f>
      </x:c>
      <x:c r="H91" t="str">
        <x:f>IF(OR(Match_Data!M91="",Match_Data!N91=""),"",AVERAGE(Match_Data!M91:N91))</x:f>
      </x:c>
      <x:c r="I91" t="str">
        <x:f>IF(OR(Match_Data!O91="",Match_Data!Q91=""),"",Match_Data!O91+Match_Data!Q91)</x:f>
      </x:c>
      <x:c r="J91" t="str">
        <x:f>IF(OR(Match_Data!P91="",Match_Data!R91=""),"",Match_Data!P91+Match_Data!R91)</x:f>
      </x:c>
      <x:c r="K91" t="str">
        <x:f>IF(OR(Match_Data!S91="",Match_Data!T91=""),"",Match_Data!S91+Match_Data!T91)</x:f>
      </x:c>
      <x:c r="L91" t="str">
        <x:f>IF(OR(Match_Data!U91="",Match_Data!V91=""),"",Match_Data!U91-Match_Data!V91)</x:f>
      </x:c>
      <x:c r="M91" s="32" t="str">
        <x:f>IF(Match_Data!Y91="","",1/Match_Data!Y91)</x:f>
      </x:c>
      <x:c r="N91" s="32" t="str">
        <x:f>IF(Match_Data!AA91="","",1/Match_Data!AA91)</x:f>
      </x:c>
      <x:c r="O91" s="32" t="str">
        <x:f>IF(OR(M91="",N91=""),"",N91-M91)</x:f>
      </x:c>
      <x:c r="P91" t="str">
        <x:f>IF(Match_Data!J91="","",IF(Match_Data!J91="OVER",1,0))</x:f>
      </x:c>
    </x:row>
    <x:row r="92">
      <x:c r="A92" t="n">
        <x:f>Match_Data!A92</x:f>
        <x:v>0</x:v>
      </x:c>
      <x:c r="B92" s="28" t="n">
        <x:f>Match_Data!B92</x:f>
        <x:v>0</x:v>
      </x:c>
      <x:c r="C92" t="n">
        <x:f>Match_Data!C92</x:f>
        <x:v>0</x:v>
      </x:c>
      <x:c r="D92" t="n">
        <x:f>Match_Data!E92</x:f>
        <x:v>0</x:v>
      </x:c>
      <x:c r="E92" t="n">
        <x:f>Match_Data!F92</x:f>
        <x:v>0</x:v>
      </x:c>
      <x:c r="F92" t="n">
        <x:f>Match_Data!AC92</x:f>
        <x:v>0</x:v>
      </x:c>
      <x:c r="G92" t="str">
        <x:f>IF(OR(Match_Data!K92="",Match_Data!L92=""),"",AVERAGE(Match_Data!K92:L92))</x:f>
      </x:c>
      <x:c r="H92" t="str">
        <x:f>IF(OR(Match_Data!M92="",Match_Data!N92=""),"",AVERAGE(Match_Data!M92:N92))</x:f>
      </x:c>
      <x:c r="I92" t="str">
        <x:f>IF(OR(Match_Data!O92="",Match_Data!Q92=""),"",Match_Data!O92+Match_Data!Q92)</x:f>
      </x:c>
      <x:c r="J92" t="str">
        <x:f>IF(OR(Match_Data!P92="",Match_Data!R92=""),"",Match_Data!P92+Match_Data!R92)</x:f>
      </x:c>
      <x:c r="K92" t="str">
        <x:f>IF(OR(Match_Data!S92="",Match_Data!T92=""),"",Match_Data!S92+Match_Data!T92)</x:f>
      </x:c>
      <x:c r="L92" t="str">
        <x:f>IF(OR(Match_Data!U92="",Match_Data!V92=""),"",Match_Data!U92-Match_Data!V92)</x:f>
      </x:c>
      <x:c r="M92" s="32" t="str">
        <x:f>IF(Match_Data!Y92="","",1/Match_Data!Y92)</x:f>
      </x:c>
      <x:c r="N92" s="32" t="str">
        <x:f>IF(Match_Data!AA92="","",1/Match_Data!AA92)</x:f>
      </x:c>
      <x:c r="O92" s="32" t="str">
        <x:f>IF(OR(M92="",N92=""),"",N92-M92)</x:f>
      </x:c>
      <x:c r="P92" t="str">
        <x:f>IF(Match_Data!J92="","",IF(Match_Data!J92="OVER",1,0))</x:f>
      </x:c>
    </x:row>
    <x:row r="93">
      <x:c r="A93" t="n">
        <x:f>Match_Data!A93</x:f>
        <x:v>0</x:v>
      </x:c>
      <x:c r="B93" s="28" t="n">
        <x:f>Match_Data!B93</x:f>
        <x:v>0</x:v>
      </x:c>
      <x:c r="C93" t="n">
        <x:f>Match_Data!C93</x:f>
        <x:v>0</x:v>
      </x:c>
      <x:c r="D93" t="n">
        <x:f>Match_Data!E93</x:f>
        <x:v>0</x:v>
      </x:c>
      <x:c r="E93" t="n">
        <x:f>Match_Data!F93</x:f>
        <x:v>0</x:v>
      </x:c>
      <x:c r="F93" t="n">
        <x:f>Match_Data!AC93</x:f>
        <x:v>0</x:v>
      </x:c>
      <x:c r="G93" t="str">
        <x:f>IF(OR(Match_Data!K93="",Match_Data!L93=""),"",AVERAGE(Match_Data!K93:L93))</x:f>
      </x:c>
      <x:c r="H93" t="str">
        <x:f>IF(OR(Match_Data!M93="",Match_Data!N93=""),"",AVERAGE(Match_Data!M93:N93))</x:f>
      </x:c>
      <x:c r="I93" t="str">
        <x:f>IF(OR(Match_Data!O93="",Match_Data!Q93=""),"",Match_Data!O93+Match_Data!Q93)</x:f>
      </x:c>
      <x:c r="J93" t="str">
        <x:f>IF(OR(Match_Data!P93="",Match_Data!R93=""),"",Match_Data!P93+Match_Data!R93)</x:f>
      </x:c>
      <x:c r="K93" t="str">
        <x:f>IF(OR(Match_Data!S93="",Match_Data!T93=""),"",Match_Data!S93+Match_Data!T93)</x:f>
      </x:c>
      <x:c r="L93" t="str">
        <x:f>IF(OR(Match_Data!U93="",Match_Data!V93=""),"",Match_Data!U93-Match_Data!V93)</x:f>
      </x:c>
      <x:c r="M93" s="32" t="str">
        <x:f>IF(Match_Data!Y93="","",1/Match_Data!Y93)</x:f>
      </x:c>
      <x:c r="N93" s="32" t="str">
        <x:f>IF(Match_Data!AA93="","",1/Match_Data!AA93)</x:f>
      </x:c>
      <x:c r="O93" s="32" t="str">
        <x:f>IF(OR(M93="",N93=""),"",N93-M93)</x:f>
      </x:c>
      <x:c r="P93" t="str">
        <x:f>IF(Match_Data!J93="","",IF(Match_Data!J93="OVER",1,0))</x:f>
      </x:c>
    </x:row>
    <x:row r="94">
      <x:c r="A94" t="n">
        <x:f>Match_Data!A94</x:f>
        <x:v>0</x:v>
      </x:c>
      <x:c r="B94" s="28" t="n">
        <x:f>Match_Data!B94</x:f>
        <x:v>0</x:v>
      </x:c>
      <x:c r="C94" t="n">
        <x:f>Match_Data!C94</x:f>
        <x:v>0</x:v>
      </x:c>
      <x:c r="D94" t="n">
        <x:f>Match_Data!E94</x:f>
        <x:v>0</x:v>
      </x:c>
      <x:c r="E94" t="n">
        <x:f>Match_Data!F94</x:f>
        <x:v>0</x:v>
      </x:c>
      <x:c r="F94" t="n">
        <x:f>Match_Data!AC94</x:f>
        <x:v>0</x:v>
      </x:c>
      <x:c r="G94" t="str">
        <x:f>IF(OR(Match_Data!K94="",Match_Data!L94=""),"",AVERAGE(Match_Data!K94:L94))</x:f>
      </x:c>
      <x:c r="H94" t="str">
        <x:f>IF(OR(Match_Data!M94="",Match_Data!N94=""),"",AVERAGE(Match_Data!M94:N94))</x:f>
      </x:c>
      <x:c r="I94" t="str">
        <x:f>IF(OR(Match_Data!O94="",Match_Data!Q94=""),"",Match_Data!O94+Match_Data!Q94)</x:f>
      </x:c>
      <x:c r="J94" t="str">
        <x:f>IF(OR(Match_Data!P94="",Match_Data!R94=""),"",Match_Data!P94+Match_Data!R94)</x:f>
      </x:c>
      <x:c r="K94" t="str">
        <x:f>IF(OR(Match_Data!S94="",Match_Data!T94=""),"",Match_Data!S94+Match_Data!T94)</x:f>
      </x:c>
      <x:c r="L94" t="str">
        <x:f>IF(OR(Match_Data!U94="",Match_Data!V94=""),"",Match_Data!U94-Match_Data!V94)</x:f>
      </x:c>
      <x:c r="M94" s="32" t="str">
        <x:f>IF(Match_Data!Y94="","",1/Match_Data!Y94)</x:f>
      </x:c>
      <x:c r="N94" s="32" t="str">
        <x:f>IF(Match_Data!AA94="","",1/Match_Data!AA94)</x:f>
      </x:c>
      <x:c r="O94" s="32" t="str">
        <x:f>IF(OR(M94="",N94=""),"",N94-M94)</x:f>
      </x:c>
      <x:c r="P94" t="str">
        <x:f>IF(Match_Data!J94="","",IF(Match_Data!J94="OVER",1,0))</x:f>
      </x:c>
    </x:row>
    <x:row r="95">
      <x:c r="A95" t="n">
        <x:f>Match_Data!A95</x:f>
        <x:v>0</x:v>
      </x:c>
      <x:c r="B95" s="28" t="n">
        <x:f>Match_Data!B95</x:f>
        <x:v>0</x:v>
      </x:c>
      <x:c r="C95" t="n">
        <x:f>Match_Data!C95</x:f>
        <x:v>0</x:v>
      </x:c>
      <x:c r="D95" t="n">
        <x:f>Match_Data!E95</x:f>
        <x:v>0</x:v>
      </x:c>
      <x:c r="E95" t="n">
        <x:f>Match_Data!F95</x:f>
        <x:v>0</x:v>
      </x:c>
      <x:c r="F95" t="n">
        <x:f>Match_Data!AC95</x:f>
        <x:v>0</x:v>
      </x:c>
      <x:c r="G95" t="str">
        <x:f>IF(OR(Match_Data!K95="",Match_Data!L95=""),"",AVERAGE(Match_Data!K95:L95))</x:f>
      </x:c>
      <x:c r="H95" t="str">
        <x:f>IF(OR(Match_Data!M95="",Match_Data!N95=""),"",AVERAGE(Match_Data!M95:N95))</x:f>
      </x:c>
      <x:c r="I95" t="str">
        <x:f>IF(OR(Match_Data!O95="",Match_Data!Q95=""),"",Match_Data!O95+Match_Data!Q95)</x:f>
      </x:c>
      <x:c r="J95" t="str">
        <x:f>IF(OR(Match_Data!P95="",Match_Data!R95=""),"",Match_Data!P95+Match_Data!R95)</x:f>
      </x:c>
      <x:c r="K95" t="str">
        <x:f>IF(OR(Match_Data!S95="",Match_Data!T95=""),"",Match_Data!S95+Match_Data!T95)</x:f>
      </x:c>
      <x:c r="L95" t="str">
        <x:f>IF(OR(Match_Data!U95="",Match_Data!V95=""),"",Match_Data!U95-Match_Data!V95)</x:f>
      </x:c>
      <x:c r="M95" s="32" t="str">
        <x:f>IF(Match_Data!Y95="","",1/Match_Data!Y95)</x:f>
      </x:c>
      <x:c r="N95" s="32" t="str">
        <x:f>IF(Match_Data!AA95="","",1/Match_Data!AA95)</x:f>
      </x:c>
      <x:c r="O95" s="32" t="str">
        <x:f>IF(OR(M95="",N95=""),"",N95-M95)</x:f>
      </x:c>
      <x:c r="P95" t="str">
        <x:f>IF(Match_Data!J95="","",IF(Match_Data!J95="OVER",1,0))</x:f>
      </x:c>
    </x:row>
    <x:row r="96">
      <x:c r="A96" t="n">
        <x:f>Match_Data!A96</x:f>
        <x:v>0</x:v>
      </x:c>
      <x:c r="B96" s="28" t="n">
        <x:f>Match_Data!B96</x:f>
        <x:v>0</x:v>
      </x:c>
      <x:c r="C96" t="n">
        <x:f>Match_Data!C96</x:f>
        <x:v>0</x:v>
      </x:c>
      <x:c r="D96" t="n">
        <x:f>Match_Data!E96</x:f>
        <x:v>0</x:v>
      </x:c>
      <x:c r="E96" t="n">
        <x:f>Match_Data!F96</x:f>
        <x:v>0</x:v>
      </x:c>
      <x:c r="F96" t="n">
        <x:f>Match_Data!AC96</x:f>
        <x:v>0</x:v>
      </x:c>
      <x:c r="G96" t="str">
        <x:f>IF(OR(Match_Data!K96="",Match_Data!L96=""),"",AVERAGE(Match_Data!K96:L96))</x:f>
      </x:c>
      <x:c r="H96" t="str">
        <x:f>IF(OR(Match_Data!M96="",Match_Data!N96=""),"",AVERAGE(Match_Data!M96:N96))</x:f>
      </x:c>
      <x:c r="I96" t="str">
        <x:f>IF(OR(Match_Data!O96="",Match_Data!Q96=""),"",Match_Data!O96+Match_Data!Q96)</x:f>
      </x:c>
      <x:c r="J96" t="str">
        <x:f>IF(OR(Match_Data!P96="",Match_Data!R96=""),"",Match_Data!P96+Match_Data!R96)</x:f>
      </x:c>
      <x:c r="K96" t="str">
        <x:f>IF(OR(Match_Data!S96="",Match_Data!T96=""),"",Match_Data!S96+Match_Data!T96)</x:f>
      </x:c>
      <x:c r="L96" t="str">
        <x:f>IF(OR(Match_Data!U96="",Match_Data!V96=""),"",Match_Data!U96-Match_Data!V96)</x:f>
      </x:c>
      <x:c r="M96" s="32" t="str">
        <x:f>IF(Match_Data!Y96="","",1/Match_Data!Y96)</x:f>
      </x:c>
      <x:c r="N96" s="32" t="str">
        <x:f>IF(Match_Data!AA96="","",1/Match_Data!AA96)</x:f>
      </x:c>
      <x:c r="O96" s="32" t="str">
        <x:f>IF(OR(M96="",N96=""),"",N96-M96)</x:f>
      </x:c>
      <x:c r="P96" t="str">
        <x:f>IF(Match_Data!J96="","",IF(Match_Data!J96="OVER",1,0))</x:f>
      </x:c>
    </x:row>
    <x:row r="97">
      <x:c r="A97" t="n">
        <x:f>Match_Data!A97</x:f>
        <x:v>0</x:v>
      </x:c>
      <x:c r="B97" s="28" t="n">
        <x:f>Match_Data!B97</x:f>
        <x:v>0</x:v>
      </x:c>
      <x:c r="C97" t="n">
        <x:f>Match_Data!C97</x:f>
        <x:v>0</x:v>
      </x:c>
      <x:c r="D97" t="n">
        <x:f>Match_Data!E97</x:f>
        <x:v>0</x:v>
      </x:c>
      <x:c r="E97" t="n">
        <x:f>Match_Data!F97</x:f>
        <x:v>0</x:v>
      </x:c>
      <x:c r="F97" t="n">
        <x:f>Match_Data!AC97</x:f>
        <x:v>0</x:v>
      </x:c>
      <x:c r="G97" t="str">
        <x:f>IF(OR(Match_Data!K97="",Match_Data!L97=""),"",AVERAGE(Match_Data!K97:L97))</x:f>
      </x:c>
      <x:c r="H97" t="str">
        <x:f>IF(OR(Match_Data!M97="",Match_Data!N97=""),"",AVERAGE(Match_Data!M97:N97))</x:f>
      </x:c>
      <x:c r="I97" t="str">
        <x:f>IF(OR(Match_Data!O97="",Match_Data!Q97=""),"",Match_Data!O97+Match_Data!Q97)</x:f>
      </x:c>
      <x:c r="J97" t="str">
        <x:f>IF(OR(Match_Data!P97="",Match_Data!R97=""),"",Match_Data!P97+Match_Data!R97)</x:f>
      </x:c>
      <x:c r="K97" t="str">
        <x:f>IF(OR(Match_Data!S97="",Match_Data!T97=""),"",Match_Data!S97+Match_Data!T97)</x:f>
      </x:c>
      <x:c r="L97" t="str">
        <x:f>IF(OR(Match_Data!U97="",Match_Data!V97=""),"",Match_Data!U97-Match_Data!V97)</x:f>
      </x:c>
      <x:c r="M97" s="32" t="str">
        <x:f>IF(Match_Data!Y97="","",1/Match_Data!Y97)</x:f>
      </x:c>
      <x:c r="N97" s="32" t="str">
        <x:f>IF(Match_Data!AA97="","",1/Match_Data!AA97)</x:f>
      </x:c>
      <x:c r="O97" s="32" t="str">
        <x:f>IF(OR(M97="",N97=""),"",N97-M97)</x:f>
      </x:c>
      <x:c r="P97" t="str">
        <x:f>IF(Match_Data!J97="","",IF(Match_Data!J97="OVER",1,0))</x:f>
      </x:c>
    </x:row>
    <x:row r="98">
      <x:c r="A98" t="n">
        <x:f>Match_Data!A98</x:f>
        <x:v>0</x:v>
      </x:c>
      <x:c r="B98" s="28" t="n">
        <x:f>Match_Data!B98</x:f>
        <x:v>0</x:v>
      </x:c>
      <x:c r="C98" t="n">
        <x:f>Match_Data!C98</x:f>
        <x:v>0</x:v>
      </x:c>
      <x:c r="D98" t="n">
        <x:f>Match_Data!E98</x:f>
        <x:v>0</x:v>
      </x:c>
      <x:c r="E98" t="n">
        <x:f>Match_Data!F98</x:f>
        <x:v>0</x:v>
      </x:c>
      <x:c r="F98" t="n">
        <x:f>Match_Data!AC98</x:f>
        <x:v>0</x:v>
      </x:c>
      <x:c r="G98" t="str">
        <x:f>IF(OR(Match_Data!K98="",Match_Data!L98=""),"",AVERAGE(Match_Data!K98:L98))</x:f>
      </x:c>
      <x:c r="H98" t="str">
        <x:f>IF(OR(Match_Data!M98="",Match_Data!N98=""),"",AVERAGE(Match_Data!M98:N98))</x:f>
      </x:c>
      <x:c r="I98" t="str">
        <x:f>IF(OR(Match_Data!O98="",Match_Data!Q98=""),"",Match_Data!O98+Match_Data!Q98)</x:f>
      </x:c>
      <x:c r="J98" t="str">
        <x:f>IF(OR(Match_Data!P98="",Match_Data!R98=""),"",Match_Data!P98+Match_Data!R98)</x:f>
      </x:c>
      <x:c r="K98" t="str">
        <x:f>IF(OR(Match_Data!S98="",Match_Data!T98=""),"",Match_Data!S98+Match_Data!T98)</x:f>
      </x:c>
      <x:c r="L98" t="str">
        <x:f>IF(OR(Match_Data!U98="",Match_Data!V98=""),"",Match_Data!U98-Match_Data!V98)</x:f>
      </x:c>
      <x:c r="M98" s="32" t="str">
        <x:f>IF(Match_Data!Y98="","",1/Match_Data!Y98)</x:f>
      </x:c>
      <x:c r="N98" s="32" t="str">
        <x:f>IF(Match_Data!AA98="","",1/Match_Data!AA98)</x:f>
      </x:c>
      <x:c r="O98" s="32" t="str">
        <x:f>IF(OR(M98="",N98=""),"",N98-M98)</x:f>
      </x:c>
      <x:c r="P98" t="str">
        <x:f>IF(Match_Data!J98="","",IF(Match_Data!J98="OVER",1,0))</x:f>
      </x:c>
    </x:row>
    <x:row r="99">
      <x:c r="A99" t="n">
        <x:f>Match_Data!A99</x:f>
        <x:v>0</x:v>
      </x:c>
      <x:c r="B99" s="28" t="n">
        <x:f>Match_Data!B99</x:f>
        <x:v>0</x:v>
      </x:c>
      <x:c r="C99" t="n">
        <x:f>Match_Data!C99</x:f>
        <x:v>0</x:v>
      </x:c>
      <x:c r="D99" t="n">
        <x:f>Match_Data!E99</x:f>
        <x:v>0</x:v>
      </x:c>
      <x:c r="E99" t="n">
        <x:f>Match_Data!F99</x:f>
        <x:v>0</x:v>
      </x:c>
      <x:c r="F99" t="n">
        <x:f>Match_Data!AC99</x:f>
        <x:v>0</x:v>
      </x:c>
      <x:c r="G99" t="str">
        <x:f>IF(OR(Match_Data!K99="",Match_Data!L99=""),"",AVERAGE(Match_Data!K99:L99))</x:f>
      </x:c>
      <x:c r="H99" t="str">
        <x:f>IF(OR(Match_Data!M99="",Match_Data!N99=""),"",AVERAGE(Match_Data!M99:N99))</x:f>
      </x:c>
      <x:c r="I99" t="str">
        <x:f>IF(OR(Match_Data!O99="",Match_Data!Q99=""),"",Match_Data!O99+Match_Data!Q99)</x:f>
      </x:c>
      <x:c r="J99" t="str">
        <x:f>IF(OR(Match_Data!P99="",Match_Data!R99=""),"",Match_Data!P99+Match_Data!R99)</x:f>
      </x:c>
      <x:c r="K99" t="str">
        <x:f>IF(OR(Match_Data!S99="",Match_Data!T99=""),"",Match_Data!S99+Match_Data!T99)</x:f>
      </x:c>
      <x:c r="L99" t="str">
        <x:f>IF(OR(Match_Data!U99="",Match_Data!V99=""),"",Match_Data!U99-Match_Data!V99)</x:f>
      </x:c>
      <x:c r="M99" s="32" t="str">
        <x:f>IF(Match_Data!Y99="","",1/Match_Data!Y99)</x:f>
      </x:c>
      <x:c r="N99" s="32" t="str">
        <x:f>IF(Match_Data!AA99="","",1/Match_Data!AA99)</x:f>
      </x:c>
      <x:c r="O99" s="32" t="str">
        <x:f>IF(OR(M99="",N99=""),"",N99-M99)</x:f>
      </x:c>
      <x:c r="P99" t="str">
        <x:f>IF(Match_Data!J99="","",IF(Match_Data!J99="OVER",1,0))</x:f>
      </x:c>
    </x:row>
    <x:row r="100">
      <x:c r="A100" t="n">
        <x:f>Match_Data!A100</x:f>
        <x:v>0</x:v>
      </x:c>
      <x:c r="B100" s="28" t="n">
        <x:f>Match_Data!B100</x:f>
        <x:v>0</x:v>
      </x:c>
      <x:c r="C100" t="n">
        <x:f>Match_Data!C100</x:f>
        <x:v>0</x:v>
      </x:c>
      <x:c r="D100" t="n">
        <x:f>Match_Data!E100</x:f>
        <x:v>0</x:v>
      </x:c>
      <x:c r="E100" t="n">
        <x:f>Match_Data!F100</x:f>
        <x:v>0</x:v>
      </x:c>
      <x:c r="F100" t="n">
        <x:f>Match_Data!AC100</x:f>
        <x:v>0</x:v>
      </x:c>
      <x:c r="G100" t="str">
        <x:f>IF(OR(Match_Data!K100="",Match_Data!L100=""),"",AVERAGE(Match_Data!K100:L100))</x:f>
      </x:c>
      <x:c r="H100" t="str">
        <x:f>IF(OR(Match_Data!M100="",Match_Data!N100=""),"",AVERAGE(Match_Data!M100:N100))</x:f>
      </x:c>
      <x:c r="I100" t="str">
        <x:f>IF(OR(Match_Data!O100="",Match_Data!Q100=""),"",Match_Data!O100+Match_Data!Q100)</x:f>
      </x:c>
      <x:c r="J100" t="str">
        <x:f>IF(OR(Match_Data!P100="",Match_Data!R100=""),"",Match_Data!P100+Match_Data!R100)</x:f>
      </x:c>
      <x:c r="K100" t="str">
        <x:f>IF(OR(Match_Data!S100="",Match_Data!T100=""),"",Match_Data!S100+Match_Data!T100)</x:f>
      </x:c>
      <x:c r="L100" t="str">
        <x:f>IF(OR(Match_Data!U100="",Match_Data!V100=""),"",Match_Data!U100-Match_Data!V100)</x:f>
      </x:c>
      <x:c r="M100" s="32" t="str">
        <x:f>IF(Match_Data!Y100="","",1/Match_Data!Y100)</x:f>
      </x:c>
      <x:c r="N100" s="32" t="str">
        <x:f>IF(Match_Data!AA100="","",1/Match_Data!AA100)</x:f>
      </x:c>
      <x:c r="O100" s="32" t="str">
        <x:f>IF(OR(M100="",N100=""),"",N100-M100)</x:f>
      </x:c>
      <x:c r="P100" t="str">
        <x:f>IF(Match_Data!J100="","",IF(Match_Data!J100="OVER",1,0))</x:f>
      </x:c>
    </x:row>
    <x:row r="101">
      <x:c r="A101" t="n">
        <x:f>Match_Data!A101</x:f>
        <x:v>0</x:v>
      </x:c>
      <x:c r="B101" s="28" t="n">
        <x:f>Match_Data!B101</x:f>
        <x:v>0</x:v>
      </x:c>
      <x:c r="C101" t="n">
        <x:f>Match_Data!C101</x:f>
        <x:v>0</x:v>
      </x:c>
      <x:c r="D101" t="n">
        <x:f>Match_Data!E101</x:f>
        <x:v>0</x:v>
      </x:c>
      <x:c r="E101" t="n">
        <x:f>Match_Data!F101</x:f>
        <x:v>0</x:v>
      </x:c>
      <x:c r="F101" t="n">
        <x:f>Match_Data!AC101</x:f>
        <x:v>0</x:v>
      </x:c>
      <x:c r="G101" t="str">
        <x:f>IF(OR(Match_Data!K101="",Match_Data!L101=""),"",AVERAGE(Match_Data!K101:L101))</x:f>
      </x:c>
      <x:c r="H101" t="str">
        <x:f>IF(OR(Match_Data!M101="",Match_Data!N101=""),"",AVERAGE(Match_Data!M101:N101))</x:f>
      </x:c>
      <x:c r="I101" t="str">
        <x:f>IF(OR(Match_Data!O101="",Match_Data!Q101=""),"",Match_Data!O101+Match_Data!Q101)</x:f>
      </x:c>
      <x:c r="J101" t="str">
        <x:f>IF(OR(Match_Data!P101="",Match_Data!R101=""),"",Match_Data!P101+Match_Data!R101)</x:f>
      </x:c>
      <x:c r="K101" t="str">
        <x:f>IF(OR(Match_Data!S101="",Match_Data!T101=""),"",Match_Data!S101+Match_Data!T101)</x:f>
      </x:c>
      <x:c r="L101" t="str">
        <x:f>IF(OR(Match_Data!U101="",Match_Data!V101=""),"",Match_Data!U101-Match_Data!V101)</x:f>
      </x:c>
      <x:c r="M101" s="32" t="str">
        <x:f>IF(Match_Data!Y101="","",1/Match_Data!Y101)</x:f>
      </x:c>
      <x:c r="N101" s="32" t="str">
        <x:f>IF(Match_Data!AA101="","",1/Match_Data!AA101)</x:f>
      </x:c>
      <x:c r="O101" s="32" t="str">
        <x:f>IF(OR(M101="",N101=""),"",N101-M101)</x:f>
      </x:c>
      <x:c r="P101" t="str">
        <x:f>IF(Match_Data!J101="","",IF(Match_Data!J101="OVER",1,0))</x:f>
      </x:c>
    </x:row>
    <x:row r="102">
      <x:c r="A102" t="n">
        <x:f>Match_Data!A102</x:f>
        <x:v>0</x:v>
      </x:c>
      <x:c r="B102" s="28" t="n">
        <x:f>Match_Data!B102</x:f>
        <x:v>0</x:v>
      </x:c>
      <x:c r="C102" t="n">
        <x:f>Match_Data!C102</x:f>
        <x:v>0</x:v>
      </x:c>
      <x:c r="D102" t="n">
        <x:f>Match_Data!E102</x:f>
        <x:v>0</x:v>
      </x:c>
      <x:c r="E102" t="n">
        <x:f>Match_Data!F102</x:f>
        <x:v>0</x:v>
      </x:c>
      <x:c r="F102" t="n">
        <x:f>Match_Data!AC102</x:f>
        <x:v>0</x:v>
      </x:c>
      <x:c r="G102" t="str">
        <x:f>IF(OR(Match_Data!K102="",Match_Data!L102=""),"",AVERAGE(Match_Data!K102:L102))</x:f>
      </x:c>
      <x:c r="H102" t="str">
        <x:f>IF(OR(Match_Data!M102="",Match_Data!N102=""),"",AVERAGE(Match_Data!M102:N102))</x:f>
      </x:c>
      <x:c r="I102" t="str">
        <x:f>IF(OR(Match_Data!O102="",Match_Data!Q102=""),"",Match_Data!O102+Match_Data!Q102)</x:f>
      </x:c>
      <x:c r="J102" t="str">
        <x:f>IF(OR(Match_Data!P102="",Match_Data!R102=""),"",Match_Data!P102+Match_Data!R102)</x:f>
      </x:c>
      <x:c r="K102" t="str">
        <x:f>IF(OR(Match_Data!S102="",Match_Data!T102=""),"",Match_Data!S102+Match_Data!T102)</x:f>
      </x:c>
      <x:c r="L102" t="str">
        <x:f>IF(OR(Match_Data!U102="",Match_Data!V102=""),"",Match_Data!U102-Match_Data!V102)</x:f>
      </x:c>
      <x:c r="M102" s="32" t="str">
        <x:f>IF(Match_Data!Y102="","",1/Match_Data!Y102)</x:f>
      </x:c>
      <x:c r="N102" s="32" t="str">
        <x:f>IF(Match_Data!AA102="","",1/Match_Data!AA102)</x:f>
      </x:c>
      <x:c r="O102" s="32" t="str">
        <x:f>IF(OR(M102="",N102=""),"",N102-M102)</x:f>
      </x:c>
      <x:c r="P102" t="str">
        <x:f>IF(Match_Data!J102="","",IF(Match_Data!J102="OVER",1,0))</x:f>
      </x:c>
    </x:row>
    <x:row r="103">
      <x:c r="A103" t="n">
        <x:f>Match_Data!A103</x:f>
        <x:v>0</x:v>
      </x:c>
      <x:c r="B103" s="28" t="n">
        <x:f>Match_Data!B103</x:f>
        <x:v>0</x:v>
      </x:c>
      <x:c r="C103" t="n">
        <x:f>Match_Data!C103</x:f>
        <x:v>0</x:v>
      </x:c>
      <x:c r="D103" t="n">
        <x:f>Match_Data!E103</x:f>
        <x:v>0</x:v>
      </x:c>
      <x:c r="E103" t="n">
        <x:f>Match_Data!F103</x:f>
        <x:v>0</x:v>
      </x:c>
      <x:c r="F103" t="n">
        <x:f>Match_Data!AC103</x:f>
        <x:v>0</x:v>
      </x:c>
      <x:c r="G103" t="str">
        <x:f>IF(OR(Match_Data!K103="",Match_Data!L103=""),"",AVERAGE(Match_Data!K103:L103))</x:f>
      </x:c>
      <x:c r="H103" t="str">
        <x:f>IF(OR(Match_Data!M103="",Match_Data!N103=""),"",AVERAGE(Match_Data!M103:N103))</x:f>
      </x:c>
      <x:c r="I103" t="str">
        <x:f>IF(OR(Match_Data!O103="",Match_Data!Q103=""),"",Match_Data!O103+Match_Data!Q103)</x:f>
      </x:c>
      <x:c r="J103" t="str">
        <x:f>IF(OR(Match_Data!P103="",Match_Data!R103=""),"",Match_Data!P103+Match_Data!R103)</x:f>
      </x:c>
      <x:c r="K103" t="str">
        <x:f>IF(OR(Match_Data!S103="",Match_Data!T103=""),"",Match_Data!S103+Match_Data!T103)</x:f>
      </x:c>
      <x:c r="L103" t="str">
        <x:f>IF(OR(Match_Data!U103="",Match_Data!V103=""),"",Match_Data!U103-Match_Data!V103)</x:f>
      </x:c>
      <x:c r="M103" s="32" t="str">
        <x:f>IF(Match_Data!Y103="","",1/Match_Data!Y103)</x:f>
      </x:c>
      <x:c r="N103" s="32" t="str">
        <x:f>IF(Match_Data!AA103="","",1/Match_Data!AA103)</x:f>
      </x:c>
      <x:c r="O103" s="32" t="str">
        <x:f>IF(OR(M103="",N103=""),"",N103-M103)</x:f>
      </x:c>
      <x:c r="P103" t="str">
        <x:f>IF(Match_Data!J103="","",IF(Match_Data!J103="OVER",1,0))</x:f>
      </x:c>
    </x:row>
    <x:row r="104">
      <x:c r="A104" t="n">
        <x:f>Match_Data!A104</x:f>
        <x:v>0</x:v>
      </x:c>
      <x:c r="B104" s="28" t="n">
        <x:f>Match_Data!B104</x:f>
        <x:v>0</x:v>
      </x:c>
      <x:c r="C104" t="n">
        <x:f>Match_Data!C104</x:f>
        <x:v>0</x:v>
      </x:c>
      <x:c r="D104" t="n">
        <x:f>Match_Data!E104</x:f>
        <x:v>0</x:v>
      </x:c>
      <x:c r="E104" t="n">
        <x:f>Match_Data!F104</x:f>
        <x:v>0</x:v>
      </x:c>
      <x:c r="F104" t="n">
        <x:f>Match_Data!AC104</x:f>
        <x:v>0</x:v>
      </x:c>
      <x:c r="G104" t="str">
        <x:f>IF(OR(Match_Data!K104="",Match_Data!L104=""),"",AVERAGE(Match_Data!K104:L104))</x:f>
      </x:c>
      <x:c r="H104" t="str">
        <x:f>IF(OR(Match_Data!M104="",Match_Data!N104=""),"",AVERAGE(Match_Data!M104:N104))</x:f>
      </x:c>
      <x:c r="I104" t="str">
        <x:f>IF(OR(Match_Data!O104="",Match_Data!Q104=""),"",Match_Data!O104+Match_Data!Q104)</x:f>
      </x:c>
      <x:c r="J104" t="str">
        <x:f>IF(OR(Match_Data!P104="",Match_Data!R104=""),"",Match_Data!P104+Match_Data!R104)</x:f>
      </x:c>
      <x:c r="K104" t="str">
        <x:f>IF(OR(Match_Data!S104="",Match_Data!T104=""),"",Match_Data!S104+Match_Data!T104)</x:f>
      </x:c>
      <x:c r="L104" t="str">
        <x:f>IF(OR(Match_Data!U104="",Match_Data!V104=""),"",Match_Data!U104-Match_Data!V104)</x:f>
      </x:c>
      <x:c r="M104" s="32" t="str">
        <x:f>IF(Match_Data!Y104="","",1/Match_Data!Y104)</x:f>
      </x:c>
      <x:c r="N104" s="32" t="str">
        <x:f>IF(Match_Data!AA104="","",1/Match_Data!AA104)</x:f>
      </x:c>
      <x:c r="O104" s="32" t="str">
        <x:f>IF(OR(M104="",N104=""),"",N104-M104)</x:f>
      </x:c>
      <x:c r="P104" t="str">
        <x:f>IF(Match_Data!J104="","",IF(Match_Data!J104="OVER",1,0))</x:f>
      </x:c>
    </x:row>
    <x:row r="105">
      <x:c r="A105" t="n">
        <x:f>Match_Data!A105</x:f>
        <x:v>0</x:v>
      </x:c>
      <x:c r="B105" s="28" t="n">
        <x:f>Match_Data!B105</x:f>
        <x:v>0</x:v>
      </x:c>
      <x:c r="C105" t="n">
        <x:f>Match_Data!C105</x:f>
        <x:v>0</x:v>
      </x:c>
      <x:c r="D105" t="n">
        <x:f>Match_Data!E105</x:f>
        <x:v>0</x:v>
      </x:c>
      <x:c r="E105" t="n">
        <x:f>Match_Data!F105</x:f>
        <x:v>0</x:v>
      </x:c>
      <x:c r="F105" t="n">
        <x:f>Match_Data!AC105</x:f>
        <x:v>0</x:v>
      </x:c>
      <x:c r="G105" t="str">
        <x:f>IF(OR(Match_Data!K105="",Match_Data!L105=""),"",AVERAGE(Match_Data!K105:L105))</x:f>
      </x:c>
      <x:c r="H105" t="str">
        <x:f>IF(OR(Match_Data!M105="",Match_Data!N105=""),"",AVERAGE(Match_Data!M105:N105))</x:f>
      </x:c>
      <x:c r="I105" t="str">
        <x:f>IF(OR(Match_Data!O105="",Match_Data!Q105=""),"",Match_Data!O105+Match_Data!Q105)</x:f>
      </x:c>
      <x:c r="J105" t="str">
        <x:f>IF(OR(Match_Data!P105="",Match_Data!R105=""),"",Match_Data!P105+Match_Data!R105)</x:f>
      </x:c>
      <x:c r="K105" t="str">
        <x:f>IF(OR(Match_Data!S105="",Match_Data!T105=""),"",Match_Data!S105+Match_Data!T105)</x:f>
      </x:c>
      <x:c r="L105" t="str">
        <x:f>IF(OR(Match_Data!U105="",Match_Data!V105=""),"",Match_Data!U105-Match_Data!V105)</x:f>
      </x:c>
      <x:c r="M105" s="32" t="str">
        <x:f>IF(Match_Data!Y105="","",1/Match_Data!Y105)</x:f>
      </x:c>
      <x:c r="N105" s="32" t="str">
        <x:f>IF(Match_Data!AA105="","",1/Match_Data!AA105)</x:f>
      </x:c>
      <x:c r="O105" s="32" t="str">
        <x:f>IF(OR(M105="",N105=""),"",N105-M105)</x:f>
      </x:c>
      <x:c r="P105" t="str">
        <x:f>IF(Match_Data!J105="","",IF(Match_Data!J105="OVER",1,0))</x:f>
      </x:c>
    </x:row>
    <x:row r="106">
      <x:c r="A106" t="n">
        <x:f>Match_Data!A106</x:f>
        <x:v>0</x:v>
      </x:c>
      <x:c r="B106" s="28" t="n">
        <x:f>Match_Data!B106</x:f>
        <x:v>0</x:v>
      </x:c>
      <x:c r="C106" t="n">
        <x:f>Match_Data!C106</x:f>
        <x:v>0</x:v>
      </x:c>
      <x:c r="D106" t="n">
        <x:f>Match_Data!E106</x:f>
        <x:v>0</x:v>
      </x:c>
      <x:c r="E106" t="n">
        <x:f>Match_Data!F106</x:f>
        <x:v>0</x:v>
      </x:c>
      <x:c r="F106" t="n">
        <x:f>Match_Data!AC106</x:f>
        <x:v>0</x:v>
      </x:c>
      <x:c r="G106" t="str">
        <x:f>IF(OR(Match_Data!K106="",Match_Data!L106=""),"",AVERAGE(Match_Data!K106:L106))</x:f>
      </x:c>
      <x:c r="H106" t="str">
        <x:f>IF(OR(Match_Data!M106="",Match_Data!N106=""),"",AVERAGE(Match_Data!M106:N106))</x:f>
      </x:c>
      <x:c r="I106" t="str">
        <x:f>IF(OR(Match_Data!O106="",Match_Data!Q106=""),"",Match_Data!O106+Match_Data!Q106)</x:f>
      </x:c>
      <x:c r="J106" t="str">
        <x:f>IF(OR(Match_Data!P106="",Match_Data!R106=""),"",Match_Data!P106+Match_Data!R106)</x:f>
      </x:c>
      <x:c r="K106" t="str">
        <x:f>IF(OR(Match_Data!S106="",Match_Data!T106=""),"",Match_Data!S106+Match_Data!T106)</x:f>
      </x:c>
      <x:c r="L106" t="str">
        <x:f>IF(OR(Match_Data!U106="",Match_Data!V106=""),"",Match_Data!U106-Match_Data!V106)</x:f>
      </x:c>
      <x:c r="M106" s="32" t="str">
        <x:f>IF(Match_Data!Y106="","",1/Match_Data!Y106)</x:f>
      </x:c>
      <x:c r="N106" s="32" t="str">
        <x:f>IF(Match_Data!AA106="","",1/Match_Data!AA106)</x:f>
      </x:c>
      <x:c r="O106" s="32" t="str">
        <x:f>IF(OR(M106="",N106=""),"",N106-M106)</x:f>
      </x:c>
      <x:c r="P106" t="str">
        <x:f>IF(Match_Data!J106="","",IF(Match_Data!J106="OVER",1,0))</x:f>
      </x:c>
    </x:row>
    <x:row r="107">
      <x:c r="A107" t="n">
        <x:f>Match_Data!A107</x:f>
        <x:v>0</x:v>
      </x:c>
      <x:c r="B107" s="28" t="n">
        <x:f>Match_Data!B107</x:f>
        <x:v>0</x:v>
      </x:c>
      <x:c r="C107" t="n">
        <x:f>Match_Data!C107</x:f>
        <x:v>0</x:v>
      </x:c>
      <x:c r="D107" t="n">
        <x:f>Match_Data!E107</x:f>
        <x:v>0</x:v>
      </x:c>
      <x:c r="E107" t="n">
        <x:f>Match_Data!F107</x:f>
        <x:v>0</x:v>
      </x:c>
      <x:c r="F107" t="n">
        <x:f>Match_Data!AC107</x:f>
        <x:v>0</x:v>
      </x:c>
      <x:c r="G107" t="str">
        <x:f>IF(OR(Match_Data!K107="",Match_Data!L107=""),"",AVERAGE(Match_Data!K107:L107))</x:f>
      </x:c>
      <x:c r="H107" t="str">
        <x:f>IF(OR(Match_Data!M107="",Match_Data!N107=""),"",AVERAGE(Match_Data!M107:N107))</x:f>
      </x:c>
      <x:c r="I107" t="str">
        <x:f>IF(OR(Match_Data!O107="",Match_Data!Q107=""),"",Match_Data!O107+Match_Data!Q107)</x:f>
      </x:c>
      <x:c r="J107" t="str">
        <x:f>IF(OR(Match_Data!P107="",Match_Data!R107=""),"",Match_Data!P107+Match_Data!R107)</x:f>
      </x:c>
      <x:c r="K107" t="str">
        <x:f>IF(OR(Match_Data!S107="",Match_Data!T107=""),"",Match_Data!S107+Match_Data!T107)</x:f>
      </x:c>
      <x:c r="L107" t="str">
        <x:f>IF(OR(Match_Data!U107="",Match_Data!V107=""),"",Match_Data!U107-Match_Data!V107)</x:f>
      </x:c>
      <x:c r="M107" s="32" t="str">
        <x:f>IF(Match_Data!Y107="","",1/Match_Data!Y107)</x:f>
      </x:c>
      <x:c r="N107" s="32" t="str">
        <x:f>IF(Match_Data!AA107="","",1/Match_Data!AA107)</x:f>
      </x:c>
      <x:c r="O107" s="32" t="str">
        <x:f>IF(OR(M107="",N107=""),"",N107-M107)</x:f>
      </x:c>
      <x:c r="P107" t="str">
        <x:f>IF(Match_Data!J107="","",IF(Match_Data!J107="OVER",1,0))</x:f>
      </x:c>
    </x:row>
    <x:row r="108">
      <x:c r="A108" t="n">
        <x:f>Match_Data!A108</x:f>
        <x:v>0</x:v>
      </x:c>
      <x:c r="B108" s="28" t="n">
        <x:f>Match_Data!B108</x:f>
        <x:v>0</x:v>
      </x:c>
      <x:c r="C108" t="n">
        <x:f>Match_Data!C108</x:f>
        <x:v>0</x:v>
      </x:c>
      <x:c r="D108" t="n">
        <x:f>Match_Data!E108</x:f>
        <x:v>0</x:v>
      </x:c>
      <x:c r="E108" t="n">
        <x:f>Match_Data!F108</x:f>
        <x:v>0</x:v>
      </x:c>
      <x:c r="F108" t="n">
        <x:f>Match_Data!AC108</x:f>
        <x:v>0</x:v>
      </x:c>
      <x:c r="G108" t="str">
        <x:f>IF(OR(Match_Data!K108="",Match_Data!L108=""),"",AVERAGE(Match_Data!K108:L108))</x:f>
      </x:c>
      <x:c r="H108" t="str">
        <x:f>IF(OR(Match_Data!M108="",Match_Data!N108=""),"",AVERAGE(Match_Data!M108:N108))</x:f>
      </x:c>
      <x:c r="I108" t="str">
        <x:f>IF(OR(Match_Data!O108="",Match_Data!Q108=""),"",Match_Data!O108+Match_Data!Q108)</x:f>
      </x:c>
      <x:c r="J108" t="str">
        <x:f>IF(OR(Match_Data!P108="",Match_Data!R108=""),"",Match_Data!P108+Match_Data!R108)</x:f>
      </x:c>
      <x:c r="K108" t="str">
        <x:f>IF(OR(Match_Data!S108="",Match_Data!T108=""),"",Match_Data!S108+Match_Data!T108)</x:f>
      </x:c>
      <x:c r="L108" t="str">
        <x:f>IF(OR(Match_Data!U108="",Match_Data!V108=""),"",Match_Data!U108-Match_Data!V108)</x:f>
      </x:c>
      <x:c r="M108" s="32" t="str">
        <x:f>IF(Match_Data!Y108="","",1/Match_Data!Y108)</x:f>
      </x:c>
      <x:c r="N108" s="32" t="str">
        <x:f>IF(Match_Data!AA108="","",1/Match_Data!AA108)</x:f>
      </x:c>
      <x:c r="O108" s="32" t="str">
        <x:f>IF(OR(M108="",N108=""),"",N108-M108)</x:f>
      </x:c>
      <x:c r="P108" t="str">
        <x:f>IF(Match_Data!J108="","",IF(Match_Data!J108="OVER",1,0))</x:f>
      </x:c>
    </x:row>
    <x:row r="109">
      <x:c r="A109" t="n">
        <x:f>Match_Data!A109</x:f>
        <x:v>0</x:v>
      </x:c>
      <x:c r="B109" s="28" t="n">
        <x:f>Match_Data!B109</x:f>
        <x:v>0</x:v>
      </x:c>
      <x:c r="C109" t="n">
        <x:f>Match_Data!C109</x:f>
        <x:v>0</x:v>
      </x:c>
      <x:c r="D109" t="n">
        <x:f>Match_Data!E109</x:f>
        <x:v>0</x:v>
      </x:c>
      <x:c r="E109" t="n">
        <x:f>Match_Data!F109</x:f>
        <x:v>0</x:v>
      </x:c>
      <x:c r="F109" t="n">
        <x:f>Match_Data!AC109</x:f>
        <x:v>0</x:v>
      </x:c>
      <x:c r="G109" t="str">
        <x:f>IF(OR(Match_Data!K109="",Match_Data!L109=""),"",AVERAGE(Match_Data!K109:L109))</x:f>
      </x:c>
      <x:c r="H109" t="str">
        <x:f>IF(OR(Match_Data!M109="",Match_Data!N109=""),"",AVERAGE(Match_Data!M109:N109))</x:f>
      </x:c>
      <x:c r="I109" t="str">
        <x:f>IF(OR(Match_Data!O109="",Match_Data!Q109=""),"",Match_Data!O109+Match_Data!Q109)</x:f>
      </x:c>
      <x:c r="J109" t="str">
        <x:f>IF(OR(Match_Data!P109="",Match_Data!R109=""),"",Match_Data!P109+Match_Data!R109)</x:f>
      </x:c>
      <x:c r="K109" t="str">
        <x:f>IF(OR(Match_Data!S109="",Match_Data!T109=""),"",Match_Data!S109+Match_Data!T109)</x:f>
      </x:c>
      <x:c r="L109" t="str">
        <x:f>IF(OR(Match_Data!U109="",Match_Data!V109=""),"",Match_Data!U109-Match_Data!V109)</x:f>
      </x:c>
      <x:c r="M109" s="32" t="str">
        <x:f>IF(Match_Data!Y109="","",1/Match_Data!Y109)</x:f>
      </x:c>
      <x:c r="N109" s="32" t="str">
        <x:f>IF(Match_Data!AA109="","",1/Match_Data!AA109)</x:f>
      </x:c>
      <x:c r="O109" s="32" t="str">
        <x:f>IF(OR(M109="",N109=""),"",N109-M109)</x:f>
      </x:c>
      <x:c r="P109" t="str">
        <x:f>IF(Match_Data!J109="","",IF(Match_Data!J109="OVER",1,0))</x:f>
      </x:c>
    </x:row>
    <x:row r="110">
      <x:c r="A110" t="n">
        <x:f>Match_Data!A110</x:f>
        <x:v>0</x:v>
      </x:c>
      <x:c r="B110" s="28" t="n">
        <x:f>Match_Data!B110</x:f>
        <x:v>0</x:v>
      </x:c>
      <x:c r="C110" t="n">
        <x:f>Match_Data!C110</x:f>
        <x:v>0</x:v>
      </x:c>
      <x:c r="D110" t="n">
        <x:f>Match_Data!E110</x:f>
        <x:v>0</x:v>
      </x:c>
      <x:c r="E110" t="n">
        <x:f>Match_Data!F110</x:f>
        <x:v>0</x:v>
      </x:c>
      <x:c r="F110" t="n">
        <x:f>Match_Data!AC110</x:f>
        <x:v>0</x:v>
      </x:c>
      <x:c r="G110" t="str">
        <x:f>IF(OR(Match_Data!K110="",Match_Data!L110=""),"",AVERAGE(Match_Data!K110:L110))</x:f>
      </x:c>
      <x:c r="H110" t="str">
        <x:f>IF(OR(Match_Data!M110="",Match_Data!N110=""),"",AVERAGE(Match_Data!M110:N110))</x:f>
      </x:c>
      <x:c r="I110" t="str">
        <x:f>IF(OR(Match_Data!O110="",Match_Data!Q110=""),"",Match_Data!O110+Match_Data!Q110)</x:f>
      </x:c>
      <x:c r="J110" t="str">
        <x:f>IF(OR(Match_Data!P110="",Match_Data!R110=""),"",Match_Data!P110+Match_Data!R110)</x:f>
      </x:c>
      <x:c r="K110" t="str">
        <x:f>IF(OR(Match_Data!S110="",Match_Data!T110=""),"",Match_Data!S110+Match_Data!T110)</x:f>
      </x:c>
      <x:c r="L110" t="str">
        <x:f>IF(OR(Match_Data!U110="",Match_Data!V110=""),"",Match_Data!U110-Match_Data!V110)</x:f>
      </x:c>
      <x:c r="M110" s="32" t="str">
        <x:f>IF(Match_Data!Y110="","",1/Match_Data!Y110)</x:f>
      </x:c>
      <x:c r="N110" s="32" t="str">
        <x:f>IF(Match_Data!AA110="","",1/Match_Data!AA110)</x:f>
      </x:c>
      <x:c r="O110" s="32" t="str">
        <x:f>IF(OR(M110="",N110=""),"",N110-M110)</x:f>
      </x:c>
      <x:c r="P110" t="str">
        <x:f>IF(Match_Data!J110="","",IF(Match_Data!J110="OVER",1,0))</x:f>
      </x:c>
    </x:row>
    <x:row r="111">
      <x:c r="A111" t="n">
        <x:f>Match_Data!A111</x:f>
        <x:v>0</x:v>
      </x:c>
      <x:c r="B111" s="28" t="n">
        <x:f>Match_Data!B111</x:f>
        <x:v>0</x:v>
      </x:c>
      <x:c r="C111" t="n">
        <x:f>Match_Data!C111</x:f>
        <x:v>0</x:v>
      </x:c>
      <x:c r="D111" t="n">
        <x:f>Match_Data!E111</x:f>
        <x:v>0</x:v>
      </x:c>
      <x:c r="E111" t="n">
        <x:f>Match_Data!F111</x:f>
        <x:v>0</x:v>
      </x:c>
      <x:c r="F111" t="n">
        <x:f>Match_Data!AC111</x:f>
        <x:v>0</x:v>
      </x:c>
      <x:c r="G111" t="str">
        <x:f>IF(OR(Match_Data!K111="",Match_Data!L111=""),"",AVERAGE(Match_Data!K111:L111))</x:f>
      </x:c>
      <x:c r="H111" t="str">
        <x:f>IF(OR(Match_Data!M111="",Match_Data!N111=""),"",AVERAGE(Match_Data!M111:N111))</x:f>
      </x:c>
      <x:c r="I111" t="str">
        <x:f>IF(OR(Match_Data!O111="",Match_Data!Q111=""),"",Match_Data!O111+Match_Data!Q111)</x:f>
      </x:c>
      <x:c r="J111" t="str">
        <x:f>IF(OR(Match_Data!P111="",Match_Data!R111=""),"",Match_Data!P111+Match_Data!R111)</x:f>
      </x:c>
      <x:c r="K111" t="str">
        <x:f>IF(OR(Match_Data!S111="",Match_Data!T111=""),"",Match_Data!S111+Match_Data!T111)</x:f>
      </x:c>
      <x:c r="L111" t="str">
        <x:f>IF(OR(Match_Data!U111="",Match_Data!V111=""),"",Match_Data!U111-Match_Data!V111)</x:f>
      </x:c>
      <x:c r="M111" s="32" t="str">
        <x:f>IF(Match_Data!Y111="","",1/Match_Data!Y111)</x:f>
      </x:c>
      <x:c r="N111" s="32" t="str">
        <x:f>IF(Match_Data!AA111="","",1/Match_Data!AA111)</x:f>
      </x:c>
      <x:c r="O111" s="32" t="str">
        <x:f>IF(OR(M111="",N111=""),"",N111-M111)</x:f>
      </x:c>
      <x:c r="P111" t="str">
        <x:f>IF(Match_Data!J111="","",IF(Match_Data!J111="OVER",1,0))</x:f>
      </x:c>
    </x:row>
    <x:row r="112">
      <x:c r="A112" t="n">
        <x:f>Match_Data!A112</x:f>
        <x:v>0</x:v>
      </x:c>
      <x:c r="B112" s="28" t="n">
        <x:f>Match_Data!B112</x:f>
        <x:v>0</x:v>
      </x:c>
      <x:c r="C112" t="n">
        <x:f>Match_Data!C112</x:f>
        <x:v>0</x:v>
      </x:c>
      <x:c r="D112" t="n">
        <x:f>Match_Data!E112</x:f>
        <x:v>0</x:v>
      </x:c>
      <x:c r="E112" t="n">
        <x:f>Match_Data!F112</x:f>
        <x:v>0</x:v>
      </x:c>
      <x:c r="F112" t="n">
        <x:f>Match_Data!AC112</x:f>
        <x:v>0</x:v>
      </x:c>
      <x:c r="G112" t="str">
        <x:f>IF(OR(Match_Data!K112="",Match_Data!L112=""),"",AVERAGE(Match_Data!K112:L112))</x:f>
      </x:c>
      <x:c r="H112" t="str">
        <x:f>IF(OR(Match_Data!M112="",Match_Data!N112=""),"",AVERAGE(Match_Data!M112:N112))</x:f>
      </x:c>
      <x:c r="I112" t="str">
        <x:f>IF(OR(Match_Data!O112="",Match_Data!Q112=""),"",Match_Data!O112+Match_Data!Q112)</x:f>
      </x:c>
      <x:c r="J112" t="str">
        <x:f>IF(OR(Match_Data!P112="",Match_Data!R112=""),"",Match_Data!P112+Match_Data!R112)</x:f>
      </x:c>
      <x:c r="K112" t="str">
        <x:f>IF(OR(Match_Data!S112="",Match_Data!T112=""),"",Match_Data!S112+Match_Data!T112)</x:f>
      </x:c>
      <x:c r="L112" t="str">
        <x:f>IF(OR(Match_Data!U112="",Match_Data!V112=""),"",Match_Data!U112-Match_Data!V112)</x:f>
      </x:c>
      <x:c r="M112" s="32" t="str">
        <x:f>IF(Match_Data!Y112="","",1/Match_Data!Y112)</x:f>
      </x:c>
      <x:c r="N112" s="32" t="str">
        <x:f>IF(Match_Data!AA112="","",1/Match_Data!AA112)</x:f>
      </x:c>
      <x:c r="O112" s="32" t="str">
        <x:f>IF(OR(M112="",N112=""),"",N112-M112)</x:f>
      </x:c>
      <x:c r="P112" t="str">
        <x:f>IF(Match_Data!J112="","",IF(Match_Data!J112="OVER",1,0))</x:f>
      </x:c>
    </x:row>
    <x:row r="113">
      <x:c r="A113" t="n">
        <x:f>Match_Data!A113</x:f>
        <x:v>0</x:v>
      </x:c>
      <x:c r="B113" s="28" t="n">
        <x:f>Match_Data!B113</x:f>
        <x:v>0</x:v>
      </x:c>
      <x:c r="C113" t="n">
        <x:f>Match_Data!C113</x:f>
        <x:v>0</x:v>
      </x:c>
      <x:c r="D113" t="n">
        <x:f>Match_Data!E113</x:f>
        <x:v>0</x:v>
      </x:c>
      <x:c r="E113" t="n">
        <x:f>Match_Data!F113</x:f>
        <x:v>0</x:v>
      </x:c>
      <x:c r="F113" t="n">
        <x:f>Match_Data!AC113</x:f>
        <x:v>0</x:v>
      </x:c>
      <x:c r="G113" t="str">
        <x:f>IF(OR(Match_Data!K113="",Match_Data!L113=""),"",AVERAGE(Match_Data!K113:L113))</x:f>
      </x:c>
      <x:c r="H113" t="str">
        <x:f>IF(OR(Match_Data!M113="",Match_Data!N113=""),"",AVERAGE(Match_Data!M113:N113))</x:f>
      </x:c>
      <x:c r="I113" t="str">
        <x:f>IF(OR(Match_Data!O113="",Match_Data!Q113=""),"",Match_Data!O113+Match_Data!Q113)</x:f>
      </x:c>
      <x:c r="J113" t="str">
        <x:f>IF(OR(Match_Data!P113="",Match_Data!R113=""),"",Match_Data!P113+Match_Data!R113)</x:f>
      </x:c>
      <x:c r="K113" t="str">
        <x:f>IF(OR(Match_Data!S113="",Match_Data!T113=""),"",Match_Data!S113+Match_Data!T113)</x:f>
      </x:c>
      <x:c r="L113" t="str">
        <x:f>IF(OR(Match_Data!U113="",Match_Data!V113=""),"",Match_Data!U113-Match_Data!V113)</x:f>
      </x:c>
      <x:c r="M113" s="32" t="str">
        <x:f>IF(Match_Data!Y113="","",1/Match_Data!Y113)</x:f>
      </x:c>
      <x:c r="N113" s="32" t="str">
        <x:f>IF(Match_Data!AA113="","",1/Match_Data!AA113)</x:f>
      </x:c>
      <x:c r="O113" s="32" t="str">
        <x:f>IF(OR(M113="",N113=""),"",N113-M113)</x:f>
      </x:c>
      <x:c r="P113" t="str">
        <x:f>IF(Match_Data!J113="","",IF(Match_Data!J113="OVER",1,0))</x:f>
      </x:c>
    </x:row>
    <x:row r="114">
      <x:c r="A114" t="n">
        <x:f>Match_Data!A114</x:f>
        <x:v>0</x:v>
      </x:c>
      <x:c r="B114" s="28" t="n">
        <x:f>Match_Data!B114</x:f>
        <x:v>0</x:v>
      </x:c>
      <x:c r="C114" t="n">
        <x:f>Match_Data!C114</x:f>
        <x:v>0</x:v>
      </x:c>
      <x:c r="D114" t="n">
        <x:f>Match_Data!E114</x:f>
        <x:v>0</x:v>
      </x:c>
      <x:c r="E114" t="n">
        <x:f>Match_Data!F114</x:f>
        <x:v>0</x:v>
      </x:c>
      <x:c r="F114" t="n">
        <x:f>Match_Data!AC114</x:f>
        <x:v>0</x:v>
      </x:c>
      <x:c r="G114" t="str">
        <x:f>IF(OR(Match_Data!K114="",Match_Data!L114=""),"",AVERAGE(Match_Data!K114:L114))</x:f>
      </x:c>
      <x:c r="H114" t="str">
        <x:f>IF(OR(Match_Data!M114="",Match_Data!N114=""),"",AVERAGE(Match_Data!M114:N114))</x:f>
      </x:c>
      <x:c r="I114" t="str">
        <x:f>IF(OR(Match_Data!O114="",Match_Data!Q114=""),"",Match_Data!O114+Match_Data!Q114)</x:f>
      </x:c>
      <x:c r="J114" t="str">
        <x:f>IF(OR(Match_Data!P114="",Match_Data!R114=""),"",Match_Data!P114+Match_Data!R114)</x:f>
      </x:c>
      <x:c r="K114" t="str">
        <x:f>IF(OR(Match_Data!S114="",Match_Data!T114=""),"",Match_Data!S114+Match_Data!T114)</x:f>
      </x:c>
      <x:c r="L114" t="str">
        <x:f>IF(OR(Match_Data!U114="",Match_Data!V114=""),"",Match_Data!U114-Match_Data!V114)</x:f>
      </x:c>
      <x:c r="M114" s="32" t="str">
        <x:f>IF(Match_Data!Y114="","",1/Match_Data!Y114)</x:f>
      </x:c>
      <x:c r="N114" s="32" t="str">
        <x:f>IF(Match_Data!AA114="","",1/Match_Data!AA114)</x:f>
      </x:c>
      <x:c r="O114" s="32" t="str">
        <x:f>IF(OR(M114="",N114=""),"",N114-M114)</x:f>
      </x:c>
      <x:c r="P114" t="str">
        <x:f>IF(Match_Data!J114="","",IF(Match_Data!J114="OVER",1,0))</x:f>
      </x:c>
    </x:row>
    <x:row r="115">
      <x:c r="A115" t="n">
        <x:f>Match_Data!A115</x:f>
        <x:v>0</x:v>
      </x:c>
      <x:c r="B115" s="28" t="n">
        <x:f>Match_Data!B115</x:f>
        <x:v>0</x:v>
      </x:c>
      <x:c r="C115" t="n">
        <x:f>Match_Data!C115</x:f>
        <x:v>0</x:v>
      </x:c>
      <x:c r="D115" t="n">
        <x:f>Match_Data!E115</x:f>
        <x:v>0</x:v>
      </x:c>
      <x:c r="E115" t="n">
        <x:f>Match_Data!F115</x:f>
        <x:v>0</x:v>
      </x:c>
      <x:c r="F115" t="n">
        <x:f>Match_Data!AC115</x:f>
        <x:v>0</x:v>
      </x:c>
      <x:c r="G115" t="str">
        <x:f>IF(OR(Match_Data!K115="",Match_Data!L115=""),"",AVERAGE(Match_Data!K115:L115))</x:f>
      </x:c>
      <x:c r="H115" t="str">
        <x:f>IF(OR(Match_Data!M115="",Match_Data!N115=""),"",AVERAGE(Match_Data!M115:N115))</x:f>
      </x:c>
      <x:c r="I115" t="str">
        <x:f>IF(OR(Match_Data!O115="",Match_Data!Q115=""),"",Match_Data!O115+Match_Data!Q115)</x:f>
      </x:c>
      <x:c r="J115" t="str">
        <x:f>IF(OR(Match_Data!P115="",Match_Data!R115=""),"",Match_Data!P115+Match_Data!R115)</x:f>
      </x:c>
      <x:c r="K115" t="str">
        <x:f>IF(OR(Match_Data!S115="",Match_Data!T115=""),"",Match_Data!S115+Match_Data!T115)</x:f>
      </x:c>
      <x:c r="L115" t="str">
        <x:f>IF(OR(Match_Data!U115="",Match_Data!V115=""),"",Match_Data!U115-Match_Data!V115)</x:f>
      </x:c>
      <x:c r="M115" s="32" t="str">
        <x:f>IF(Match_Data!Y115="","",1/Match_Data!Y115)</x:f>
      </x:c>
      <x:c r="N115" s="32" t="str">
        <x:f>IF(Match_Data!AA115="","",1/Match_Data!AA115)</x:f>
      </x:c>
      <x:c r="O115" s="32" t="str">
        <x:f>IF(OR(M115="",N115=""),"",N115-M115)</x:f>
      </x:c>
      <x:c r="P115" t="str">
        <x:f>IF(Match_Data!J115="","",IF(Match_Data!J115="OVER",1,0))</x:f>
      </x:c>
    </x:row>
    <x:row r="116">
      <x:c r="A116" t="n">
        <x:f>Match_Data!A116</x:f>
        <x:v>0</x:v>
      </x:c>
      <x:c r="B116" s="28" t="n">
        <x:f>Match_Data!B116</x:f>
        <x:v>0</x:v>
      </x:c>
      <x:c r="C116" t="n">
        <x:f>Match_Data!C116</x:f>
        <x:v>0</x:v>
      </x:c>
      <x:c r="D116" t="n">
        <x:f>Match_Data!E116</x:f>
        <x:v>0</x:v>
      </x:c>
      <x:c r="E116" t="n">
        <x:f>Match_Data!F116</x:f>
        <x:v>0</x:v>
      </x:c>
      <x:c r="F116" t="n">
        <x:f>Match_Data!AC116</x:f>
        <x:v>0</x:v>
      </x:c>
      <x:c r="G116" t="str">
        <x:f>IF(OR(Match_Data!K116="",Match_Data!L116=""),"",AVERAGE(Match_Data!K116:L116))</x:f>
      </x:c>
      <x:c r="H116" t="str">
        <x:f>IF(OR(Match_Data!M116="",Match_Data!N116=""),"",AVERAGE(Match_Data!M116:N116))</x:f>
      </x:c>
      <x:c r="I116" t="str">
        <x:f>IF(OR(Match_Data!O116="",Match_Data!Q116=""),"",Match_Data!O116+Match_Data!Q116)</x:f>
      </x:c>
      <x:c r="J116" t="str">
        <x:f>IF(OR(Match_Data!P116="",Match_Data!R116=""),"",Match_Data!P116+Match_Data!R116)</x:f>
      </x:c>
      <x:c r="K116" t="str">
        <x:f>IF(OR(Match_Data!S116="",Match_Data!T116=""),"",Match_Data!S116+Match_Data!T116)</x:f>
      </x:c>
      <x:c r="L116" t="str">
        <x:f>IF(OR(Match_Data!U116="",Match_Data!V116=""),"",Match_Data!U116-Match_Data!V116)</x:f>
      </x:c>
      <x:c r="M116" s="32" t="str">
        <x:f>IF(Match_Data!Y116="","",1/Match_Data!Y116)</x:f>
      </x:c>
      <x:c r="N116" s="32" t="str">
        <x:f>IF(Match_Data!AA116="","",1/Match_Data!AA116)</x:f>
      </x:c>
      <x:c r="O116" s="32" t="str">
        <x:f>IF(OR(M116="",N116=""),"",N116-M116)</x:f>
      </x:c>
      <x:c r="P116" t="str">
        <x:f>IF(Match_Data!J116="","",IF(Match_Data!J116="OVER",1,0))</x:f>
      </x:c>
    </x:row>
    <x:row r="117">
      <x:c r="A117" t="n">
        <x:f>Match_Data!A117</x:f>
        <x:v>0</x:v>
      </x:c>
      <x:c r="B117" s="28" t="n">
        <x:f>Match_Data!B117</x:f>
        <x:v>0</x:v>
      </x:c>
      <x:c r="C117" t="n">
        <x:f>Match_Data!C117</x:f>
        <x:v>0</x:v>
      </x:c>
      <x:c r="D117" t="n">
        <x:f>Match_Data!E117</x:f>
        <x:v>0</x:v>
      </x:c>
      <x:c r="E117" t="n">
        <x:f>Match_Data!F117</x:f>
        <x:v>0</x:v>
      </x:c>
      <x:c r="F117" t="n">
        <x:f>Match_Data!AC117</x:f>
        <x:v>0</x:v>
      </x:c>
      <x:c r="G117" t="str">
        <x:f>IF(OR(Match_Data!K117="",Match_Data!L117=""),"",AVERAGE(Match_Data!K117:L117))</x:f>
      </x:c>
      <x:c r="H117" t="str">
        <x:f>IF(OR(Match_Data!M117="",Match_Data!N117=""),"",AVERAGE(Match_Data!M117:N117))</x:f>
      </x:c>
      <x:c r="I117" t="str">
        <x:f>IF(OR(Match_Data!O117="",Match_Data!Q117=""),"",Match_Data!O117+Match_Data!Q117)</x:f>
      </x:c>
      <x:c r="J117" t="str">
        <x:f>IF(OR(Match_Data!P117="",Match_Data!R117=""),"",Match_Data!P117+Match_Data!R117)</x:f>
      </x:c>
      <x:c r="K117" t="str">
        <x:f>IF(OR(Match_Data!S117="",Match_Data!T117=""),"",Match_Data!S117+Match_Data!T117)</x:f>
      </x:c>
      <x:c r="L117" t="str">
        <x:f>IF(OR(Match_Data!U117="",Match_Data!V117=""),"",Match_Data!U117-Match_Data!V117)</x:f>
      </x:c>
      <x:c r="M117" s="32" t="str">
        <x:f>IF(Match_Data!Y117="","",1/Match_Data!Y117)</x:f>
      </x:c>
      <x:c r="N117" s="32" t="str">
        <x:f>IF(Match_Data!AA117="","",1/Match_Data!AA117)</x:f>
      </x:c>
      <x:c r="O117" s="32" t="str">
        <x:f>IF(OR(M117="",N117=""),"",N117-M117)</x:f>
      </x:c>
      <x:c r="P117" t="str">
        <x:f>IF(Match_Data!J117="","",IF(Match_Data!J117="OVER",1,0))</x:f>
      </x:c>
    </x:row>
    <x:row r="118">
      <x:c r="A118" t="n">
        <x:f>Match_Data!A118</x:f>
        <x:v>0</x:v>
      </x:c>
      <x:c r="B118" s="28" t="n">
        <x:f>Match_Data!B118</x:f>
        <x:v>0</x:v>
      </x:c>
      <x:c r="C118" t="n">
        <x:f>Match_Data!C118</x:f>
        <x:v>0</x:v>
      </x:c>
      <x:c r="D118" t="n">
        <x:f>Match_Data!E118</x:f>
        <x:v>0</x:v>
      </x:c>
      <x:c r="E118" t="n">
        <x:f>Match_Data!F118</x:f>
        <x:v>0</x:v>
      </x:c>
      <x:c r="F118" t="n">
        <x:f>Match_Data!AC118</x:f>
        <x:v>0</x:v>
      </x:c>
      <x:c r="G118" t="str">
        <x:f>IF(OR(Match_Data!K118="",Match_Data!L118=""),"",AVERAGE(Match_Data!K118:L118))</x:f>
      </x:c>
      <x:c r="H118" t="str">
        <x:f>IF(OR(Match_Data!M118="",Match_Data!N118=""),"",AVERAGE(Match_Data!M118:N118))</x:f>
      </x:c>
      <x:c r="I118" t="str">
        <x:f>IF(OR(Match_Data!O118="",Match_Data!Q118=""),"",Match_Data!O118+Match_Data!Q118)</x:f>
      </x:c>
      <x:c r="J118" t="str">
        <x:f>IF(OR(Match_Data!P118="",Match_Data!R118=""),"",Match_Data!P118+Match_Data!R118)</x:f>
      </x:c>
      <x:c r="K118" t="str">
        <x:f>IF(OR(Match_Data!S118="",Match_Data!T118=""),"",Match_Data!S118+Match_Data!T118)</x:f>
      </x:c>
      <x:c r="L118" t="str">
        <x:f>IF(OR(Match_Data!U118="",Match_Data!V118=""),"",Match_Data!U118-Match_Data!V118)</x:f>
      </x:c>
      <x:c r="M118" s="32" t="str">
        <x:f>IF(Match_Data!Y118="","",1/Match_Data!Y118)</x:f>
      </x:c>
      <x:c r="N118" s="32" t="str">
        <x:f>IF(Match_Data!AA118="","",1/Match_Data!AA118)</x:f>
      </x:c>
      <x:c r="O118" s="32" t="str">
        <x:f>IF(OR(M118="",N118=""),"",N118-M118)</x:f>
      </x:c>
      <x:c r="P118" t="str">
        <x:f>IF(Match_Data!J118="","",IF(Match_Data!J118="OVER",1,0))</x:f>
      </x:c>
    </x:row>
    <x:row r="119">
      <x:c r="A119" t="n">
        <x:f>Match_Data!A119</x:f>
        <x:v>0</x:v>
      </x:c>
      <x:c r="B119" s="28" t="n">
        <x:f>Match_Data!B119</x:f>
        <x:v>0</x:v>
      </x:c>
      <x:c r="C119" t="n">
        <x:f>Match_Data!C119</x:f>
        <x:v>0</x:v>
      </x:c>
      <x:c r="D119" t="n">
        <x:f>Match_Data!E119</x:f>
        <x:v>0</x:v>
      </x:c>
      <x:c r="E119" t="n">
        <x:f>Match_Data!F119</x:f>
        <x:v>0</x:v>
      </x:c>
      <x:c r="F119" t="n">
        <x:f>Match_Data!AC119</x:f>
        <x:v>0</x:v>
      </x:c>
      <x:c r="G119" t="str">
        <x:f>IF(OR(Match_Data!K119="",Match_Data!L119=""),"",AVERAGE(Match_Data!K119:L119))</x:f>
      </x:c>
      <x:c r="H119" t="str">
        <x:f>IF(OR(Match_Data!M119="",Match_Data!N119=""),"",AVERAGE(Match_Data!M119:N119))</x:f>
      </x:c>
      <x:c r="I119" t="str">
        <x:f>IF(OR(Match_Data!O119="",Match_Data!Q119=""),"",Match_Data!O119+Match_Data!Q119)</x:f>
      </x:c>
      <x:c r="J119" t="str">
        <x:f>IF(OR(Match_Data!P119="",Match_Data!R119=""),"",Match_Data!P119+Match_Data!R119)</x:f>
      </x:c>
      <x:c r="K119" t="str">
        <x:f>IF(OR(Match_Data!S119="",Match_Data!T119=""),"",Match_Data!S119+Match_Data!T119)</x:f>
      </x:c>
      <x:c r="L119" t="str">
        <x:f>IF(OR(Match_Data!U119="",Match_Data!V119=""),"",Match_Data!U119-Match_Data!V119)</x:f>
      </x:c>
      <x:c r="M119" s="32" t="str">
        <x:f>IF(Match_Data!Y119="","",1/Match_Data!Y119)</x:f>
      </x:c>
      <x:c r="N119" s="32" t="str">
        <x:f>IF(Match_Data!AA119="","",1/Match_Data!AA119)</x:f>
      </x:c>
      <x:c r="O119" s="32" t="str">
        <x:f>IF(OR(M119="",N119=""),"",N119-M119)</x:f>
      </x:c>
      <x:c r="P119" t="str">
        <x:f>IF(Match_Data!J119="","",IF(Match_Data!J119="OVER",1,0))</x:f>
      </x:c>
    </x:row>
    <x:row r="120">
      <x:c r="A120" t="n">
        <x:f>Match_Data!A120</x:f>
        <x:v>0</x:v>
      </x:c>
      <x:c r="B120" s="28" t="n">
        <x:f>Match_Data!B120</x:f>
        <x:v>0</x:v>
      </x:c>
      <x:c r="C120" t="n">
        <x:f>Match_Data!C120</x:f>
        <x:v>0</x:v>
      </x:c>
      <x:c r="D120" t="n">
        <x:f>Match_Data!E120</x:f>
        <x:v>0</x:v>
      </x:c>
      <x:c r="E120" t="n">
        <x:f>Match_Data!F120</x:f>
        <x:v>0</x:v>
      </x:c>
      <x:c r="F120" t="n">
        <x:f>Match_Data!AC120</x:f>
        <x:v>0</x:v>
      </x:c>
      <x:c r="G120" t="str">
        <x:f>IF(OR(Match_Data!K120="",Match_Data!L120=""),"",AVERAGE(Match_Data!K120:L120))</x:f>
      </x:c>
      <x:c r="H120" t="str">
        <x:f>IF(OR(Match_Data!M120="",Match_Data!N120=""),"",AVERAGE(Match_Data!M120:N120))</x:f>
      </x:c>
      <x:c r="I120" t="str">
        <x:f>IF(OR(Match_Data!O120="",Match_Data!Q120=""),"",Match_Data!O120+Match_Data!Q120)</x:f>
      </x:c>
      <x:c r="J120" t="str">
        <x:f>IF(OR(Match_Data!P120="",Match_Data!R120=""),"",Match_Data!P120+Match_Data!R120)</x:f>
      </x:c>
      <x:c r="K120" t="str">
        <x:f>IF(OR(Match_Data!S120="",Match_Data!T120=""),"",Match_Data!S120+Match_Data!T120)</x:f>
      </x:c>
      <x:c r="L120" t="str">
        <x:f>IF(OR(Match_Data!U120="",Match_Data!V120=""),"",Match_Data!U120-Match_Data!V120)</x:f>
      </x:c>
      <x:c r="M120" s="32" t="str">
        <x:f>IF(Match_Data!Y120="","",1/Match_Data!Y120)</x:f>
      </x:c>
      <x:c r="N120" s="32" t="str">
        <x:f>IF(Match_Data!AA120="","",1/Match_Data!AA120)</x:f>
      </x:c>
      <x:c r="O120" s="32" t="str">
        <x:f>IF(OR(M120="",N120=""),"",N120-M120)</x:f>
      </x:c>
      <x:c r="P120" t="str">
        <x:f>IF(Match_Data!J120="","",IF(Match_Data!J120="OVER",1,0))</x:f>
      </x:c>
    </x:row>
    <x:row r="121">
      <x:c r="A121" t="n">
        <x:f>Match_Data!A121</x:f>
        <x:v>0</x:v>
      </x:c>
      <x:c r="B121" s="28" t="n">
        <x:f>Match_Data!B121</x:f>
        <x:v>0</x:v>
      </x:c>
      <x:c r="C121" t="n">
        <x:f>Match_Data!C121</x:f>
        <x:v>0</x:v>
      </x:c>
      <x:c r="D121" t="n">
        <x:f>Match_Data!E121</x:f>
        <x:v>0</x:v>
      </x:c>
      <x:c r="E121" t="n">
        <x:f>Match_Data!F121</x:f>
        <x:v>0</x:v>
      </x:c>
      <x:c r="F121" t="n">
        <x:f>Match_Data!AC121</x:f>
        <x:v>0</x:v>
      </x:c>
      <x:c r="G121" t="str">
        <x:f>IF(OR(Match_Data!K121="",Match_Data!L121=""),"",AVERAGE(Match_Data!K121:L121))</x:f>
      </x:c>
      <x:c r="H121" t="str">
        <x:f>IF(OR(Match_Data!M121="",Match_Data!N121=""),"",AVERAGE(Match_Data!M121:N121))</x:f>
      </x:c>
      <x:c r="I121" t="str">
        <x:f>IF(OR(Match_Data!O121="",Match_Data!Q121=""),"",Match_Data!O121+Match_Data!Q121)</x:f>
      </x:c>
      <x:c r="J121" t="str">
        <x:f>IF(OR(Match_Data!P121="",Match_Data!R121=""),"",Match_Data!P121+Match_Data!R121)</x:f>
      </x:c>
      <x:c r="K121" t="str">
        <x:f>IF(OR(Match_Data!S121="",Match_Data!T121=""),"",Match_Data!S121+Match_Data!T121)</x:f>
      </x:c>
      <x:c r="L121" t="str">
        <x:f>IF(OR(Match_Data!U121="",Match_Data!V121=""),"",Match_Data!U121-Match_Data!V121)</x:f>
      </x:c>
      <x:c r="M121" s="32" t="str">
        <x:f>IF(Match_Data!Y121="","",1/Match_Data!Y121)</x:f>
      </x:c>
      <x:c r="N121" s="32" t="str">
        <x:f>IF(Match_Data!AA121="","",1/Match_Data!AA121)</x:f>
      </x:c>
      <x:c r="O121" s="32" t="str">
        <x:f>IF(OR(M121="",N121=""),"",N121-M121)</x:f>
      </x:c>
      <x:c r="P121" t="str">
        <x:f>IF(Match_Data!J121="","",IF(Match_Data!J121="OVER",1,0))</x:f>
      </x:c>
    </x:row>
    <x:row r="122">
      <x:c r="A122" t="n">
        <x:f>Match_Data!A122</x:f>
        <x:v>0</x:v>
      </x:c>
      <x:c r="B122" s="28" t="n">
        <x:f>Match_Data!B122</x:f>
        <x:v>0</x:v>
      </x:c>
      <x:c r="C122" t="n">
        <x:f>Match_Data!C122</x:f>
        <x:v>0</x:v>
      </x:c>
      <x:c r="D122" t="n">
        <x:f>Match_Data!E122</x:f>
        <x:v>0</x:v>
      </x:c>
      <x:c r="E122" t="n">
        <x:f>Match_Data!F122</x:f>
        <x:v>0</x:v>
      </x:c>
      <x:c r="F122" t="n">
        <x:f>Match_Data!AC122</x:f>
        <x:v>0</x:v>
      </x:c>
      <x:c r="G122" t="str">
        <x:f>IF(OR(Match_Data!K122="",Match_Data!L122=""),"",AVERAGE(Match_Data!K122:L122))</x:f>
      </x:c>
      <x:c r="H122" t="str">
        <x:f>IF(OR(Match_Data!M122="",Match_Data!N122=""),"",AVERAGE(Match_Data!M122:N122))</x:f>
      </x:c>
      <x:c r="I122" t="str">
        <x:f>IF(OR(Match_Data!O122="",Match_Data!Q122=""),"",Match_Data!O122+Match_Data!Q122)</x:f>
      </x:c>
      <x:c r="J122" t="str">
        <x:f>IF(OR(Match_Data!P122="",Match_Data!R122=""),"",Match_Data!P122+Match_Data!R122)</x:f>
      </x:c>
      <x:c r="K122" t="str">
        <x:f>IF(OR(Match_Data!S122="",Match_Data!T122=""),"",Match_Data!S122+Match_Data!T122)</x:f>
      </x:c>
      <x:c r="L122" t="str">
        <x:f>IF(OR(Match_Data!U122="",Match_Data!V122=""),"",Match_Data!U122-Match_Data!V122)</x:f>
      </x:c>
      <x:c r="M122" s="32" t="str">
        <x:f>IF(Match_Data!Y122="","",1/Match_Data!Y122)</x:f>
      </x:c>
      <x:c r="N122" s="32" t="str">
        <x:f>IF(Match_Data!AA122="","",1/Match_Data!AA122)</x:f>
      </x:c>
      <x:c r="O122" s="32" t="str">
        <x:f>IF(OR(M122="",N122=""),"",N122-M122)</x:f>
      </x:c>
      <x:c r="P122" t="str">
        <x:f>IF(Match_Data!J122="","",IF(Match_Data!J122="OVER",1,0))</x:f>
      </x:c>
    </x:row>
    <x:row r="123">
      <x:c r="A123" t="n">
        <x:f>Match_Data!A123</x:f>
        <x:v>0</x:v>
      </x:c>
      <x:c r="B123" s="28" t="n">
        <x:f>Match_Data!B123</x:f>
        <x:v>0</x:v>
      </x:c>
      <x:c r="C123" t="n">
        <x:f>Match_Data!C123</x:f>
        <x:v>0</x:v>
      </x:c>
      <x:c r="D123" t="n">
        <x:f>Match_Data!E123</x:f>
        <x:v>0</x:v>
      </x:c>
      <x:c r="E123" t="n">
        <x:f>Match_Data!F123</x:f>
        <x:v>0</x:v>
      </x:c>
      <x:c r="F123" t="n">
        <x:f>Match_Data!AC123</x:f>
        <x:v>0</x:v>
      </x:c>
      <x:c r="G123" t="str">
        <x:f>IF(OR(Match_Data!K123="",Match_Data!L123=""),"",AVERAGE(Match_Data!K123:L123))</x:f>
      </x:c>
      <x:c r="H123" t="str">
        <x:f>IF(OR(Match_Data!M123="",Match_Data!N123=""),"",AVERAGE(Match_Data!M123:N123))</x:f>
      </x:c>
      <x:c r="I123" t="str">
        <x:f>IF(OR(Match_Data!O123="",Match_Data!Q123=""),"",Match_Data!O123+Match_Data!Q123)</x:f>
      </x:c>
      <x:c r="J123" t="str">
        <x:f>IF(OR(Match_Data!P123="",Match_Data!R123=""),"",Match_Data!P123+Match_Data!R123)</x:f>
      </x:c>
      <x:c r="K123" t="str">
        <x:f>IF(OR(Match_Data!S123="",Match_Data!T123=""),"",Match_Data!S123+Match_Data!T123)</x:f>
      </x:c>
      <x:c r="L123" t="str">
        <x:f>IF(OR(Match_Data!U123="",Match_Data!V123=""),"",Match_Data!U123-Match_Data!V123)</x:f>
      </x:c>
      <x:c r="M123" s="32" t="str">
        <x:f>IF(Match_Data!Y123="","",1/Match_Data!Y123)</x:f>
      </x:c>
      <x:c r="N123" s="32" t="str">
        <x:f>IF(Match_Data!AA123="","",1/Match_Data!AA123)</x:f>
      </x:c>
      <x:c r="O123" s="32" t="str">
        <x:f>IF(OR(M123="",N123=""),"",N123-M123)</x:f>
      </x:c>
      <x:c r="P123" t="str">
        <x:f>IF(Match_Data!J123="","",IF(Match_Data!J123="OVER",1,0))</x:f>
      </x:c>
    </x:row>
    <x:row r="124">
      <x:c r="A124" t="n">
        <x:f>Match_Data!A124</x:f>
        <x:v>0</x:v>
      </x:c>
      <x:c r="B124" s="28" t="n">
        <x:f>Match_Data!B124</x:f>
        <x:v>0</x:v>
      </x:c>
      <x:c r="C124" t="n">
        <x:f>Match_Data!C124</x:f>
        <x:v>0</x:v>
      </x:c>
      <x:c r="D124" t="n">
        <x:f>Match_Data!E124</x:f>
        <x:v>0</x:v>
      </x:c>
      <x:c r="E124" t="n">
        <x:f>Match_Data!F124</x:f>
        <x:v>0</x:v>
      </x:c>
      <x:c r="F124" t="n">
        <x:f>Match_Data!AC124</x:f>
        <x:v>0</x:v>
      </x:c>
      <x:c r="G124" t="str">
        <x:f>IF(OR(Match_Data!K124="",Match_Data!L124=""),"",AVERAGE(Match_Data!K124:L124))</x:f>
      </x:c>
      <x:c r="H124" t="str">
        <x:f>IF(OR(Match_Data!M124="",Match_Data!N124=""),"",AVERAGE(Match_Data!M124:N124))</x:f>
      </x:c>
      <x:c r="I124" t="str">
        <x:f>IF(OR(Match_Data!O124="",Match_Data!Q124=""),"",Match_Data!O124+Match_Data!Q124)</x:f>
      </x:c>
      <x:c r="J124" t="str">
        <x:f>IF(OR(Match_Data!P124="",Match_Data!R124=""),"",Match_Data!P124+Match_Data!R124)</x:f>
      </x:c>
      <x:c r="K124" t="str">
        <x:f>IF(OR(Match_Data!S124="",Match_Data!T124=""),"",Match_Data!S124+Match_Data!T124)</x:f>
      </x:c>
      <x:c r="L124" t="str">
        <x:f>IF(OR(Match_Data!U124="",Match_Data!V124=""),"",Match_Data!U124-Match_Data!V124)</x:f>
      </x:c>
      <x:c r="M124" s="32" t="str">
        <x:f>IF(Match_Data!Y124="","",1/Match_Data!Y124)</x:f>
      </x:c>
      <x:c r="N124" s="32" t="str">
        <x:f>IF(Match_Data!AA124="","",1/Match_Data!AA124)</x:f>
      </x:c>
      <x:c r="O124" s="32" t="str">
        <x:f>IF(OR(M124="",N124=""),"",N124-M124)</x:f>
      </x:c>
      <x:c r="P124" t="str">
        <x:f>IF(Match_Data!J124="","",IF(Match_Data!J124="OVER",1,0))</x:f>
      </x:c>
    </x:row>
    <x:row r="125">
      <x:c r="A125" t="n">
        <x:f>Match_Data!A125</x:f>
        <x:v>0</x:v>
      </x:c>
      <x:c r="B125" s="28" t="n">
        <x:f>Match_Data!B125</x:f>
        <x:v>0</x:v>
      </x:c>
      <x:c r="C125" t="n">
        <x:f>Match_Data!C125</x:f>
        <x:v>0</x:v>
      </x:c>
      <x:c r="D125" t="n">
        <x:f>Match_Data!E125</x:f>
        <x:v>0</x:v>
      </x:c>
      <x:c r="E125" t="n">
        <x:f>Match_Data!F125</x:f>
        <x:v>0</x:v>
      </x:c>
      <x:c r="F125" t="n">
        <x:f>Match_Data!AC125</x:f>
        <x:v>0</x:v>
      </x:c>
      <x:c r="G125" t="str">
        <x:f>IF(OR(Match_Data!K125="",Match_Data!L125=""),"",AVERAGE(Match_Data!K125:L125))</x:f>
      </x:c>
      <x:c r="H125" t="str">
        <x:f>IF(OR(Match_Data!M125="",Match_Data!N125=""),"",AVERAGE(Match_Data!M125:N125))</x:f>
      </x:c>
      <x:c r="I125" t="str">
        <x:f>IF(OR(Match_Data!O125="",Match_Data!Q125=""),"",Match_Data!O125+Match_Data!Q125)</x:f>
      </x:c>
      <x:c r="J125" t="str">
        <x:f>IF(OR(Match_Data!P125="",Match_Data!R125=""),"",Match_Data!P125+Match_Data!R125)</x:f>
      </x:c>
      <x:c r="K125" t="str">
        <x:f>IF(OR(Match_Data!S125="",Match_Data!T125=""),"",Match_Data!S125+Match_Data!T125)</x:f>
      </x:c>
      <x:c r="L125" t="str">
        <x:f>IF(OR(Match_Data!U125="",Match_Data!V125=""),"",Match_Data!U125-Match_Data!V125)</x:f>
      </x:c>
      <x:c r="M125" s="32" t="str">
        <x:f>IF(Match_Data!Y125="","",1/Match_Data!Y125)</x:f>
      </x:c>
      <x:c r="N125" s="32" t="str">
        <x:f>IF(Match_Data!AA125="","",1/Match_Data!AA125)</x:f>
      </x:c>
      <x:c r="O125" s="32" t="str">
        <x:f>IF(OR(M125="",N125=""),"",N125-M125)</x:f>
      </x:c>
      <x:c r="P125" t="str">
        <x:f>IF(Match_Data!J125="","",IF(Match_Data!J125="OVER",1,0))</x:f>
      </x:c>
    </x:row>
    <x:row r="126">
      <x:c r="A126" t="n">
        <x:f>Match_Data!A126</x:f>
        <x:v>0</x:v>
      </x:c>
      <x:c r="B126" s="28" t="n">
        <x:f>Match_Data!B126</x:f>
        <x:v>0</x:v>
      </x:c>
      <x:c r="C126" t="n">
        <x:f>Match_Data!C126</x:f>
        <x:v>0</x:v>
      </x:c>
      <x:c r="D126" t="n">
        <x:f>Match_Data!E126</x:f>
        <x:v>0</x:v>
      </x:c>
      <x:c r="E126" t="n">
        <x:f>Match_Data!F126</x:f>
        <x:v>0</x:v>
      </x:c>
      <x:c r="F126" t="n">
        <x:f>Match_Data!AC126</x:f>
        <x:v>0</x:v>
      </x:c>
      <x:c r="G126" t="str">
        <x:f>IF(OR(Match_Data!K126="",Match_Data!L126=""),"",AVERAGE(Match_Data!K126:L126))</x:f>
      </x:c>
      <x:c r="H126" t="str">
        <x:f>IF(OR(Match_Data!M126="",Match_Data!N126=""),"",AVERAGE(Match_Data!M126:N126))</x:f>
      </x:c>
      <x:c r="I126" t="str">
        <x:f>IF(OR(Match_Data!O126="",Match_Data!Q126=""),"",Match_Data!O126+Match_Data!Q126)</x:f>
      </x:c>
      <x:c r="J126" t="str">
        <x:f>IF(OR(Match_Data!P126="",Match_Data!R126=""),"",Match_Data!P126+Match_Data!R126)</x:f>
      </x:c>
      <x:c r="K126" t="str">
        <x:f>IF(OR(Match_Data!S126="",Match_Data!T126=""),"",Match_Data!S126+Match_Data!T126)</x:f>
      </x:c>
      <x:c r="L126" t="str">
        <x:f>IF(OR(Match_Data!U126="",Match_Data!V126=""),"",Match_Data!U126-Match_Data!V126)</x:f>
      </x:c>
      <x:c r="M126" s="32" t="str">
        <x:f>IF(Match_Data!Y126="","",1/Match_Data!Y126)</x:f>
      </x:c>
      <x:c r="N126" s="32" t="str">
        <x:f>IF(Match_Data!AA126="","",1/Match_Data!AA126)</x:f>
      </x:c>
      <x:c r="O126" s="32" t="str">
        <x:f>IF(OR(M126="",N126=""),"",N126-M126)</x:f>
      </x:c>
      <x:c r="P126" t="str">
        <x:f>IF(Match_Data!J126="","",IF(Match_Data!J126="OVER",1,0))</x:f>
      </x:c>
    </x:row>
    <x:row r="127">
      <x:c r="A127" t="n">
        <x:f>Match_Data!A127</x:f>
        <x:v>0</x:v>
      </x:c>
      <x:c r="B127" s="28" t="n">
        <x:f>Match_Data!B127</x:f>
        <x:v>0</x:v>
      </x:c>
      <x:c r="C127" t="n">
        <x:f>Match_Data!C127</x:f>
        <x:v>0</x:v>
      </x:c>
      <x:c r="D127" t="n">
        <x:f>Match_Data!E127</x:f>
        <x:v>0</x:v>
      </x:c>
      <x:c r="E127" t="n">
        <x:f>Match_Data!F127</x:f>
        <x:v>0</x:v>
      </x:c>
      <x:c r="F127" t="n">
        <x:f>Match_Data!AC127</x:f>
        <x:v>0</x:v>
      </x:c>
      <x:c r="G127" t="str">
        <x:f>IF(OR(Match_Data!K127="",Match_Data!L127=""),"",AVERAGE(Match_Data!K127:L127))</x:f>
      </x:c>
      <x:c r="H127" t="str">
        <x:f>IF(OR(Match_Data!M127="",Match_Data!N127=""),"",AVERAGE(Match_Data!M127:N127))</x:f>
      </x:c>
      <x:c r="I127" t="str">
        <x:f>IF(OR(Match_Data!O127="",Match_Data!Q127=""),"",Match_Data!O127+Match_Data!Q127)</x:f>
      </x:c>
      <x:c r="J127" t="str">
        <x:f>IF(OR(Match_Data!P127="",Match_Data!R127=""),"",Match_Data!P127+Match_Data!R127)</x:f>
      </x:c>
      <x:c r="K127" t="str">
        <x:f>IF(OR(Match_Data!S127="",Match_Data!T127=""),"",Match_Data!S127+Match_Data!T127)</x:f>
      </x:c>
      <x:c r="L127" t="str">
        <x:f>IF(OR(Match_Data!U127="",Match_Data!V127=""),"",Match_Data!U127-Match_Data!V127)</x:f>
      </x:c>
      <x:c r="M127" s="32" t="str">
        <x:f>IF(Match_Data!Y127="","",1/Match_Data!Y127)</x:f>
      </x:c>
      <x:c r="N127" s="32" t="str">
        <x:f>IF(Match_Data!AA127="","",1/Match_Data!AA127)</x:f>
      </x:c>
      <x:c r="O127" s="32" t="str">
        <x:f>IF(OR(M127="",N127=""),"",N127-M127)</x:f>
      </x:c>
      <x:c r="P127" t="str">
        <x:f>IF(Match_Data!J127="","",IF(Match_Data!J127="OVER",1,0))</x:f>
      </x:c>
    </x:row>
    <x:row r="128">
      <x:c r="A128" t="n">
        <x:f>Match_Data!A128</x:f>
        <x:v>0</x:v>
      </x:c>
      <x:c r="B128" s="28" t="n">
        <x:f>Match_Data!B128</x:f>
        <x:v>0</x:v>
      </x:c>
      <x:c r="C128" t="n">
        <x:f>Match_Data!C128</x:f>
        <x:v>0</x:v>
      </x:c>
      <x:c r="D128" t="n">
        <x:f>Match_Data!E128</x:f>
        <x:v>0</x:v>
      </x:c>
      <x:c r="E128" t="n">
        <x:f>Match_Data!F128</x:f>
        <x:v>0</x:v>
      </x:c>
      <x:c r="F128" t="n">
        <x:f>Match_Data!AC128</x:f>
        <x:v>0</x:v>
      </x:c>
      <x:c r="G128" t="str">
        <x:f>IF(OR(Match_Data!K128="",Match_Data!L128=""),"",AVERAGE(Match_Data!K128:L128))</x:f>
      </x:c>
      <x:c r="H128" t="str">
        <x:f>IF(OR(Match_Data!M128="",Match_Data!N128=""),"",AVERAGE(Match_Data!M128:N128))</x:f>
      </x:c>
      <x:c r="I128" t="str">
        <x:f>IF(OR(Match_Data!O128="",Match_Data!Q128=""),"",Match_Data!O128+Match_Data!Q128)</x:f>
      </x:c>
      <x:c r="J128" t="str">
        <x:f>IF(OR(Match_Data!P128="",Match_Data!R128=""),"",Match_Data!P128+Match_Data!R128)</x:f>
      </x:c>
      <x:c r="K128" t="str">
        <x:f>IF(OR(Match_Data!S128="",Match_Data!T128=""),"",Match_Data!S128+Match_Data!T128)</x:f>
      </x:c>
      <x:c r="L128" t="str">
        <x:f>IF(OR(Match_Data!U128="",Match_Data!V128=""),"",Match_Data!U128-Match_Data!V128)</x:f>
      </x:c>
      <x:c r="M128" s="32" t="str">
        <x:f>IF(Match_Data!Y128="","",1/Match_Data!Y128)</x:f>
      </x:c>
      <x:c r="N128" s="32" t="str">
        <x:f>IF(Match_Data!AA128="","",1/Match_Data!AA128)</x:f>
      </x:c>
      <x:c r="O128" s="32" t="str">
        <x:f>IF(OR(M128="",N128=""),"",N128-M128)</x:f>
      </x:c>
      <x:c r="P128" t="str">
        <x:f>IF(Match_Data!J128="","",IF(Match_Data!J128="OVER",1,0))</x:f>
      </x:c>
    </x:row>
    <x:row r="129">
      <x:c r="A129" t="n">
        <x:f>Match_Data!A129</x:f>
        <x:v>0</x:v>
      </x:c>
      <x:c r="B129" s="28" t="n">
        <x:f>Match_Data!B129</x:f>
        <x:v>0</x:v>
      </x:c>
      <x:c r="C129" t="n">
        <x:f>Match_Data!C129</x:f>
        <x:v>0</x:v>
      </x:c>
      <x:c r="D129" t="n">
        <x:f>Match_Data!E129</x:f>
        <x:v>0</x:v>
      </x:c>
      <x:c r="E129" t="n">
        <x:f>Match_Data!F129</x:f>
        <x:v>0</x:v>
      </x:c>
      <x:c r="F129" t="n">
        <x:f>Match_Data!AC129</x:f>
        <x:v>0</x:v>
      </x:c>
      <x:c r="G129" t="str">
        <x:f>IF(OR(Match_Data!K129="",Match_Data!L129=""),"",AVERAGE(Match_Data!K129:L129))</x:f>
      </x:c>
      <x:c r="H129" t="str">
        <x:f>IF(OR(Match_Data!M129="",Match_Data!N129=""),"",AVERAGE(Match_Data!M129:N129))</x:f>
      </x:c>
      <x:c r="I129" t="str">
        <x:f>IF(OR(Match_Data!O129="",Match_Data!Q129=""),"",Match_Data!O129+Match_Data!Q129)</x:f>
      </x:c>
      <x:c r="J129" t="str">
        <x:f>IF(OR(Match_Data!P129="",Match_Data!R129=""),"",Match_Data!P129+Match_Data!R129)</x:f>
      </x:c>
      <x:c r="K129" t="str">
        <x:f>IF(OR(Match_Data!S129="",Match_Data!T129=""),"",Match_Data!S129+Match_Data!T129)</x:f>
      </x:c>
      <x:c r="L129" t="str">
        <x:f>IF(OR(Match_Data!U129="",Match_Data!V129=""),"",Match_Data!U129-Match_Data!V129)</x:f>
      </x:c>
      <x:c r="M129" s="32" t="str">
        <x:f>IF(Match_Data!Y129="","",1/Match_Data!Y129)</x:f>
      </x:c>
      <x:c r="N129" s="32" t="str">
        <x:f>IF(Match_Data!AA129="","",1/Match_Data!AA129)</x:f>
      </x:c>
      <x:c r="O129" s="32" t="str">
        <x:f>IF(OR(M129="",N129=""),"",N129-M129)</x:f>
      </x:c>
      <x:c r="P129" t="str">
        <x:f>IF(Match_Data!J129="","",IF(Match_Data!J129="OVER",1,0))</x:f>
      </x:c>
    </x:row>
    <x:row r="130">
      <x:c r="A130" t="n">
        <x:f>Match_Data!A130</x:f>
        <x:v>0</x:v>
      </x:c>
      <x:c r="B130" s="28" t="n">
        <x:f>Match_Data!B130</x:f>
        <x:v>0</x:v>
      </x:c>
      <x:c r="C130" t="n">
        <x:f>Match_Data!C130</x:f>
        <x:v>0</x:v>
      </x:c>
      <x:c r="D130" t="n">
        <x:f>Match_Data!E130</x:f>
        <x:v>0</x:v>
      </x:c>
      <x:c r="E130" t="n">
        <x:f>Match_Data!F130</x:f>
        <x:v>0</x:v>
      </x:c>
      <x:c r="F130" t="n">
        <x:f>Match_Data!AC130</x:f>
        <x:v>0</x:v>
      </x:c>
      <x:c r="G130" t="str">
        <x:f>IF(OR(Match_Data!K130="",Match_Data!L130=""),"",AVERAGE(Match_Data!K130:L130))</x:f>
      </x:c>
      <x:c r="H130" t="str">
        <x:f>IF(OR(Match_Data!M130="",Match_Data!N130=""),"",AVERAGE(Match_Data!M130:N130))</x:f>
      </x:c>
      <x:c r="I130" t="str">
        <x:f>IF(OR(Match_Data!O130="",Match_Data!Q130=""),"",Match_Data!O130+Match_Data!Q130)</x:f>
      </x:c>
      <x:c r="J130" t="str">
        <x:f>IF(OR(Match_Data!P130="",Match_Data!R130=""),"",Match_Data!P130+Match_Data!R130)</x:f>
      </x:c>
      <x:c r="K130" t="str">
        <x:f>IF(OR(Match_Data!S130="",Match_Data!T130=""),"",Match_Data!S130+Match_Data!T130)</x:f>
      </x:c>
      <x:c r="L130" t="str">
        <x:f>IF(OR(Match_Data!U130="",Match_Data!V130=""),"",Match_Data!U130-Match_Data!V130)</x:f>
      </x:c>
      <x:c r="M130" s="32" t="str">
        <x:f>IF(Match_Data!Y130="","",1/Match_Data!Y130)</x:f>
      </x:c>
      <x:c r="N130" s="32" t="str">
        <x:f>IF(Match_Data!AA130="","",1/Match_Data!AA130)</x:f>
      </x:c>
      <x:c r="O130" s="32" t="str">
        <x:f>IF(OR(M130="",N130=""),"",N130-M130)</x:f>
      </x:c>
      <x:c r="P130" t="str">
        <x:f>IF(Match_Data!J130="","",IF(Match_Data!J130="OVER",1,0))</x:f>
      </x:c>
    </x:row>
    <x:row r="131">
      <x:c r="A131" t="n">
        <x:f>Match_Data!A131</x:f>
        <x:v>0</x:v>
      </x:c>
      <x:c r="B131" s="28" t="n">
        <x:f>Match_Data!B131</x:f>
        <x:v>0</x:v>
      </x:c>
      <x:c r="C131" t="n">
        <x:f>Match_Data!C131</x:f>
        <x:v>0</x:v>
      </x:c>
      <x:c r="D131" t="n">
        <x:f>Match_Data!E131</x:f>
        <x:v>0</x:v>
      </x:c>
      <x:c r="E131" t="n">
        <x:f>Match_Data!F131</x:f>
        <x:v>0</x:v>
      </x:c>
      <x:c r="F131" t="n">
        <x:f>Match_Data!AC131</x:f>
        <x:v>0</x:v>
      </x:c>
      <x:c r="G131" t="str">
        <x:f>IF(OR(Match_Data!K131="",Match_Data!L131=""),"",AVERAGE(Match_Data!K131:L131))</x:f>
      </x:c>
      <x:c r="H131" t="str">
        <x:f>IF(OR(Match_Data!M131="",Match_Data!N131=""),"",AVERAGE(Match_Data!M131:N131))</x:f>
      </x:c>
      <x:c r="I131" t="str">
        <x:f>IF(OR(Match_Data!O131="",Match_Data!Q131=""),"",Match_Data!O131+Match_Data!Q131)</x:f>
      </x:c>
      <x:c r="J131" t="str">
        <x:f>IF(OR(Match_Data!P131="",Match_Data!R131=""),"",Match_Data!P131+Match_Data!R131)</x:f>
      </x:c>
      <x:c r="K131" t="str">
        <x:f>IF(OR(Match_Data!S131="",Match_Data!T131=""),"",Match_Data!S131+Match_Data!T131)</x:f>
      </x:c>
      <x:c r="L131" t="str">
        <x:f>IF(OR(Match_Data!U131="",Match_Data!V131=""),"",Match_Data!U131-Match_Data!V131)</x:f>
      </x:c>
      <x:c r="M131" s="32" t="str">
        <x:f>IF(Match_Data!Y131="","",1/Match_Data!Y131)</x:f>
      </x:c>
      <x:c r="N131" s="32" t="str">
        <x:f>IF(Match_Data!AA131="","",1/Match_Data!AA131)</x:f>
      </x:c>
      <x:c r="O131" s="32" t="str">
        <x:f>IF(OR(M131="",N131=""),"",N131-M131)</x:f>
      </x:c>
      <x:c r="P131" t="str">
        <x:f>IF(Match_Data!J131="","",IF(Match_Data!J131="OVER",1,0))</x:f>
      </x:c>
    </x:row>
    <x:row r="132">
      <x:c r="A132" t="n">
        <x:f>Match_Data!A132</x:f>
        <x:v>0</x:v>
      </x:c>
      <x:c r="B132" s="28" t="n">
        <x:f>Match_Data!B132</x:f>
        <x:v>0</x:v>
      </x:c>
      <x:c r="C132" t="n">
        <x:f>Match_Data!C132</x:f>
        <x:v>0</x:v>
      </x:c>
      <x:c r="D132" t="n">
        <x:f>Match_Data!E132</x:f>
        <x:v>0</x:v>
      </x:c>
      <x:c r="E132" t="n">
        <x:f>Match_Data!F132</x:f>
        <x:v>0</x:v>
      </x:c>
      <x:c r="F132" t="n">
        <x:f>Match_Data!AC132</x:f>
        <x:v>0</x:v>
      </x:c>
      <x:c r="G132" t="str">
        <x:f>IF(OR(Match_Data!K132="",Match_Data!L132=""),"",AVERAGE(Match_Data!K132:L132))</x:f>
      </x:c>
      <x:c r="H132" t="str">
        <x:f>IF(OR(Match_Data!M132="",Match_Data!N132=""),"",AVERAGE(Match_Data!M132:N132))</x:f>
      </x:c>
      <x:c r="I132" t="str">
        <x:f>IF(OR(Match_Data!O132="",Match_Data!Q132=""),"",Match_Data!O132+Match_Data!Q132)</x:f>
      </x:c>
      <x:c r="J132" t="str">
        <x:f>IF(OR(Match_Data!P132="",Match_Data!R132=""),"",Match_Data!P132+Match_Data!R132)</x:f>
      </x:c>
      <x:c r="K132" t="str">
        <x:f>IF(OR(Match_Data!S132="",Match_Data!T132=""),"",Match_Data!S132+Match_Data!T132)</x:f>
      </x:c>
      <x:c r="L132" t="str">
        <x:f>IF(OR(Match_Data!U132="",Match_Data!V132=""),"",Match_Data!U132-Match_Data!V132)</x:f>
      </x:c>
      <x:c r="M132" s="32" t="str">
        <x:f>IF(Match_Data!Y132="","",1/Match_Data!Y132)</x:f>
      </x:c>
      <x:c r="N132" s="32" t="str">
        <x:f>IF(Match_Data!AA132="","",1/Match_Data!AA132)</x:f>
      </x:c>
      <x:c r="O132" s="32" t="str">
        <x:f>IF(OR(M132="",N132=""),"",N132-M132)</x:f>
      </x:c>
      <x:c r="P132" t="str">
        <x:f>IF(Match_Data!J132="","",IF(Match_Data!J132="OVER",1,0))</x:f>
      </x:c>
    </x:row>
    <x:row r="133">
      <x:c r="A133" t="n">
        <x:f>Match_Data!A133</x:f>
        <x:v>0</x:v>
      </x:c>
      <x:c r="B133" s="28" t="n">
        <x:f>Match_Data!B133</x:f>
        <x:v>0</x:v>
      </x:c>
      <x:c r="C133" t="n">
        <x:f>Match_Data!C133</x:f>
        <x:v>0</x:v>
      </x:c>
      <x:c r="D133" t="n">
        <x:f>Match_Data!E133</x:f>
        <x:v>0</x:v>
      </x:c>
      <x:c r="E133" t="n">
        <x:f>Match_Data!F133</x:f>
        <x:v>0</x:v>
      </x:c>
      <x:c r="F133" t="n">
        <x:f>Match_Data!AC133</x:f>
        <x:v>0</x:v>
      </x:c>
      <x:c r="G133" t="str">
        <x:f>IF(OR(Match_Data!K133="",Match_Data!L133=""),"",AVERAGE(Match_Data!K133:L133))</x:f>
      </x:c>
      <x:c r="H133" t="str">
        <x:f>IF(OR(Match_Data!M133="",Match_Data!N133=""),"",AVERAGE(Match_Data!M133:N133))</x:f>
      </x:c>
      <x:c r="I133" t="str">
        <x:f>IF(OR(Match_Data!O133="",Match_Data!Q133=""),"",Match_Data!O133+Match_Data!Q133)</x:f>
      </x:c>
      <x:c r="J133" t="str">
        <x:f>IF(OR(Match_Data!P133="",Match_Data!R133=""),"",Match_Data!P133+Match_Data!R133)</x:f>
      </x:c>
      <x:c r="K133" t="str">
        <x:f>IF(OR(Match_Data!S133="",Match_Data!T133=""),"",Match_Data!S133+Match_Data!T133)</x:f>
      </x:c>
      <x:c r="L133" t="str">
        <x:f>IF(OR(Match_Data!U133="",Match_Data!V133=""),"",Match_Data!U133-Match_Data!V133)</x:f>
      </x:c>
      <x:c r="M133" s="32" t="str">
        <x:f>IF(Match_Data!Y133="","",1/Match_Data!Y133)</x:f>
      </x:c>
      <x:c r="N133" s="32" t="str">
        <x:f>IF(Match_Data!AA133="","",1/Match_Data!AA133)</x:f>
      </x:c>
      <x:c r="O133" s="32" t="str">
        <x:f>IF(OR(M133="",N133=""),"",N133-M133)</x:f>
      </x:c>
      <x:c r="P133" t="str">
        <x:f>IF(Match_Data!J133="","",IF(Match_Data!J133="OVER",1,0))</x:f>
      </x:c>
    </x:row>
    <x:row r="134">
      <x:c r="A134" t="n">
        <x:f>Match_Data!A134</x:f>
        <x:v>0</x:v>
      </x:c>
      <x:c r="B134" s="28" t="n">
        <x:f>Match_Data!B134</x:f>
        <x:v>0</x:v>
      </x:c>
      <x:c r="C134" t="n">
        <x:f>Match_Data!C134</x:f>
        <x:v>0</x:v>
      </x:c>
      <x:c r="D134" t="n">
        <x:f>Match_Data!E134</x:f>
        <x:v>0</x:v>
      </x:c>
      <x:c r="E134" t="n">
        <x:f>Match_Data!F134</x:f>
        <x:v>0</x:v>
      </x:c>
      <x:c r="F134" t="n">
        <x:f>Match_Data!AC134</x:f>
        <x:v>0</x:v>
      </x:c>
      <x:c r="G134" t="str">
        <x:f>IF(OR(Match_Data!K134="",Match_Data!L134=""),"",AVERAGE(Match_Data!K134:L134))</x:f>
      </x:c>
      <x:c r="H134" t="str">
        <x:f>IF(OR(Match_Data!M134="",Match_Data!N134=""),"",AVERAGE(Match_Data!M134:N134))</x:f>
      </x:c>
      <x:c r="I134" t="str">
        <x:f>IF(OR(Match_Data!O134="",Match_Data!Q134=""),"",Match_Data!O134+Match_Data!Q134)</x:f>
      </x:c>
      <x:c r="J134" t="str">
        <x:f>IF(OR(Match_Data!P134="",Match_Data!R134=""),"",Match_Data!P134+Match_Data!R134)</x:f>
      </x:c>
      <x:c r="K134" t="str">
        <x:f>IF(OR(Match_Data!S134="",Match_Data!T134=""),"",Match_Data!S134+Match_Data!T134)</x:f>
      </x:c>
      <x:c r="L134" t="str">
        <x:f>IF(OR(Match_Data!U134="",Match_Data!V134=""),"",Match_Data!U134-Match_Data!V134)</x:f>
      </x:c>
      <x:c r="M134" s="32" t="str">
        <x:f>IF(Match_Data!Y134="","",1/Match_Data!Y134)</x:f>
      </x:c>
      <x:c r="N134" s="32" t="str">
        <x:f>IF(Match_Data!AA134="","",1/Match_Data!AA134)</x:f>
      </x:c>
      <x:c r="O134" s="32" t="str">
        <x:f>IF(OR(M134="",N134=""),"",N134-M134)</x:f>
      </x:c>
      <x:c r="P134" t="str">
        <x:f>IF(Match_Data!J134="","",IF(Match_Data!J134="OVER",1,0))</x:f>
      </x:c>
    </x:row>
    <x:row r="135">
      <x:c r="A135" t="n">
        <x:f>Match_Data!A135</x:f>
        <x:v>0</x:v>
      </x:c>
      <x:c r="B135" s="28" t="n">
        <x:f>Match_Data!B135</x:f>
        <x:v>0</x:v>
      </x:c>
      <x:c r="C135" t="n">
        <x:f>Match_Data!C135</x:f>
        <x:v>0</x:v>
      </x:c>
      <x:c r="D135" t="n">
        <x:f>Match_Data!E135</x:f>
        <x:v>0</x:v>
      </x:c>
      <x:c r="E135" t="n">
        <x:f>Match_Data!F135</x:f>
        <x:v>0</x:v>
      </x:c>
      <x:c r="F135" t="n">
        <x:f>Match_Data!AC135</x:f>
        <x:v>0</x:v>
      </x:c>
      <x:c r="G135" t="str">
        <x:f>IF(OR(Match_Data!K135="",Match_Data!L135=""),"",AVERAGE(Match_Data!K135:L135))</x:f>
      </x:c>
      <x:c r="H135" t="str">
        <x:f>IF(OR(Match_Data!M135="",Match_Data!N135=""),"",AVERAGE(Match_Data!M135:N135))</x:f>
      </x:c>
      <x:c r="I135" t="str">
        <x:f>IF(OR(Match_Data!O135="",Match_Data!Q135=""),"",Match_Data!O135+Match_Data!Q135)</x:f>
      </x:c>
      <x:c r="J135" t="str">
        <x:f>IF(OR(Match_Data!P135="",Match_Data!R135=""),"",Match_Data!P135+Match_Data!R135)</x:f>
      </x:c>
      <x:c r="K135" t="str">
        <x:f>IF(OR(Match_Data!S135="",Match_Data!T135=""),"",Match_Data!S135+Match_Data!T135)</x:f>
      </x:c>
      <x:c r="L135" t="str">
        <x:f>IF(OR(Match_Data!U135="",Match_Data!V135=""),"",Match_Data!U135-Match_Data!V135)</x:f>
      </x:c>
      <x:c r="M135" s="32" t="str">
        <x:f>IF(Match_Data!Y135="","",1/Match_Data!Y135)</x:f>
      </x:c>
      <x:c r="N135" s="32" t="str">
        <x:f>IF(Match_Data!AA135="","",1/Match_Data!AA135)</x:f>
      </x:c>
      <x:c r="O135" s="32" t="str">
        <x:f>IF(OR(M135="",N135=""),"",N135-M135)</x:f>
      </x:c>
      <x:c r="P135" t="str">
        <x:f>IF(Match_Data!J135="","",IF(Match_Data!J135="OVER",1,0))</x:f>
      </x:c>
    </x:row>
    <x:row r="136">
      <x:c r="A136" t="n">
        <x:f>Match_Data!A136</x:f>
        <x:v>0</x:v>
      </x:c>
      <x:c r="B136" s="28" t="n">
        <x:f>Match_Data!B136</x:f>
        <x:v>0</x:v>
      </x:c>
      <x:c r="C136" t="n">
        <x:f>Match_Data!C136</x:f>
        <x:v>0</x:v>
      </x:c>
      <x:c r="D136" t="n">
        <x:f>Match_Data!E136</x:f>
        <x:v>0</x:v>
      </x:c>
      <x:c r="E136" t="n">
        <x:f>Match_Data!F136</x:f>
        <x:v>0</x:v>
      </x:c>
      <x:c r="F136" t="n">
        <x:f>Match_Data!AC136</x:f>
        <x:v>0</x:v>
      </x:c>
      <x:c r="G136" t="str">
        <x:f>IF(OR(Match_Data!K136="",Match_Data!L136=""),"",AVERAGE(Match_Data!K136:L136))</x:f>
      </x:c>
      <x:c r="H136" t="str">
        <x:f>IF(OR(Match_Data!M136="",Match_Data!N136=""),"",AVERAGE(Match_Data!M136:N136))</x:f>
      </x:c>
      <x:c r="I136" t="str">
        <x:f>IF(OR(Match_Data!O136="",Match_Data!Q136=""),"",Match_Data!O136+Match_Data!Q136)</x:f>
      </x:c>
      <x:c r="J136" t="str">
        <x:f>IF(OR(Match_Data!P136="",Match_Data!R136=""),"",Match_Data!P136+Match_Data!R136)</x:f>
      </x:c>
      <x:c r="K136" t="str">
        <x:f>IF(OR(Match_Data!S136="",Match_Data!T136=""),"",Match_Data!S136+Match_Data!T136)</x:f>
      </x:c>
      <x:c r="L136" t="str">
        <x:f>IF(OR(Match_Data!U136="",Match_Data!V136=""),"",Match_Data!U136-Match_Data!V136)</x:f>
      </x:c>
      <x:c r="M136" s="32" t="str">
        <x:f>IF(Match_Data!Y136="","",1/Match_Data!Y136)</x:f>
      </x:c>
      <x:c r="N136" s="32" t="str">
        <x:f>IF(Match_Data!AA136="","",1/Match_Data!AA136)</x:f>
      </x:c>
      <x:c r="O136" s="32" t="str">
        <x:f>IF(OR(M136="",N136=""),"",N136-M136)</x:f>
      </x:c>
      <x:c r="P136" t="str">
        <x:f>IF(Match_Data!J136="","",IF(Match_Data!J136="OVER",1,0))</x:f>
      </x:c>
    </x:row>
    <x:row r="137">
      <x:c r="A137" t="n">
        <x:f>Match_Data!A137</x:f>
        <x:v>0</x:v>
      </x:c>
      <x:c r="B137" s="28" t="n">
        <x:f>Match_Data!B137</x:f>
        <x:v>0</x:v>
      </x:c>
      <x:c r="C137" t="n">
        <x:f>Match_Data!C137</x:f>
        <x:v>0</x:v>
      </x:c>
      <x:c r="D137" t="n">
        <x:f>Match_Data!E137</x:f>
        <x:v>0</x:v>
      </x:c>
      <x:c r="E137" t="n">
        <x:f>Match_Data!F137</x:f>
        <x:v>0</x:v>
      </x:c>
      <x:c r="F137" t="n">
        <x:f>Match_Data!AC137</x:f>
        <x:v>0</x:v>
      </x:c>
      <x:c r="G137" t="str">
        <x:f>IF(OR(Match_Data!K137="",Match_Data!L137=""),"",AVERAGE(Match_Data!K137:L137))</x:f>
      </x:c>
      <x:c r="H137" t="str">
        <x:f>IF(OR(Match_Data!M137="",Match_Data!N137=""),"",AVERAGE(Match_Data!M137:N137))</x:f>
      </x:c>
      <x:c r="I137" t="str">
        <x:f>IF(OR(Match_Data!O137="",Match_Data!Q137=""),"",Match_Data!O137+Match_Data!Q137)</x:f>
      </x:c>
      <x:c r="J137" t="str">
        <x:f>IF(OR(Match_Data!P137="",Match_Data!R137=""),"",Match_Data!P137+Match_Data!R137)</x:f>
      </x:c>
      <x:c r="K137" t="str">
        <x:f>IF(OR(Match_Data!S137="",Match_Data!T137=""),"",Match_Data!S137+Match_Data!T137)</x:f>
      </x:c>
      <x:c r="L137" t="str">
        <x:f>IF(OR(Match_Data!U137="",Match_Data!V137=""),"",Match_Data!U137-Match_Data!V137)</x:f>
      </x:c>
      <x:c r="M137" s="32" t="str">
        <x:f>IF(Match_Data!Y137="","",1/Match_Data!Y137)</x:f>
      </x:c>
      <x:c r="N137" s="32" t="str">
        <x:f>IF(Match_Data!AA137="","",1/Match_Data!AA137)</x:f>
      </x:c>
      <x:c r="O137" s="32" t="str">
        <x:f>IF(OR(M137="",N137=""),"",N137-M137)</x:f>
      </x:c>
      <x:c r="P137" t="str">
        <x:f>IF(Match_Data!J137="","",IF(Match_Data!J137="OVER",1,0))</x:f>
      </x:c>
    </x:row>
    <x:row r="138">
      <x:c r="A138" t="n">
        <x:f>Match_Data!A138</x:f>
        <x:v>0</x:v>
      </x:c>
      <x:c r="B138" s="28" t="n">
        <x:f>Match_Data!B138</x:f>
        <x:v>0</x:v>
      </x:c>
      <x:c r="C138" t="n">
        <x:f>Match_Data!C138</x:f>
        <x:v>0</x:v>
      </x:c>
      <x:c r="D138" t="n">
        <x:f>Match_Data!E138</x:f>
        <x:v>0</x:v>
      </x:c>
      <x:c r="E138" t="n">
        <x:f>Match_Data!F138</x:f>
        <x:v>0</x:v>
      </x:c>
      <x:c r="F138" t="n">
        <x:f>Match_Data!AC138</x:f>
        <x:v>0</x:v>
      </x:c>
      <x:c r="G138" t="str">
        <x:f>IF(OR(Match_Data!K138="",Match_Data!L138=""),"",AVERAGE(Match_Data!K138:L138))</x:f>
      </x:c>
      <x:c r="H138" t="str">
        <x:f>IF(OR(Match_Data!M138="",Match_Data!N138=""),"",AVERAGE(Match_Data!M138:N138))</x:f>
      </x:c>
      <x:c r="I138" t="str">
        <x:f>IF(OR(Match_Data!O138="",Match_Data!Q138=""),"",Match_Data!O138+Match_Data!Q138)</x:f>
      </x:c>
      <x:c r="J138" t="str">
        <x:f>IF(OR(Match_Data!P138="",Match_Data!R138=""),"",Match_Data!P138+Match_Data!R138)</x:f>
      </x:c>
      <x:c r="K138" t="str">
        <x:f>IF(OR(Match_Data!S138="",Match_Data!T138=""),"",Match_Data!S138+Match_Data!T138)</x:f>
      </x:c>
      <x:c r="L138" t="str">
        <x:f>IF(OR(Match_Data!U138="",Match_Data!V138=""),"",Match_Data!U138-Match_Data!V138)</x:f>
      </x:c>
      <x:c r="M138" s="32" t="str">
        <x:f>IF(Match_Data!Y138="","",1/Match_Data!Y138)</x:f>
      </x:c>
      <x:c r="N138" s="32" t="str">
        <x:f>IF(Match_Data!AA138="","",1/Match_Data!AA138)</x:f>
      </x:c>
      <x:c r="O138" s="32" t="str">
        <x:f>IF(OR(M138="",N138=""),"",N138-M138)</x:f>
      </x:c>
      <x:c r="P138" t="str">
        <x:f>IF(Match_Data!J138="","",IF(Match_Data!J138="OVER",1,0))</x:f>
      </x:c>
    </x:row>
    <x:row r="139">
      <x:c r="A139" t="n">
        <x:f>Match_Data!A139</x:f>
        <x:v>0</x:v>
      </x:c>
      <x:c r="B139" s="28" t="n">
        <x:f>Match_Data!B139</x:f>
        <x:v>0</x:v>
      </x:c>
      <x:c r="C139" t="n">
        <x:f>Match_Data!C139</x:f>
        <x:v>0</x:v>
      </x:c>
      <x:c r="D139" t="n">
        <x:f>Match_Data!E139</x:f>
        <x:v>0</x:v>
      </x:c>
      <x:c r="E139" t="n">
        <x:f>Match_Data!F139</x:f>
        <x:v>0</x:v>
      </x:c>
      <x:c r="F139" t="n">
        <x:f>Match_Data!AC139</x:f>
        <x:v>0</x:v>
      </x:c>
      <x:c r="G139" t="str">
        <x:f>IF(OR(Match_Data!K139="",Match_Data!L139=""),"",AVERAGE(Match_Data!K139:L139))</x:f>
      </x:c>
      <x:c r="H139" t="str">
        <x:f>IF(OR(Match_Data!M139="",Match_Data!N139=""),"",AVERAGE(Match_Data!M139:N139))</x:f>
      </x:c>
      <x:c r="I139" t="str">
        <x:f>IF(OR(Match_Data!O139="",Match_Data!Q139=""),"",Match_Data!O139+Match_Data!Q139)</x:f>
      </x:c>
      <x:c r="J139" t="str">
        <x:f>IF(OR(Match_Data!P139="",Match_Data!R139=""),"",Match_Data!P139+Match_Data!R139)</x:f>
      </x:c>
      <x:c r="K139" t="str">
        <x:f>IF(OR(Match_Data!S139="",Match_Data!T139=""),"",Match_Data!S139+Match_Data!T139)</x:f>
      </x:c>
      <x:c r="L139" t="str">
        <x:f>IF(OR(Match_Data!U139="",Match_Data!V139=""),"",Match_Data!U139-Match_Data!V139)</x:f>
      </x:c>
      <x:c r="M139" s="32" t="str">
        <x:f>IF(Match_Data!Y139="","",1/Match_Data!Y139)</x:f>
      </x:c>
      <x:c r="N139" s="32" t="str">
        <x:f>IF(Match_Data!AA139="","",1/Match_Data!AA139)</x:f>
      </x:c>
      <x:c r="O139" s="32" t="str">
        <x:f>IF(OR(M139="",N139=""),"",N139-M139)</x:f>
      </x:c>
      <x:c r="P139" t="str">
        <x:f>IF(Match_Data!J139="","",IF(Match_Data!J139="OVER",1,0))</x:f>
      </x:c>
    </x:row>
    <x:row r="140">
      <x:c r="A140" t="n">
        <x:f>Match_Data!A140</x:f>
        <x:v>0</x:v>
      </x:c>
      <x:c r="B140" s="28" t="n">
        <x:f>Match_Data!B140</x:f>
        <x:v>0</x:v>
      </x:c>
      <x:c r="C140" t="n">
        <x:f>Match_Data!C140</x:f>
        <x:v>0</x:v>
      </x:c>
      <x:c r="D140" t="n">
        <x:f>Match_Data!E140</x:f>
        <x:v>0</x:v>
      </x:c>
      <x:c r="E140" t="n">
        <x:f>Match_Data!F140</x:f>
        <x:v>0</x:v>
      </x:c>
      <x:c r="F140" t="n">
        <x:f>Match_Data!AC140</x:f>
        <x:v>0</x:v>
      </x:c>
      <x:c r="G140" t="str">
        <x:f>IF(OR(Match_Data!K140="",Match_Data!L140=""),"",AVERAGE(Match_Data!K140:L140))</x:f>
      </x:c>
      <x:c r="H140" t="str">
        <x:f>IF(OR(Match_Data!M140="",Match_Data!N140=""),"",AVERAGE(Match_Data!M140:N140))</x:f>
      </x:c>
      <x:c r="I140" t="str">
        <x:f>IF(OR(Match_Data!O140="",Match_Data!Q140=""),"",Match_Data!O140+Match_Data!Q140)</x:f>
      </x:c>
      <x:c r="J140" t="str">
        <x:f>IF(OR(Match_Data!P140="",Match_Data!R140=""),"",Match_Data!P140+Match_Data!R140)</x:f>
      </x:c>
      <x:c r="K140" t="str">
        <x:f>IF(OR(Match_Data!S140="",Match_Data!T140=""),"",Match_Data!S140+Match_Data!T140)</x:f>
      </x:c>
      <x:c r="L140" t="str">
        <x:f>IF(OR(Match_Data!U140="",Match_Data!V140=""),"",Match_Data!U140-Match_Data!V140)</x:f>
      </x:c>
      <x:c r="M140" s="32" t="str">
        <x:f>IF(Match_Data!Y140="","",1/Match_Data!Y140)</x:f>
      </x:c>
      <x:c r="N140" s="32" t="str">
        <x:f>IF(Match_Data!AA140="","",1/Match_Data!AA140)</x:f>
      </x:c>
      <x:c r="O140" s="32" t="str">
        <x:f>IF(OR(M140="",N140=""),"",N140-M140)</x:f>
      </x:c>
      <x:c r="P140" t="str">
        <x:f>IF(Match_Data!J140="","",IF(Match_Data!J140="OVER",1,0))</x:f>
      </x:c>
    </x:row>
    <x:row r="141">
      <x:c r="A141" t="n">
        <x:f>Match_Data!A141</x:f>
        <x:v>0</x:v>
      </x:c>
      <x:c r="B141" s="28" t="n">
        <x:f>Match_Data!B141</x:f>
        <x:v>0</x:v>
      </x:c>
      <x:c r="C141" t="n">
        <x:f>Match_Data!C141</x:f>
        <x:v>0</x:v>
      </x:c>
      <x:c r="D141" t="n">
        <x:f>Match_Data!E141</x:f>
        <x:v>0</x:v>
      </x:c>
      <x:c r="E141" t="n">
        <x:f>Match_Data!F141</x:f>
        <x:v>0</x:v>
      </x:c>
      <x:c r="F141" t="n">
        <x:f>Match_Data!AC141</x:f>
        <x:v>0</x:v>
      </x:c>
      <x:c r="G141" t="str">
        <x:f>IF(OR(Match_Data!K141="",Match_Data!L141=""),"",AVERAGE(Match_Data!K141:L141))</x:f>
      </x:c>
      <x:c r="H141" t="str">
        <x:f>IF(OR(Match_Data!M141="",Match_Data!N141=""),"",AVERAGE(Match_Data!M141:N141))</x:f>
      </x:c>
      <x:c r="I141" t="str">
        <x:f>IF(OR(Match_Data!O141="",Match_Data!Q141=""),"",Match_Data!O141+Match_Data!Q141)</x:f>
      </x:c>
      <x:c r="J141" t="str">
        <x:f>IF(OR(Match_Data!P141="",Match_Data!R141=""),"",Match_Data!P141+Match_Data!R141)</x:f>
      </x:c>
      <x:c r="K141" t="str">
        <x:f>IF(OR(Match_Data!S141="",Match_Data!T141=""),"",Match_Data!S141+Match_Data!T141)</x:f>
      </x:c>
      <x:c r="L141" t="str">
        <x:f>IF(OR(Match_Data!U141="",Match_Data!V141=""),"",Match_Data!U141-Match_Data!V141)</x:f>
      </x:c>
      <x:c r="M141" s="32" t="str">
        <x:f>IF(Match_Data!Y141="","",1/Match_Data!Y141)</x:f>
      </x:c>
      <x:c r="N141" s="32" t="str">
        <x:f>IF(Match_Data!AA141="","",1/Match_Data!AA141)</x:f>
      </x:c>
      <x:c r="O141" s="32" t="str">
        <x:f>IF(OR(M141="",N141=""),"",N141-M141)</x:f>
      </x:c>
      <x:c r="P141" t="str">
        <x:f>IF(Match_Data!J141="","",IF(Match_Data!J141="OVER",1,0))</x:f>
      </x:c>
    </x:row>
    <x:row r="142">
      <x:c r="A142" t="n">
        <x:f>Match_Data!A142</x:f>
        <x:v>0</x:v>
      </x:c>
      <x:c r="B142" s="28" t="n">
        <x:f>Match_Data!B142</x:f>
        <x:v>0</x:v>
      </x:c>
      <x:c r="C142" t="n">
        <x:f>Match_Data!C142</x:f>
        <x:v>0</x:v>
      </x:c>
      <x:c r="D142" t="n">
        <x:f>Match_Data!E142</x:f>
        <x:v>0</x:v>
      </x:c>
      <x:c r="E142" t="n">
        <x:f>Match_Data!F142</x:f>
        <x:v>0</x:v>
      </x:c>
      <x:c r="F142" t="n">
        <x:f>Match_Data!AC142</x:f>
        <x:v>0</x:v>
      </x:c>
      <x:c r="G142" t="str">
        <x:f>IF(OR(Match_Data!K142="",Match_Data!L142=""),"",AVERAGE(Match_Data!K142:L142))</x:f>
      </x:c>
      <x:c r="H142" t="str">
        <x:f>IF(OR(Match_Data!M142="",Match_Data!N142=""),"",AVERAGE(Match_Data!M142:N142))</x:f>
      </x:c>
      <x:c r="I142" t="str">
        <x:f>IF(OR(Match_Data!O142="",Match_Data!Q142=""),"",Match_Data!O142+Match_Data!Q142)</x:f>
      </x:c>
      <x:c r="J142" t="str">
        <x:f>IF(OR(Match_Data!P142="",Match_Data!R142=""),"",Match_Data!P142+Match_Data!R142)</x:f>
      </x:c>
      <x:c r="K142" t="str">
        <x:f>IF(OR(Match_Data!S142="",Match_Data!T142=""),"",Match_Data!S142+Match_Data!T142)</x:f>
      </x:c>
      <x:c r="L142" t="str">
        <x:f>IF(OR(Match_Data!U142="",Match_Data!V142=""),"",Match_Data!U142-Match_Data!V142)</x:f>
      </x:c>
      <x:c r="M142" s="32" t="str">
        <x:f>IF(Match_Data!Y142="","",1/Match_Data!Y142)</x:f>
      </x:c>
      <x:c r="N142" s="32" t="str">
        <x:f>IF(Match_Data!AA142="","",1/Match_Data!AA142)</x:f>
      </x:c>
      <x:c r="O142" s="32" t="str">
        <x:f>IF(OR(M142="",N142=""),"",N142-M142)</x:f>
      </x:c>
      <x:c r="P142" t="str">
        <x:f>IF(Match_Data!J142="","",IF(Match_Data!J142="OVER",1,0))</x:f>
      </x:c>
    </x:row>
    <x:row r="143">
      <x:c r="A143" t="n">
        <x:f>Match_Data!A143</x:f>
        <x:v>0</x:v>
      </x:c>
      <x:c r="B143" s="28" t="n">
        <x:f>Match_Data!B143</x:f>
        <x:v>0</x:v>
      </x:c>
      <x:c r="C143" t="n">
        <x:f>Match_Data!C143</x:f>
        <x:v>0</x:v>
      </x:c>
      <x:c r="D143" t="n">
        <x:f>Match_Data!E143</x:f>
        <x:v>0</x:v>
      </x:c>
      <x:c r="E143" t="n">
        <x:f>Match_Data!F143</x:f>
        <x:v>0</x:v>
      </x:c>
      <x:c r="F143" t="n">
        <x:f>Match_Data!AC143</x:f>
        <x:v>0</x:v>
      </x:c>
      <x:c r="G143" t="str">
        <x:f>IF(OR(Match_Data!K143="",Match_Data!L143=""),"",AVERAGE(Match_Data!K143:L143))</x:f>
      </x:c>
      <x:c r="H143" t="str">
        <x:f>IF(OR(Match_Data!M143="",Match_Data!N143=""),"",AVERAGE(Match_Data!M143:N143))</x:f>
      </x:c>
      <x:c r="I143" t="str">
        <x:f>IF(OR(Match_Data!O143="",Match_Data!Q143=""),"",Match_Data!O143+Match_Data!Q143)</x:f>
      </x:c>
      <x:c r="J143" t="str">
        <x:f>IF(OR(Match_Data!P143="",Match_Data!R143=""),"",Match_Data!P143+Match_Data!R143)</x:f>
      </x:c>
      <x:c r="K143" t="str">
        <x:f>IF(OR(Match_Data!S143="",Match_Data!T143=""),"",Match_Data!S143+Match_Data!T143)</x:f>
      </x:c>
      <x:c r="L143" t="str">
        <x:f>IF(OR(Match_Data!U143="",Match_Data!V143=""),"",Match_Data!U143-Match_Data!V143)</x:f>
      </x:c>
      <x:c r="M143" s="32" t="str">
        <x:f>IF(Match_Data!Y143="","",1/Match_Data!Y143)</x:f>
      </x:c>
      <x:c r="N143" s="32" t="str">
        <x:f>IF(Match_Data!AA143="","",1/Match_Data!AA143)</x:f>
      </x:c>
      <x:c r="O143" s="32" t="str">
        <x:f>IF(OR(M143="",N143=""),"",N143-M143)</x:f>
      </x:c>
      <x:c r="P143" t="str">
        <x:f>IF(Match_Data!J143="","",IF(Match_Data!J143="OVER",1,0))</x:f>
      </x:c>
    </x:row>
    <x:row r="144">
      <x:c r="A144" t="n">
        <x:f>Match_Data!A144</x:f>
        <x:v>0</x:v>
      </x:c>
      <x:c r="B144" s="28" t="n">
        <x:f>Match_Data!B144</x:f>
        <x:v>0</x:v>
      </x:c>
      <x:c r="C144" t="n">
        <x:f>Match_Data!C144</x:f>
        <x:v>0</x:v>
      </x:c>
      <x:c r="D144" t="n">
        <x:f>Match_Data!E144</x:f>
        <x:v>0</x:v>
      </x:c>
      <x:c r="E144" t="n">
        <x:f>Match_Data!F144</x:f>
        <x:v>0</x:v>
      </x:c>
      <x:c r="F144" t="n">
        <x:f>Match_Data!AC144</x:f>
        <x:v>0</x:v>
      </x:c>
      <x:c r="G144" t="str">
        <x:f>IF(OR(Match_Data!K144="",Match_Data!L144=""),"",AVERAGE(Match_Data!K144:L144))</x:f>
      </x:c>
      <x:c r="H144" t="str">
        <x:f>IF(OR(Match_Data!M144="",Match_Data!N144=""),"",AVERAGE(Match_Data!M144:N144))</x:f>
      </x:c>
      <x:c r="I144" t="str">
        <x:f>IF(OR(Match_Data!O144="",Match_Data!Q144=""),"",Match_Data!O144+Match_Data!Q144)</x:f>
      </x:c>
      <x:c r="J144" t="str">
        <x:f>IF(OR(Match_Data!P144="",Match_Data!R144=""),"",Match_Data!P144+Match_Data!R144)</x:f>
      </x:c>
      <x:c r="K144" t="str">
        <x:f>IF(OR(Match_Data!S144="",Match_Data!T144=""),"",Match_Data!S144+Match_Data!T144)</x:f>
      </x:c>
      <x:c r="L144" t="str">
        <x:f>IF(OR(Match_Data!U144="",Match_Data!V144=""),"",Match_Data!U144-Match_Data!V144)</x:f>
      </x:c>
      <x:c r="M144" s="32" t="str">
        <x:f>IF(Match_Data!Y144="","",1/Match_Data!Y144)</x:f>
      </x:c>
      <x:c r="N144" s="32" t="str">
        <x:f>IF(Match_Data!AA144="","",1/Match_Data!AA144)</x:f>
      </x:c>
      <x:c r="O144" s="32" t="str">
        <x:f>IF(OR(M144="",N144=""),"",N144-M144)</x:f>
      </x:c>
      <x:c r="P144" t="str">
        <x:f>IF(Match_Data!J144="","",IF(Match_Data!J144="OVER",1,0))</x:f>
      </x:c>
    </x:row>
    <x:row r="145">
      <x:c r="A145" t="n">
        <x:f>Match_Data!A145</x:f>
        <x:v>0</x:v>
      </x:c>
      <x:c r="B145" s="28" t="n">
        <x:f>Match_Data!B145</x:f>
        <x:v>0</x:v>
      </x:c>
      <x:c r="C145" t="n">
        <x:f>Match_Data!C145</x:f>
        <x:v>0</x:v>
      </x:c>
      <x:c r="D145" t="n">
        <x:f>Match_Data!E145</x:f>
        <x:v>0</x:v>
      </x:c>
      <x:c r="E145" t="n">
        <x:f>Match_Data!F145</x:f>
        <x:v>0</x:v>
      </x:c>
      <x:c r="F145" t="n">
        <x:f>Match_Data!AC145</x:f>
        <x:v>0</x:v>
      </x:c>
      <x:c r="G145" t="str">
        <x:f>IF(OR(Match_Data!K145="",Match_Data!L145=""),"",AVERAGE(Match_Data!K145:L145))</x:f>
      </x:c>
      <x:c r="H145" t="str">
        <x:f>IF(OR(Match_Data!M145="",Match_Data!N145=""),"",AVERAGE(Match_Data!M145:N145))</x:f>
      </x:c>
      <x:c r="I145" t="str">
        <x:f>IF(OR(Match_Data!O145="",Match_Data!Q145=""),"",Match_Data!O145+Match_Data!Q145)</x:f>
      </x:c>
      <x:c r="J145" t="str">
        <x:f>IF(OR(Match_Data!P145="",Match_Data!R145=""),"",Match_Data!P145+Match_Data!R145)</x:f>
      </x:c>
      <x:c r="K145" t="str">
        <x:f>IF(OR(Match_Data!S145="",Match_Data!T145=""),"",Match_Data!S145+Match_Data!T145)</x:f>
      </x:c>
      <x:c r="L145" t="str">
        <x:f>IF(OR(Match_Data!U145="",Match_Data!V145=""),"",Match_Data!U145-Match_Data!V145)</x:f>
      </x:c>
      <x:c r="M145" s="32" t="str">
        <x:f>IF(Match_Data!Y145="","",1/Match_Data!Y145)</x:f>
      </x:c>
      <x:c r="N145" s="32" t="str">
        <x:f>IF(Match_Data!AA145="","",1/Match_Data!AA145)</x:f>
      </x:c>
      <x:c r="O145" s="32" t="str">
        <x:f>IF(OR(M145="",N145=""),"",N145-M145)</x:f>
      </x:c>
      <x:c r="P145" t="str">
        <x:f>IF(Match_Data!J145="","",IF(Match_Data!J145="OVER",1,0))</x:f>
      </x:c>
    </x:row>
    <x:row r="146">
      <x:c r="A146" t="n">
        <x:f>Match_Data!A146</x:f>
        <x:v>0</x:v>
      </x:c>
      <x:c r="B146" s="28" t="n">
        <x:f>Match_Data!B146</x:f>
        <x:v>0</x:v>
      </x:c>
      <x:c r="C146" t="n">
        <x:f>Match_Data!C146</x:f>
        <x:v>0</x:v>
      </x:c>
      <x:c r="D146" t="n">
        <x:f>Match_Data!E146</x:f>
        <x:v>0</x:v>
      </x:c>
      <x:c r="E146" t="n">
        <x:f>Match_Data!F146</x:f>
        <x:v>0</x:v>
      </x:c>
      <x:c r="F146" t="n">
        <x:f>Match_Data!AC146</x:f>
        <x:v>0</x:v>
      </x:c>
      <x:c r="G146" t="str">
        <x:f>IF(OR(Match_Data!K146="",Match_Data!L146=""),"",AVERAGE(Match_Data!K146:L146))</x:f>
      </x:c>
      <x:c r="H146" t="str">
        <x:f>IF(OR(Match_Data!M146="",Match_Data!N146=""),"",AVERAGE(Match_Data!M146:N146))</x:f>
      </x:c>
      <x:c r="I146" t="str">
        <x:f>IF(OR(Match_Data!O146="",Match_Data!Q146=""),"",Match_Data!O146+Match_Data!Q146)</x:f>
      </x:c>
      <x:c r="J146" t="str">
        <x:f>IF(OR(Match_Data!P146="",Match_Data!R146=""),"",Match_Data!P146+Match_Data!R146)</x:f>
      </x:c>
      <x:c r="K146" t="str">
        <x:f>IF(OR(Match_Data!S146="",Match_Data!T146=""),"",Match_Data!S146+Match_Data!T146)</x:f>
      </x:c>
      <x:c r="L146" t="str">
        <x:f>IF(OR(Match_Data!U146="",Match_Data!V146=""),"",Match_Data!U146-Match_Data!V146)</x:f>
      </x:c>
      <x:c r="M146" s="32" t="str">
        <x:f>IF(Match_Data!Y146="","",1/Match_Data!Y146)</x:f>
      </x:c>
      <x:c r="N146" s="32" t="str">
        <x:f>IF(Match_Data!AA146="","",1/Match_Data!AA146)</x:f>
      </x:c>
      <x:c r="O146" s="32" t="str">
        <x:f>IF(OR(M146="",N146=""),"",N146-M146)</x:f>
      </x:c>
      <x:c r="P146" t="str">
        <x:f>IF(Match_Data!J146="","",IF(Match_Data!J146="OVER",1,0))</x:f>
      </x:c>
    </x:row>
    <x:row r="147">
      <x:c r="A147" t="n">
        <x:f>Match_Data!A147</x:f>
        <x:v>0</x:v>
      </x:c>
      <x:c r="B147" s="28" t="n">
        <x:f>Match_Data!B147</x:f>
        <x:v>0</x:v>
      </x:c>
      <x:c r="C147" t="n">
        <x:f>Match_Data!C147</x:f>
        <x:v>0</x:v>
      </x:c>
      <x:c r="D147" t="n">
        <x:f>Match_Data!E147</x:f>
        <x:v>0</x:v>
      </x:c>
      <x:c r="E147" t="n">
        <x:f>Match_Data!F147</x:f>
        <x:v>0</x:v>
      </x:c>
      <x:c r="F147" t="n">
        <x:f>Match_Data!AC147</x:f>
        <x:v>0</x:v>
      </x:c>
      <x:c r="G147" t="str">
        <x:f>IF(OR(Match_Data!K147="",Match_Data!L147=""),"",AVERAGE(Match_Data!K147:L147))</x:f>
      </x:c>
      <x:c r="H147" t="str">
        <x:f>IF(OR(Match_Data!M147="",Match_Data!N147=""),"",AVERAGE(Match_Data!M147:N147))</x:f>
      </x:c>
      <x:c r="I147" t="str">
        <x:f>IF(OR(Match_Data!O147="",Match_Data!Q147=""),"",Match_Data!O147+Match_Data!Q147)</x:f>
      </x:c>
      <x:c r="J147" t="str">
        <x:f>IF(OR(Match_Data!P147="",Match_Data!R147=""),"",Match_Data!P147+Match_Data!R147)</x:f>
      </x:c>
      <x:c r="K147" t="str">
        <x:f>IF(OR(Match_Data!S147="",Match_Data!T147=""),"",Match_Data!S147+Match_Data!T147)</x:f>
      </x:c>
      <x:c r="L147" t="str">
        <x:f>IF(OR(Match_Data!U147="",Match_Data!V147=""),"",Match_Data!U147-Match_Data!V147)</x:f>
      </x:c>
      <x:c r="M147" s="32" t="str">
        <x:f>IF(Match_Data!Y147="","",1/Match_Data!Y147)</x:f>
      </x:c>
      <x:c r="N147" s="32" t="str">
        <x:f>IF(Match_Data!AA147="","",1/Match_Data!AA147)</x:f>
      </x:c>
      <x:c r="O147" s="32" t="str">
        <x:f>IF(OR(M147="",N147=""),"",N147-M147)</x:f>
      </x:c>
      <x:c r="P147" t="str">
        <x:f>IF(Match_Data!J147="","",IF(Match_Data!J147="OVER",1,0))</x:f>
      </x:c>
    </x:row>
    <x:row r="148">
      <x:c r="A148" t="n">
        <x:f>Match_Data!A148</x:f>
        <x:v>0</x:v>
      </x:c>
      <x:c r="B148" s="28" t="n">
        <x:f>Match_Data!B148</x:f>
        <x:v>0</x:v>
      </x:c>
      <x:c r="C148" t="n">
        <x:f>Match_Data!C148</x:f>
        <x:v>0</x:v>
      </x:c>
      <x:c r="D148" t="n">
        <x:f>Match_Data!E148</x:f>
        <x:v>0</x:v>
      </x:c>
      <x:c r="E148" t="n">
        <x:f>Match_Data!F148</x:f>
        <x:v>0</x:v>
      </x:c>
      <x:c r="F148" t="n">
        <x:f>Match_Data!AC148</x:f>
        <x:v>0</x:v>
      </x:c>
      <x:c r="G148" t="str">
        <x:f>IF(OR(Match_Data!K148="",Match_Data!L148=""),"",AVERAGE(Match_Data!K148:L148))</x:f>
      </x:c>
      <x:c r="H148" t="str">
        <x:f>IF(OR(Match_Data!M148="",Match_Data!N148=""),"",AVERAGE(Match_Data!M148:N148))</x:f>
      </x:c>
      <x:c r="I148" t="str">
        <x:f>IF(OR(Match_Data!O148="",Match_Data!Q148=""),"",Match_Data!O148+Match_Data!Q148)</x:f>
      </x:c>
      <x:c r="J148" t="str">
        <x:f>IF(OR(Match_Data!P148="",Match_Data!R148=""),"",Match_Data!P148+Match_Data!R148)</x:f>
      </x:c>
      <x:c r="K148" t="str">
        <x:f>IF(OR(Match_Data!S148="",Match_Data!T148=""),"",Match_Data!S148+Match_Data!T148)</x:f>
      </x:c>
      <x:c r="L148" t="str">
        <x:f>IF(OR(Match_Data!U148="",Match_Data!V148=""),"",Match_Data!U148-Match_Data!V148)</x:f>
      </x:c>
      <x:c r="M148" s="32" t="str">
        <x:f>IF(Match_Data!Y148="","",1/Match_Data!Y148)</x:f>
      </x:c>
      <x:c r="N148" s="32" t="str">
        <x:f>IF(Match_Data!AA148="","",1/Match_Data!AA148)</x:f>
      </x:c>
      <x:c r="O148" s="32" t="str">
        <x:f>IF(OR(M148="",N148=""),"",N148-M148)</x:f>
      </x:c>
      <x:c r="P148" t="str">
        <x:f>IF(Match_Data!J148="","",IF(Match_Data!J148="OVER",1,0))</x:f>
      </x:c>
    </x:row>
    <x:row r="149">
      <x:c r="A149" t="n">
        <x:f>Match_Data!A149</x:f>
        <x:v>0</x:v>
      </x:c>
      <x:c r="B149" s="28" t="n">
        <x:f>Match_Data!B149</x:f>
        <x:v>0</x:v>
      </x:c>
      <x:c r="C149" t="n">
        <x:f>Match_Data!C149</x:f>
        <x:v>0</x:v>
      </x:c>
      <x:c r="D149" t="n">
        <x:f>Match_Data!E149</x:f>
        <x:v>0</x:v>
      </x:c>
      <x:c r="E149" t="n">
        <x:f>Match_Data!F149</x:f>
        <x:v>0</x:v>
      </x:c>
      <x:c r="F149" t="n">
        <x:f>Match_Data!AC149</x:f>
        <x:v>0</x:v>
      </x:c>
      <x:c r="G149" t="str">
        <x:f>IF(OR(Match_Data!K149="",Match_Data!L149=""),"",AVERAGE(Match_Data!K149:L149))</x:f>
      </x:c>
      <x:c r="H149" t="str">
        <x:f>IF(OR(Match_Data!M149="",Match_Data!N149=""),"",AVERAGE(Match_Data!M149:N149))</x:f>
      </x:c>
      <x:c r="I149" t="str">
        <x:f>IF(OR(Match_Data!O149="",Match_Data!Q149=""),"",Match_Data!O149+Match_Data!Q149)</x:f>
      </x:c>
      <x:c r="J149" t="str">
        <x:f>IF(OR(Match_Data!P149="",Match_Data!R149=""),"",Match_Data!P149+Match_Data!R149)</x:f>
      </x:c>
      <x:c r="K149" t="str">
        <x:f>IF(OR(Match_Data!S149="",Match_Data!T149=""),"",Match_Data!S149+Match_Data!T149)</x:f>
      </x:c>
      <x:c r="L149" t="str">
        <x:f>IF(OR(Match_Data!U149="",Match_Data!V149=""),"",Match_Data!U149-Match_Data!V149)</x:f>
      </x:c>
      <x:c r="M149" s="32" t="str">
        <x:f>IF(Match_Data!Y149="","",1/Match_Data!Y149)</x:f>
      </x:c>
      <x:c r="N149" s="32" t="str">
        <x:f>IF(Match_Data!AA149="","",1/Match_Data!AA149)</x:f>
      </x:c>
      <x:c r="O149" s="32" t="str">
        <x:f>IF(OR(M149="",N149=""),"",N149-M149)</x:f>
      </x:c>
      <x:c r="P149" t="str">
        <x:f>IF(Match_Data!J149="","",IF(Match_Data!J149="OVER",1,0))</x:f>
      </x:c>
    </x:row>
    <x:row r="150">
      <x:c r="A150" t="n">
        <x:f>Match_Data!A150</x:f>
        <x:v>0</x:v>
      </x:c>
      <x:c r="B150" s="28" t="n">
        <x:f>Match_Data!B150</x:f>
        <x:v>0</x:v>
      </x:c>
      <x:c r="C150" t="n">
        <x:f>Match_Data!C150</x:f>
        <x:v>0</x:v>
      </x:c>
      <x:c r="D150" t="n">
        <x:f>Match_Data!E150</x:f>
        <x:v>0</x:v>
      </x:c>
      <x:c r="E150" t="n">
        <x:f>Match_Data!F150</x:f>
        <x:v>0</x:v>
      </x:c>
      <x:c r="F150" t="n">
        <x:f>Match_Data!AC150</x:f>
        <x:v>0</x:v>
      </x:c>
      <x:c r="G150" t="str">
        <x:f>IF(OR(Match_Data!K150="",Match_Data!L150=""),"",AVERAGE(Match_Data!K150:L150))</x:f>
      </x:c>
      <x:c r="H150" t="str">
        <x:f>IF(OR(Match_Data!M150="",Match_Data!N150=""),"",AVERAGE(Match_Data!M150:N150))</x:f>
      </x:c>
      <x:c r="I150" t="str">
        <x:f>IF(OR(Match_Data!O150="",Match_Data!Q150=""),"",Match_Data!O150+Match_Data!Q150)</x:f>
      </x:c>
      <x:c r="J150" t="str">
        <x:f>IF(OR(Match_Data!P150="",Match_Data!R150=""),"",Match_Data!P150+Match_Data!R150)</x:f>
      </x:c>
      <x:c r="K150" t="str">
        <x:f>IF(OR(Match_Data!S150="",Match_Data!T150=""),"",Match_Data!S150+Match_Data!T150)</x:f>
      </x:c>
      <x:c r="L150" t="str">
        <x:f>IF(OR(Match_Data!U150="",Match_Data!V150=""),"",Match_Data!U150-Match_Data!V150)</x:f>
      </x:c>
      <x:c r="M150" s="32" t="str">
        <x:f>IF(Match_Data!Y150="","",1/Match_Data!Y150)</x:f>
      </x:c>
      <x:c r="N150" s="32" t="str">
        <x:f>IF(Match_Data!AA150="","",1/Match_Data!AA150)</x:f>
      </x:c>
      <x:c r="O150" s="32" t="str">
        <x:f>IF(OR(M150="",N150=""),"",N150-M150)</x:f>
      </x:c>
      <x:c r="P150" t="str">
        <x:f>IF(Match_Data!J150="","",IF(Match_Data!J150="OVER",1,0))</x:f>
      </x:c>
    </x:row>
    <x:row r="151">
      <x:c r="A151" t="n">
        <x:f>Match_Data!A151</x:f>
        <x:v>0</x:v>
      </x:c>
      <x:c r="B151" s="28" t="n">
        <x:f>Match_Data!B151</x:f>
        <x:v>0</x:v>
      </x:c>
      <x:c r="C151" t="n">
        <x:f>Match_Data!C151</x:f>
        <x:v>0</x:v>
      </x:c>
      <x:c r="D151" t="n">
        <x:f>Match_Data!E151</x:f>
        <x:v>0</x:v>
      </x:c>
      <x:c r="E151" t="n">
        <x:f>Match_Data!F151</x:f>
        <x:v>0</x:v>
      </x:c>
      <x:c r="F151" t="n">
        <x:f>Match_Data!AC151</x:f>
        <x:v>0</x:v>
      </x:c>
      <x:c r="G151" t="str">
        <x:f>IF(OR(Match_Data!K151="",Match_Data!L151=""),"",AVERAGE(Match_Data!K151:L151))</x:f>
      </x:c>
      <x:c r="H151" t="str">
        <x:f>IF(OR(Match_Data!M151="",Match_Data!N151=""),"",AVERAGE(Match_Data!M151:N151))</x:f>
      </x:c>
      <x:c r="I151" t="str">
        <x:f>IF(OR(Match_Data!O151="",Match_Data!Q151=""),"",Match_Data!O151+Match_Data!Q151)</x:f>
      </x:c>
      <x:c r="J151" t="str">
        <x:f>IF(OR(Match_Data!P151="",Match_Data!R151=""),"",Match_Data!P151+Match_Data!R151)</x:f>
      </x:c>
      <x:c r="K151" t="str">
        <x:f>IF(OR(Match_Data!S151="",Match_Data!T151=""),"",Match_Data!S151+Match_Data!T151)</x:f>
      </x:c>
      <x:c r="L151" t="str">
        <x:f>IF(OR(Match_Data!U151="",Match_Data!V151=""),"",Match_Data!U151-Match_Data!V151)</x:f>
      </x:c>
      <x:c r="M151" s="32" t="str">
        <x:f>IF(Match_Data!Y151="","",1/Match_Data!Y151)</x:f>
      </x:c>
      <x:c r="N151" s="32" t="str">
        <x:f>IF(Match_Data!AA151="","",1/Match_Data!AA151)</x:f>
      </x:c>
      <x:c r="O151" s="32" t="str">
        <x:f>IF(OR(M151="",N151=""),"",N151-M151)</x:f>
      </x:c>
      <x:c r="P151" t="str">
        <x:f>IF(Match_Data!J151="","",IF(Match_Data!J151="OVER",1,0))</x:f>
      </x:c>
    </x:row>
    <x:row r="152">
      <x:c r="A152" t="n">
        <x:f>Match_Data!A152</x:f>
        <x:v>0</x:v>
      </x:c>
      <x:c r="B152" s="28" t="n">
        <x:f>Match_Data!B152</x:f>
        <x:v>0</x:v>
      </x:c>
      <x:c r="C152" t="n">
        <x:f>Match_Data!C152</x:f>
        <x:v>0</x:v>
      </x:c>
      <x:c r="D152" t="n">
        <x:f>Match_Data!E152</x:f>
        <x:v>0</x:v>
      </x:c>
      <x:c r="E152" t="n">
        <x:f>Match_Data!F152</x:f>
        <x:v>0</x:v>
      </x:c>
      <x:c r="F152" t="n">
        <x:f>Match_Data!AC152</x:f>
        <x:v>0</x:v>
      </x:c>
      <x:c r="G152" t="str">
        <x:f>IF(OR(Match_Data!K152="",Match_Data!L152=""),"",AVERAGE(Match_Data!K152:L152))</x:f>
      </x:c>
      <x:c r="H152" t="str">
        <x:f>IF(OR(Match_Data!M152="",Match_Data!N152=""),"",AVERAGE(Match_Data!M152:N152))</x:f>
      </x:c>
      <x:c r="I152" t="str">
        <x:f>IF(OR(Match_Data!O152="",Match_Data!Q152=""),"",Match_Data!O152+Match_Data!Q152)</x:f>
      </x:c>
      <x:c r="J152" t="str">
        <x:f>IF(OR(Match_Data!P152="",Match_Data!R152=""),"",Match_Data!P152+Match_Data!R152)</x:f>
      </x:c>
      <x:c r="K152" t="str">
        <x:f>IF(OR(Match_Data!S152="",Match_Data!T152=""),"",Match_Data!S152+Match_Data!T152)</x:f>
      </x:c>
      <x:c r="L152" t="str">
        <x:f>IF(OR(Match_Data!U152="",Match_Data!V152=""),"",Match_Data!U152-Match_Data!V152)</x:f>
      </x:c>
      <x:c r="M152" s="32" t="str">
        <x:f>IF(Match_Data!Y152="","",1/Match_Data!Y152)</x:f>
      </x:c>
      <x:c r="N152" s="32" t="str">
        <x:f>IF(Match_Data!AA152="","",1/Match_Data!AA152)</x:f>
      </x:c>
      <x:c r="O152" s="32" t="str">
        <x:f>IF(OR(M152="",N152=""),"",N152-M152)</x:f>
      </x:c>
      <x:c r="P152" t="str">
        <x:f>IF(Match_Data!J152="","",IF(Match_Data!J152="OVER",1,0))</x:f>
      </x:c>
    </x:row>
    <x:row r="153">
      <x:c r="A153" t="n">
        <x:f>Match_Data!A153</x:f>
        <x:v>0</x:v>
      </x:c>
      <x:c r="B153" s="28" t="n">
        <x:f>Match_Data!B153</x:f>
        <x:v>0</x:v>
      </x:c>
      <x:c r="C153" t="n">
        <x:f>Match_Data!C153</x:f>
        <x:v>0</x:v>
      </x:c>
      <x:c r="D153" t="n">
        <x:f>Match_Data!E153</x:f>
        <x:v>0</x:v>
      </x:c>
      <x:c r="E153" t="n">
        <x:f>Match_Data!F153</x:f>
        <x:v>0</x:v>
      </x:c>
      <x:c r="F153" t="n">
        <x:f>Match_Data!AC153</x:f>
        <x:v>0</x:v>
      </x:c>
      <x:c r="G153" t="str">
        <x:f>IF(OR(Match_Data!K153="",Match_Data!L153=""),"",AVERAGE(Match_Data!K153:L153))</x:f>
      </x:c>
      <x:c r="H153" t="str">
        <x:f>IF(OR(Match_Data!M153="",Match_Data!N153=""),"",AVERAGE(Match_Data!M153:N153))</x:f>
      </x:c>
      <x:c r="I153" t="str">
        <x:f>IF(OR(Match_Data!O153="",Match_Data!Q153=""),"",Match_Data!O153+Match_Data!Q153)</x:f>
      </x:c>
      <x:c r="J153" t="str">
        <x:f>IF(OR(Match_Data!P153="",Match_Data!R153=""),"",Match_Data!P153+Match_Data!R153)</x:f>
      </x:c>
      <x:c r="K153" t="str">
        <x:f>IF(OR(Match_Data!S153="",Match_Data!T153=""),"",Match_Data!S153+Match_Data!T153)</x:f>
      </x:c>
      <x:c r="L153" t="str">
        <x:f>IF(OR(Match_Data!U153="",Match_Data!V153=""),"",Match_Data!U153-Match_Data!V153)</x:f>
      </x:c>
      <x:c r="M153" s="32" t="str">
        <x:f>IF(Match_Data!Y153="","",1/Match_Data!Y153)</x:f>
      </x:c>
      <x:c r="N153" s="32" t="str">
        <x:f>IF(Match_Data!AA153="","",1/Match_Data!AA153)</x:f>
      </x:c>
      <x:c r="O153" s="32" t="str">
        <x:f>IF(OR(M153="",N153=""),"",N153-M153)</x:f>
      </x:c>
      <x:c r="P153" t="str">
        <x:f>IF(Match_Data!J153="","",IF(Match_Data!J153="OVER",1,0))</x:f>
      </x:c>
    </x:row>
    <x:row r="154">
      <x:c r="A154" t="n">
        <x:f>Match_Data!A154</x:f>
        <x:v>0</x:v>
      </x:c>
      <x:c r="B154" s="28" t="n">
        <x:f>Match_Data!B154</x:f>
        <x:v>0</x:v>
      </x:c>
      <x:c r="C154" t="n">
        <x:f>Match_Data!C154</x:f>
        <x:v>0</x:v>
      </x:c>
      <x:c r="D154" t="n">
        <x:f>Match_Data!E154</x:f>
        <x:v>0</x:v>
      </x:c>
      <x:c r="E154" t="n">
        <x:f>Match_Data!F154</x:f>
        <x:v>0</x:v>
      </x:c>
      <x:c r="F154" t="n">
        <x:f>Match_Data!AC154</x:f>
        <x:v>0</x:v>
      </x:c>
      <x:c r="G154" t="str">
        <x:f>IF(OR(Match_Data!K154="",Match_Data!L154=""),"",AVERAGE(Match_Data!K154:L154))</x:f>
      </x:c>
      <x:c r="H154" t="str">
        <x:f>IF(OR(Match_Data!M154="",Match_Data!N154=""),"",AVERAGE(Match_Data!M154:N154))</x:f>
      </x:c>
      <x:c r="I154" t="str">
        <x:f>IF(OR(Match_Data!O154="",Match_Data!Q154=""),"",Match_Data!O154+Match_Data!Q154)</x:f>
      </x:c>
      <x:c r="J154" t="str">
        <x:f>IF(OR(Match_Data!P154="",Match_Data!R154=""),"",Match_Data!P154+Match_Data!R154)</x:f>
      </x:c>
      <x:c r="K154" t="str">
        <x:f>IF(OR(Match_Data!S154="",Match_Data!T154=""),"",Match_Data!S154+Match_Data!T154)</x:f>
      </x:c>
      <x:c r="L154" t="str">
        <x:f>IF(OR(Match_Data!U154="",Match_Data!V154=""),"",Match_Data!U154-Match_Data!V154)</x:f>
      </x:c>
      <x:c r="M154" s="32" t="str">
        <x:f>IF(Match_Data!Y154="","",1/Match_Data!Y154)</x:f>
      </x:c>
      <x:c r="N154" s="32" t="str">
        <x:f>IF(Match_Data!AA154="","",1/Match_Data!AA154)</x:f>
      </x:c>
      <x:c r="O154" s="32" t="str">
        <x:f>IF(OR(M154="",N154=""),"",N154-M154)</x:f>
      </x:c>
      <x:c r="P154" t="str">
        <x:f>IF(Match_Data!J154="","",IF(Match_Data!J154="OVER",1,0))</x:f>
      </x:c>
    </x:row>
    <x:row r="155">
      <x:c r="A155" t="n">
        <x:f>Match_Data!A155</x:f>
        <x:v>0</x:v>
      </x:c>
      <x:c r="B155" s="28" t="n">
        <x:f>Match_Data!B155</x:f>
        <x:v>0</x:v>
      </x:c>
      <x:c r="C155" t="n">
        <x:f>Match_Data!C155</x:f>
        <x:v>0</x:v>
      </x:c>
      <x:c r="D155" t="n">
        <x:f>Match_Data!E155</x:f>
        <x:v>0</x:v>
      </x:c>
      <x:c r="E155" t="n">
        <x:f>Match_Data!F155</x:f>
        <x:v>0</x:v>
      </x:c>
      <x:c r="F155" t="n">
        <x:f>Match_Data!AC155</x:f>
        <x:v>0</x:v>
      </x:c>
      <x:c r="G155" t="str">
        <x:f>IF(OR(Match_Data!K155="",Match_Data!L155=""),"",AVERAGE(Match_Data!K155:L155))</x:f>
      </x:c>
      <x:c r="H155" t="str">
        <x:f>IF(OR(Match_Data!M155="",Match_Data!N155=""),"",AVERAGE(Match_Data!M155:N155))</x:f>
      </x:c>
      <x:c r="I155" t="str">
        <x:f>IF(OR(Match_Data!O155="",Match_Data!Q155=""),"",Match_Data!O155+Match_Data!Q155)</x:f>
      </x:c>
      <x:c r="J155" t="str">
        <x:f>IF(OR(Match_Data!P155="",Match_Data!R155=""),"",Match_Data!P155+Match_Data!R155)</x:f>
      </x:c>
      <x:c r="K155" t="str">
        <x:f>IF(OR(Match_Data!S155="",Match_Data!T155=""),"",Match_Data!S155+Match_Data!T155)</x:f>
      </x:c>
      <x:c r="L155" t="str">
        <x:f>IF(OR(Match_Data!U155="",Match_Data!V155=""),"",Match_Data!U155-Match_Data!V155)</x:f>
      </x:c>
      <x:c r="M155" s="32" t="str">
        <x:f>IF(Match_Data!Y155="","",1/Match_Data!Y155)</x:f>
      </x:c>
      <x:c r="N155" s="32" t="str">
        <x:f>IF(Match_Data!AA155="","",1/Match_Data!AA155)</x:f>
      </x:c>
      <x:c r="O155" s="32" t="str">
        <x:f>IF(OR(M155="",N155=""),"",N155-M155)</x:f>
      </x:c>
      <x:c r="P155" t="str">
        <x:f>IF(Match_Data!J155="","",IF(Match_Data!J155="OVER",1,0))</x:f>
      </x:c>
    </x:row>
    <x:row r="156">
      <x:c r="A156" t="n">
        <x:f>Match_Data!A156</x:f>
        <x:v>0</x:v>
      </x:c>
      <x:c r="B156" s="28" t="n">
        <x:f>Match_Data!B156</x:f>
        <x:v>0</x:v>
      </x:c>
      <x:c r="C156" t="n">
        <x:f>Match_Data!C156</x:f>
        <x:v>0</x:v>
      </x:c>
      <x:c r="D156" t="n">
        <x:f>Match_Data!E156</x:f>
        <x:v>0</x:v>
      </x:c>
      <x:c r="E156" t="n">
        <x:f>Match_Data!F156</x:f>
        <x:v>0</x:v>
      </x:c>
      <x:c r="F156" t="n">
        <x:f>Match_Data!AC156</x:f>
        <x:v>0</x:v>
      </x:c>
      <x:c r="G156" t="str">
        <x:f>IF(OR(Match_Data!K156="",Match_Data!L156=""),"",AVERAGE(Match_Data!K156:L156))</x:f>
      </x:c>
      <x:c r="H156" t="str">
        <x:f>IF(OR(Match_Data!M156="",Match_Data!N156=""),"",AVERAGE(Match_Data!M156:N156))</x:f>
      </x:c>
      <x:c r="I156" t="str">
        <x:f>IF(OR(Match_Data!O156="",Match_Data!Q156=""),"",Match_Data!O156+Match_Data!Q156)</x:f>
      </x:c>
      <x:c r="J156" t="str">
        <x:f>IF(OR(Match_Data!P156="",Match_Data!R156=""),"",Match_Data!P156+Match_Data!R156)</x:f>
      </x:c>
      <x:c r="K156" t="str">
        <x:f>IF(OR(Match_Data!S156="",Match_Data!T156=""),"",Match_Data!S156+Match_Data!T156)</x:f>
      </x:c>
      <x:c r="L156" t="str">
        <x:f>IF(OR(Match_Data!U156="",Match_Data!V156=""),"",Match_Data!U156-Match_Data!V156)</x:f>
      </x:c>
      <x:c r="M156" s="32" t="str">
        <x:f>IF(Match_Data!Y156="","",1/Match_Data!Y156)</x:f>
      </x:c>
      <x:c r="N156" s="32" t="str">
        <x:f>IF(Match_Data!AA156="","",1/Match_Data!AA156)</x:f>
      </x:c>
      <x:c r="O156" s="32" t="str">
        <x:f>IF(OR(M156="",N156=""),"",N156-M156)</x:f>
      </x:c>
      <x:c r="P156" t="str">
        <x:f>IF(Match_Data!J156="","",IF(Match_Data!J156="OVER",1,0))</x:f>
      </x:c>
    </x:row>
    <x:row r="157">
      <x:c r="A157" t="n">
        <x:f>Match_Data!A157</x:f>
        <x:v>0</x:v>
      </x:c>
      <x:c r="B157" s="28" t="n">
        <x:f>Match_Data!B157</x:f>
        <x:v>0</x:v>
      </x:c>
      <x:c r="C157" t="n">
        <x:f>Match_Data!C157</x:f>
        <x:v>0</x:v>
      </x:c>
      <x:c r="D157" t="n">
        <x:f>Match_Data!E157</x:f>
        <x:v>0</x:v>
      </x:c>
      <x:c r="E157" t="n">
        <x:f>Match_Data!F157</x:f>
        <x:v>0</x:v>
      </x:c>
      <x:c r="F157" t="n">
        <x:f>Match_Data!AC157</x:f>
        <x:v>0</x:v>
      </x:c>
      <x:c r="G157" t="str">
        <x:f>IF(OR(Match_Data!K157="",Match_Data!L157=""),"",AVERAGE(Match_Data!K157:L157))</x:f>
      </x:c>
      <x:c r="H157" t="str">
        <x:f>IF(OR(Match_Data!M157="",Match_Data!N157=""),"",AVERAGE(Match_Data!M157:N157))</x:f>
      </x:c>
      <x:c r="I157" t="str">
        <x:f>IF(OR(Match_Data!O157="",Match_Data!Q157=""),"",Match_Data!O157+Match_Data!Q157)</x:f>
      </x:c>
      <x:c r="J157" t="str">
        <x:f>IF(OR(Match_Data!P157="",Match_Data!R157=""),"",Match_Data!P157+Match_Data!R157)</x:f>
      </x:c>
      <x:c r="K157" t="str">
        <x:f>IF(OR(Match_Data!S157="",Match_Data!T157=""),"",Match_Data!S157+Match_Data!T157)</x:f>
      </x:c>
      <x:c r="L157" t="str">
        <x:f>IF(OR(Match_Data!U157="",Match_Data!V157=""),"",Match_Data!U157-Match_Data!V157)</x:f>
      </x:c>
      <x:c r="M157" s="32" t="str">
        <x:f>IF(Match_Data!Y157="","",1/Match_Data!Y157)</x:f>
      </x:c>
      <x:c r="N157" s="32" t="str">
        <x:f>IF(Match_Data!AA157="","",1/Match_Data!AA157)</x:f>
      </x:c>
      <x:c r="O157" s="32" t="str">
        <x:f>IF(OR(M157="",N157=""),"",N157-M157)</x:f>
      </x:c>
      <x:c r="P157" t="str">
        <x:f>IF(Match_Data!J157="","",IF(Match_Data!J157="OVER",1,0))</x:f>
      </x:c>
    </x:row>
    <x:row r="158">
      <x:c r="A158" t="n">
        <x:f>Match_Data!A158</x:f>
        <x:v>0</x:v>
      </x:c>
      <x:c r="B158" s="28" t="n">
        <x:f>Match_Data!B158</x:f>
        <x:v>0</x:v>
      </x:c>
      <x:c r="C158" t="n">
        <x:f>Match_Data!C158</x:f>
        <x:v>0</x:v>
      </x:c>
      <x:c r="D158" t="n">
        <x:f>Match_Data!E158</x:f>
        <x:v>0</x:v>
      </x:c>
      <x:c r="E158" t="n">
        <x:f>Match_Data!F158</x:f>
        <x:v>0</x:v>
      </x:c>
      <x:c r="F158" t="n">
        <x:f>Match_Data!AC158</x:f>
        <x:v>0</x:v>
      </x:c>
      <x:c r="G158" t="str">
        <x:f>IF(OR(Match_Data!K158="",Match_Data!L158=""),"",AVERAGE(Match_Data!K158:L158))</x:f>
      </x:c>
      <x:c r="H158" t="str">
        <x:f>IF(OR(Match_Data!M158="",Match_Data!N158=""),"",AVERAGE(Match_Data!M158:N158))</x:f>
      </x:c>
      <x:c r="I158" t="str">
        <x:f>IF(OR(Match_Data!O158="",Match_Data!Q158=""),"",Match_Data!O158+Match_Data!Q158)</x:f>
      </x:c>
      <x:c r="J158" t="str">
        <x:f>IF(OR(Match_Data!P158="",Match_Data!R158=""),"",Match_Data!P158+Match_Data!R158)</x:f>
      </x:c>
      <x:c r="K158" t="str">
        <x:f>IF(OR(Match_Data!S158="",Match_Data!T158=""),"",Match_Data!S158+Match_Data!T158)</x:f>
      </x:c>
      <x:c r="L158" t="str">
        <x:f>IF(OR(Match_Data!U158="",Match_Data!V158=""),"",Match_Data!U158-Match_Data!V158)</x:f>
      </x:c>
      <x:c r="M158" s="32" t="str">
        <x:f>IF(Match_Data!Y158="","",1/Match_Data!Y158)</x:f>
      </x:c>
      <x:c r="N158" s="32" t="str">
        <x:f>IF(Match_Data!AA158="","",1/Match_Data!AA158)</x:f>
      </x:c>
      <x:c r="O158" s="32" t="str">
        <x:f>IF(OR(M158="",N158=""),"",N158-M158)</x:f>
      </x:c>
      <x:c r="P158" t="str">
        <x:f>IF(Match_Data!J158="","",IF(Match_Data!J158="OVER",1,0))</x:f>
      </x:c>
    </x:row>
    <x:row r="159">
      <x:c r="A159" t="n">
        <x:f>Match_Data!A159</x:f>
        <x:v>0</x:v>
      </x:c>
      <x:c r="B159" s="28" t="n">
        <x:f>Match_Data!B159</x:f>
        <x:v>0</x:v>
      </x:c>
      <x:c r="C159" t="n">
        <x:f>Match_Data!C159</x:f>
        <x:v>0</x:v>
      </x:c>
      <x:c r="D159" t="n">
        <x:f>Match_Data!E159</x:f>
        <x:v>0</x:v>
      </x:c>
      <x:c r="E159" t="n">
        <x:f>Match_Data!F159</x:f>
        <x:v>0</x:v>
      </x:c>
      <x:c r="F159" t="n">
        <x:f>Match_Data!AC159</x:f>
        <x:v>0</x:v>
      </x:c>
      <x:c r="G159" t="str">
        <x:f>IF(OR(Match_Data!K159="",Match_Data!L159=""),"",AVERAGE(Match_Data!K159:L159))</x:f>
      </x:c>
      <x:c r="H159" t="str">
        <x:f>IF(OR(Match_Data!M159="",Match_Data!N159=""),"",AVERAGE(Match_Data!M159:N159))</x:f>
      </x:c>
      <x:c r="I159" t="str">
        <x:f>IF(OR(Match_Data!O159="",Match_Data!Q159=""),"",Match_Data!O159+Match_Data!Q159)</x:f>
      </x:c>
      <x:c r="J159" t="str">
        <x:f>IF(OR(Match_Data!P159="",Match_Data!R159=""),"",Match_Data!P159+Match_Data!R159)</x:f>
      </x:c>
      <x:c r="K159" t="str">
        <x:f>IF(OR(Match_Data!S159="",Match_Data!T159=""),"",Match_Data!S159+Match_Data!T159)</x:f>
      </x:c>
      <x:c r="L159" t="str">
        <x:f>IF(OR(Match_Data!U159="",Match_Data!V159=""),"",Match_Data!U159-Match_Data!V159)</x:f>
      </x:c>
      <x:c r="M159" s="32" t="str">
        <x:f>IF(Match_Data!Y159="","",1/Match_Data!Y159)</x:f>
      </x:c>
      <x:c r="N159" s="32" t="str">
        <x:f>IF(Match_Data!AA159="","",1/Match_Data!AA159)</x:f>
      </x:c>
      <x:c r="O159" s="32" t="str">
        <x:f>IF(OR(M159="",N159=""),"",N159-M159)</x:f>
      </x:c>
      <x:c r="P159" t="str">
        <x:f>IF(Match_Data!J159="","",IF(Match_Data!J159="OVER",1,0))</x:f>
      </x:c>
    </x:row>
    <x:row r="160">
      <x:c r="A160" t="n">
        <x:f>Match_Data!A160</x:f>
        <x:v>0</x:v>
      </x:c>
      <x:c r="B160" s="28" t="n">
        <x:f>Match_Data!B160</x:f>
        <x:v>0</x:v>
      </x:c>
      <x:c r="C160" t="n">
        <x:f>Match_Data!C160</x:f>
        <x:v>0</x:v>
      </x:c>
      <x:c r="D160" t="n">
        <x:f>Match_Data!E160</x:f>
        <x:v>0</x:v>
      </x:c>
      <x:c r="E160" t="n">
        <x:f>Match_Data!F160</x:f>
        <x:v>0</x:v>
      </x:c>
      <x:c r="F160" t="n">
        <x:f>Match_Data!AC160</x:f>
        <x:v>0</x:v>
      </x:c>
      <x:c r="G160" t="str">
        <x:f>IF(OR(Match_Data!K160="",Match_Data!L160=""),"",AVERAGE(Match_Data!K160:L160))</x:f>
      </x:c>
      <x:c r="H160" t="str">
        <x:f>IF(OR(Match_Data!M160="",Match_Data!N160=""),"",AVERAGE(Match_Data!M160:N160))</x:f>
      </x:c>
      <x:c r="I160" t="str">
        <x:f>IF(OR(Match_Data!O160="",Match_Data!Q160=""),"",Match_Data!O160+Match_Data!Q160)</x:f>
      </x:c>
      <x:c r="J160" t="str">
        <x:f>IF(OR(Match_Data!P160="",Match_Data!R160=""),"",Match_Data!P160+Match_Data!R160)</x:f>
      </x:c>
      <x:c r="K160" t="str">
        <x:f>IF(OR(Match_Data!S160="",Match_Data!T160=""),"",Match_Data!S160+Match_Data!T160)</x:f>
      </x:c>
      <x:c r="L160" t="str">
        <x:f>IF(OR(Match_Data!U160="",Match_Data!V160=""),"",Match_Data!U160-Match_Data!V160)</x:f>
      </x:c>
      <x:c r="M160" s="32" t="str">
        <x:f>IF(Match_Data!Y160="","",1/Match_Data!Y160)</x:f>
      </x:c>
      <x:c r="N160" s="32" t="str">
        <x:f>IF(Match_Data!AA160="","",1/Match_Data!AA160)</x:f>
      </x:c>
      <x:c r="O160" s="32" t="str">
        <x:f>IF(OR(M160="",N160=""),"",N160-M160)</x:f>
      </x:c>
      <x:c r="P160" t="str">
        <x:f>IF(Match_Data!J160="","",IF(Match_Data!J160="OVER",1,0))</x:f>
      </x:c>
    </x:row>
    <x:row r="161">
      <x:c r="A161" t="n">
        <x:f>Match_Data!A161</x:f>
        <x:v>0</x:v>
      </x:c>
      <x:c r="B161" s="28" t="n">
        <x:f>Match_Data!B161</x:f>
        <x:v>0</x:v>
      </x:c>
      <x:c r="C161" t="n">
        <x:f>Match_Data!C161</x:f>
        <x:v>0</x:v>
      </x:c>
      <x:c r="D161" t="n">
        <x:f>Match_Data!E161</x:f>
        <x:v>0</x:v>
      </x:c>
      <x:c r="E161" t="n">
        <x:f>Match_Data!F161</x:f>
        <x:v>0</x:v>
      </x:c>
      <x:c r="F161" t="n">
        <x:f>Match_Data!AC161</x:f>
        <x:v>0</x:v>
      </x:c>
      <x:c r="G161" t="str">
        <x:f>IF(OR(Match_Data!K161="",Match_Data!L161=""),"",AVERAGE(Match_Data!K161:L161))</x:f>
      </x:c>
      <x:c r="H161" t="str">
        <x:f>IF(OR(Match_Data!M161="",Match_Data!N161=""),"",AVERAGE(Match_Data!M161:N161))</x:f>
      </x:c>
      <x:c r="I161" t="str">
        <x:f>IF(OR(Match_Data!O161="",Match_Data!Q161=""),"",Match_Data!O161+Match_Data!Q161)</x:f>
      </x:c>
      <x:c r="J161" t="str">
        <x:f>IF(OR(Match_Data!P161="",Match_Data!R161=""),"",Match_Data!P161+Match_Data!R161)</x:f>
      </x:c>
      <x:c r="K161" t="str">
        <x:f>IF(OR(Match_Data!S161="",Match_Data!T161=""),"",Match_Data!S161+Match_Data!T161)</x:f>
      </x:c>
      <x:c r="L161" t="str">
        <x:f>IF(OR(Match_Data!U161="",Match_Data!V161=""),"",Match_Data!U161-Match_Data!V161)</x:f>
      </x:c>
      <x:c r="M161" s="32" t="str">
        <x:f>IF(Match_Data!Y161="","",1/Match_Data!Y161)</x:f>
      </x:c>
      <x:c r="N161" s="32" t="str">
        <x:f>IF(Match_Data!AA161="","",1/Match_Data!AA161)</x:f>
      </x:c>
      <x:c r="O161" s="32" t="str">
        <x:f>IF(OR(M161="",N161=""),"",N161-M161)</x:f>
      </x:c>
      <x:c r="P161" t="str">
        <x:f>IF(Match_Data!J161="","",IF(Match_Data!J161="OVER",1,0))</x:f>
      </x:c>
    </x:row>
    <x:row r="162">
      <x:c r="A162" t="n">
        <x:f>Match_Data!A162</x:f>
        <x:v>0</x:v>
      </x:c>
      <x:c r="B162" s="28" t="n">
        <x:f>Match_Data!B162</x:f>
        <x:v>0</x:v>
      </x:c>
      <x:c r="C162" t="n">
        <x:f>Match_Data!C162</x:f>
        <x:v>0</x:v>
      </x:c>
      <x:c r="D162" t="n">
        <x:f>Match_Data!E162</x:f>
        <x:v>0</x:v>
      </x:c>
      <x:c r="E162" t="n">
        <x:f>Match_Data!F162</x:f>
        <x:v>0</x:v>
      </x:c>
      <x:c r="F162" t="n">
        <x:f>Match_Data!AC162</x:f>
        <x:v>0</x:v>
      </x:c>
      <x:c r="G162" t="str">
        <x:f>IF(OR(Match_Data!K162="",Match_Data!L162=""),"",AVERAGE(Match_Data!K162:L162))</x:f>
      </x:c>
      <x:c r="H162" t="str">
        <x:f>IF(OR(Match_Data!M162="",Match_Data!N162=""),"",AVERAGE(Match_Data!M162:N162))</x:f>
      </x:c>
      <x:c r="I162" t="str">
        <x:f>IF(OR(Match_Data!O162="",Match_Data!Q162=""),"",Match_Data!O162+Match_Data!Q162)</x:f>
      </x:c>
      <x:c r="J162" t="str">
        <x:f>IF(OR(Match_Data!P162="",Match_Data!R162=""),"",Match_Data!P162+Match_Data!R162)</x:f>
      </x:c>
      <x:c r="K162" t="str">
        <x:f>IF(OR(Match_Data!S162="",Match_Data!T162=""),"",Match_Data!S162+Match_Data!T162)</x:f>
      </x:c>
      <x:c r="L162" t="str">
        <x:f>IF(OR(Match_Data!U162="",Match_Data!V162=""),"",Match_Data!U162-Match_Data!V162)</x:f>
      </x:c>
      <x:c r="M162" s="32" t="str">
        <x:f>IF(Match_Data!Y162="","",1/Match_Data!Y162)</x:f>
      </x:c>
      <x:c r="N162" s="32" t="str">
        <x:f>IF(Match_Data!AA162="","",1/Match_Data!AA162)</x:f>
      </x:c>
      <x:c r="O162" s="32" t="str">
        <x:f>IF(OR(M162="",N162=""),"",N162-M162)</x:f>
      </x:c>
      <x:c r="P162" t="str">
        <x:f>IF(Match_Data!J162="","",IF(Match_Data!J162="OVER",1,0))</x:f>
      </x:c>
    </x:row>
    <x:row r="163">
      <x:c r="A163" t="n">
        <x:f>Match_Data!A163</x:f>
        <x:v>0</x:v>
      </x:c>
      <x:c r="B163" s="28" t="n">
        <x:f>Match_Data!B163</x:f>
        <x:v>0</x:v>
      </x:c>
      <x:c r="C163" t="n">
        <x:f>Match_Data!C163</x:f>
        <x:v>0</x:v>
      </x:c>
      <x:c r="D163" t="n">
        <x:f>Match_Data!E163</x:f>
        <x:v>0</x:v>
      </x:c>
      <x:c r="E163" t="n">
        <x:f>Match_Data!F163</x:f>
        <x:v>0</x:v>
      </x:c>
      <x:c r="F163" t="n">
        <x:f>Match_Data!AC163</x:f>
        <x:v>0</x:v>
      </x:c>
      <x:c r="G163" t="str">
        <x:f>IF(OR(Match_Data!K163="",Match_Data!L163=""),"",AVERAGE(Match_Data!K163:L163))</x:f>
      </x:c>
      <x:c r="H163" t="str">
        <x:f>IF(OR(Match_Data!M163="",Match_Data!N163=""),"",AVERAGE(Match_Data!M163:N163))</x:f>
      </x:c>
      <x:c r="I163" t="str">
        <x:f>IF(OR(Match_Data!O163="",Match_Data!Q163=""),"",Match_Data!O163+Match_Data!Q163)</x:f>
      </x:c>
      <x:c r="J163" t="str">
        <x:f>IF(OR(Match_Data!P163="",Match_Data!R163=""),"",Match_Data!P163+Match_Data!R163)</x:f>
      </x:c>
      <x:c r="K163" t="str">
        <x:f>IF(OR(Match_Data!S163="",Match_Data!T163=""),"",Match_Data!S163+Match_Data!T163)</x:f>
      </x:c>
      <x:c r="L163" t="str">
        <x:f>IF(OR(Match_Data!U163="",Match_Data!V163=""),"",Match_Data!U163-Match_Data!V163)</x:f>
      </x:c>
      <x:c r="M163" s="32" t="str">
        <x:f>IF(Match_Data!Y163="","",1/Match_Data!Y163)</x:f>
      </x:c>
      <x:c r="N163" s="32" t="str">
        <x:f>IF(Match_Data!AA163="","",1/Match_Data!AA163)</x:f>
      </x:c>
      <x:c r="O163" s="32" t="str">
        <x:f>IF(OR(M163="",N163=""),"",N163-M163)</x:f>
      </x:c>
      <x:c r="P163" t="str">
        <x:f>IF(Match_Data!J163="","",IF(Match_Data!J163="OVER",1,0))</x:f>
      </x:c>
    </x:row>
    <x:row r="164">
      <x:c r="A164" t="n">
        <x:f>Match_Data!A164</x:f>
        <x:v>0</x:v>
      </x:c>
      <x:c r="B164" s="28" t="n">
        <x:f>Match_Data!B164</x:f>
        <x:v>0</x:v>
      </x:c>
      <x:c r="C164" t="n">
        <x:f>Match_Data!C164</x:f>
        <x:v>0</x:v>
      </x:c>
      <x:c r="D164" t="n">
        <x:f>Match_Data!E164</x:f>
        <x:v>0</x:v>
      </x:c>
      <x:c r="E164" t="n">
        <x:f>Match_Data!F164</x:f>
        <x:v>0</x:v>
      </x:c>
      <x:c r="F164" t="n">
        <x:f>Match_Data!AC164</x:f>
        <x:v>0</x:v>
      </x:c>
      <x:c r="G164" t="str">
        <x:f>IF(OR(Match_Data!K164="",Match_Data!L164=""),"",AVERAGE(Match_Data!K164:L164))</x:f>
      </x:c>
      <x:c r="H164" t="str">
        <x:f>IF(OR(Match_Data!M164="",Match_Data!N164=""),"",AVERAGE(Match_Data!M164:N164))</x:f>
      </x:c>
      <x:c r="I164" t="str">
        <x:f>IF(OR(Match_Data!O164="",Match_Data!Q164=""),"",Match_Data!O164+Match_Data!Q164)</x:f>
      </x:c>
      <x:c r="J164" t="str">
        <x:f>IF(OR(Match_Data!P164="",Match_Data!R164=""),"",Match_Data!P164+Match_Data!R164)</x:f>
      </x:c>
      <x:c r="K164" t="str">
        <x:f>IF(OR(Match_Data!S164="",Match_Data!T164=""),"",Match_Data!S164+Match_Data!T164)</x:f>
      </x:c>
      <x:c r="L164" t="str">
        <x:f>IF(OR(Match_Data!U164="",Match_Data!V164=""),"",Match_Data!U164-Match_Data!V164)</x:f>
      </x:c>
      <x:c r="M164" s="32" t="str">
        <x:f>IF(Match_Data!Y164="","",1/Match_Data!Y164)</x:f>
      </x:c>
      <x:c r="N164" s="32" t="str">
        <x:f>IF(Match_Data!AA164="","",1/Match_Data!AA164)</x:f>
      </x:c>
      <x:c r="O164" s="32" t="str">
        <x:f>IF(OR(M164="",N164=""),"",N164-M164)</x:f>
      </x:c>
      <x:c r="P164" t="str">
        <x:f>IF(Match_Data!J164="","",IF(Match_Data!J164="OVER",1,0))</x:f>
      </x:c>
    </x:row>
    <x:row r="165">
      <x:c r="A165" t="n">
        <x:f>Match_Data!A165</x:f>
        <x:v>0</x:v>
      </x:c>
      <x:c r="B165" s="28" t="n">
        <x:f>Match_Data!B165</x:f>
        <x:v>0</x:v>
      </x:c>
      <x:c r="C165" t="n">
        <x:f>Match_Data!C165</x:f>
        <x:v>0</x:v>
      </x:c>
      <x:c r="D165" t="n">
        <x:f>Match_Data!E165</x:f>
        <x:v>0</x:v>
      </x:c>
      <x:c r="E165" t="n">
        <x:f>Match_Data!F165</x:f>
        <x:v>0</x:v>
      </x:c>
      <x:c r="F165" t="n">
        <x:f>Match_Data!AC165</x:f>
        <x:v>0</x:v>
      </x:c>
      <x:c r="G165" t="str">
        <x:f>IF(OR(Match_Data!K165="",Match_Data!L165=""),"",AVERAGE(Match_Data!K165:L165))</x:f>
      </x:c>
      <x:c r="H165" t="str">
        <x:f>IF(OR(Match_Data!M165="",Match_Data!N165=""),"",AVERAGE(Match_Data!M165:N165))</x:f>
      </x:c>
      <x:c r="I165" t="str">
        <x:f>IF(OR(Match_Data!O165="",Match_Data!Q165=""),"",Match_Data!O165+Match_Data!Q165)</x:f>
      </x:c>
      <x:c r="J165" t="str">
        <x:f>IF(OR(Match_Data!P165="",Match_Data!R165=""),"",Match_Data!P165+Match_Data!R165)</x:f>
      </x:c>
      <x:c r="K165" t="str">
        <x:f>IF(OR(Match_Data!S165="",Match_Data!T165=""),"",Match_Data!S165+Match_Data!T165)</x:f>
      </x:c>
      <x:c r="L165" t="str">
        <x:f>IF(OR(Match_Data!U165="",Match_Data!V165=""),"",Match_Data!U165-Match_Data!V165)</x:f>
      </x:c>
      <x:c r="M165" s="32" t="str">
        <x:f>IF(Match_Data!Y165="","",1/Match_Data!Y165)</x:f>
      </x:c>
      <x:c r="N165" s="32" t="str">
        <x:f>IF(Match_Data!AA165="","",1/Match_Data!AA165)</x:f>
      </x:c>
      <x:c r="O165" s="32" t="str">
        <x:f>IF(OR(M165="",N165=""),"",N165-M165)</x:f>
      </x:c>
      <x:c r="P165" t="str">
        <x:f>IF(Match_Data!J165="","",IF(Match_Data!J165="OVER",1,0))</x:f>
      </x:c>
    </x:row>
    <x:row r="166">
      <x:c r="A166" t="n">
        <x:f>Match_Data!A166</x:f>
        <x:v>0</x:v>
      </x:c>
      <x:c r="B166" s="28" t="n">
        <x:f>Match_Data!B166</x:f>
        <x:v>0</x:v>
      </x:c>
      <x:c r="C166" t="n">
        <x:f>Match_Data!C166</x:f>
        <x:v>0</x:v>
      </x:c>
      <x:c r="D166" t="n">
        <x:f>Match_Data!E166</x:f>
        <x:v>0</x:v>
      </x:c>
      <x:c r="E166" t="n">
        <x:f>Match_Data!F166</x:f>
        <x:v>0</x:v>
      </x:c>
      <x:c r="F166" t="n">
        <x:f>Match_Data!AC166</x:f>
        <x:v>0</x:v>
      </x:c>
      <x:c r="G166" t="str">
        <x:f>IF(OR(Match_Data!K166="",Match_Data!L166=""),"",AVERAGE(Match_Data!K166:L166))</x:f>
      </x:c>
      <x:c r="H166" t="str">
        <x:f>IF(OR(Match_Data!M166="",Match_Data!N166=""),"",AVERAGE(Match_Data!M166:N166))</x:f>
      </x:c>
      <x:c r="I166" t="str">
        <x:f>IF(OR(Match_Data!O166="",Match_Data!Q166=""),"",Match_Data!O166+Match_Data!Q166)</x:f>
      </x:c>
      <x:c r="J166" t="str">
        <x:f>IF(OR(Match_Data!P166="",Match_Data!R166=""),"",Match_Data!P166+Match_Data!R166)</x:f>
      </x:c>
      <x:c r="K166" t="str">
        <x:f>IF(OR(Match_Data!S166="",Match_Data!T166=""),"",Match_Data!S166+Match_Data!T166)</x:f>
      </x:c>
      <x:c r="L166" t="str">
        <x:f>IF(OR(Match_Data!U166="",Match_Data!V166=""),"",Match_Data!U166-Match_Data!V166)</x:f>
      </x:c>
      <x:c r="M166" s="32" t="str">
        <x:f>IF(Match_Data!Y166="","",1/Match_Data!Y166)</x:f>
      </x:c>
      <x:c r="N166" s="32" t="str">
        <x:f>IF(Match_Data!AA166="","",1/Match_Data!AA166)</x:f>
      </x:c>
      <x:c r="O166" s="32" t="str">
        <x:f>IF(OR(M166="",N166=""),"",N166-M166)</x:f>
      </x:c>
      <x:c r="P166" t="str">
        <x:f>IF(Match_Data!J166="","",IF(Match_Data!J166="OVER",1,0))</x:f>
      </x:c>
    </x:row>
    <x:row r="167">
      <x:c r="A167" t="n">
        <x:f>Match_Data!A167</x:f>
        <x:v>0</x:v>
      </x:c>
      <x:c r="B167" s="28" t="n">
        <x:f>Match_Data!B167</x:f>
        <x:v>0</x:v>
      </x:c>
      <x:c r="C167" t="n">
        <x:f>Match_Data!C167</x:f>
        <x:v>0</x:v>
      </x:c>
      <x:c r="D167" t="n">
        <x:f>Match_Data!E167</x:f>
        <x:v>0</x:v>
      </x:c>
      <x:c r="E167" t="n">
        <x:f>Match_Data!F167</x:f>
        <x:v>0</x:v>
      </x:c>
      <x:c r="F167" t="n">
        <x:f>Match_Data!AC167</x:f>
        <x:v>0</x:v>
      </x:c>
      <x:c r="G167" t="str">
        <x:f>IF(OR(Match_Data!K167="",Match_Data!L167=""),"",AVERAGE(Match_Data!K167:L167))</x:f>
      </x:c>
      <x:c r="H167" t="str">
        <x:f>IF(OR(Match_Data!M167="",Match_Data!N167=""),"",AVERAGE(Match_Data!M167:N167))</x:f>
      </x:c>
      <x:c r="I167" t="str">
        <x:f>IF(OR(Match_Data!O167="",Match_Data!Q167=""),"",Match_Data!O167+Match_Data!Q167)</x:f>
      </x:c>
      <x:c r="J167" t="str">
        <x:f>IF(OR(Match_Data!P167="",Match_Data!R167=""),"",Match_Data!P167+Match_Data!R167)</x:f>
      </x:c>
      <x:c r="K167" t="str">
        <x:f>IF(OR(Match_Data!S167="",Match_Data!T167=""),"",Match_Data!S167+Match_Data!T167)</x:f>
      </x:c>
      <x:c r="L167" t="str">
        <x:f>IF(OR(Match_Data!U167="",Match_Data!V167=""),"",Match_Data!U167-Match_Data!V167)</x:f>
      </x:c>
      <x:c r="M167" s="32" t="str">
        <x:f>IF(Match_Data!Y167="","",1/Match_Data!Y167)</x:f>
      </x:c>
      <x:c r="N167" s="32" t="str">
        <x:f>IF(Match_Data!AA167="","",1/Match_Data!AA167)</x:f>
      </x:c>
      <x:c r="O167" s="32" t="str">
        <x:f>IF(OR(M167="",N167=""),"",N167-M167)</x:f>
      </x:c>
      <x:c r="P167" t="str">
        <x:f>IF(Match_Data!J167="","",IF(Match_Data!J167="OVER",1,0))</x:f>
      </x:c>
    </x:row>
    <x:row r="168">
      <x:c r="A168" t="n">
        <x:f>Match_Data!A168</x:f>
        <x:v>0</x:v>
      </x:c>
      <x:c r="B168" s="28" t="n">
        <x:f>Match_Data!B168</x:f>
        <x:v>0</x:v>
      </x:c>
      <x:c r="C168" t="n">
        <x:f>Match_Data!C168</x:f>
        <x:v>0</x:v>
      </x:c>
      <x:c r="D168" t="n">
        <x:f>Match_Data!E168</x:f>
        <x:v>0</x:v>
      </x:c>
      <x:c r="E168" t="n">
        <x:f>Match_Data!F168</x:f>
        <x:v>0</x:v>
      </x:c>
      <x:c r="F168" t="n">
        <x:f>Match_Data!AC168</x:f>
        <x:v>0</x:v>
      </x:c>
      <x:c r="G168" t="str">
        <x:f>IF(OR(Match_Data!K168="",Match_Data!L168=""),"",AVERAGE(Match_Data!K168:L168))</x:f>
      </x:c>
      <x:c r="H168" t="str">
        <x:f>IF(OR(Match_Data!M168="",Match_Data!N168=""),"",AVERAGE(Match_Data!M168:N168))</x:f>
      </x:c>
      <x:c r="I168" t="str">
        <x:f>IF(OR(Match_Data!O168="",Match_Data!Q168=""),"",Match_Data!O168+Match_Data!Q168)</x:f>
      </x:c>
      <x:c r="J168" t="str">
        <x:f>IF(OR(Match_Data!P168="",Match_Data!R168=""),"",Match_Data!P168+Match_Data!R168)</x:f>
      </x:c>
      <x:c r="K168" t="str">
        <x:f>IF(OR(Match_Data!S168="",Match_Data!T168=""),"",Match_Data!S168+Match_Data!T168)</x:f>
      </x:c>
      <x:c r="L168" t="str">
        <x:f>IF(OR(Match_Data!U168="",Match_Data!V168=""),"",Match_Data!U168-Match_Data!V168)</x:f>
      </x:c>
      <x:c r="M168" s="32" t="str">
        <x:f>IF(Match_Data!Y168="","",1/Match_Data!Y168)</x:f>
      </x:c>
      <x:c r="N168" s="32" t="str">
        <x:f>IF(Match_Data!AA168="","",1/Match_Data!AA168)</x:f>
      </x:c>
      <x:c r="O168" s="32" t="str">
        <x:f>IF(OR(M168="",N168=""),"",N168-M168)</x:f>
      </x:c>
      <x:c r="P168" t="str">
        <x:f>IF(Match_Data!J168="","",IF(Match_Data!J168="OVER",1,0))</x:f>
      </x:c>
    </x:row>
    <x:row r="169">
      <x:c r="A169" t="n">
        <x:f>Match_Data!A169</x:f>
        <x:v>0</x:v>
      </x:c>
      <x:c r="B169" s="28" t="n">
        <x:f>Match_Data!B169</x:f>
        <x:v>0</x:v>
      </x:c>
      <x:c r="C169" t="n">
        <x:f>Match_Data!C169</x:f>
        <x:v>0</x:v>
      </x:c>
      <x:c r="D169" t="n">
        <x:f>Match_Data!E169</x:f>
        <x:v>0</x:v>
      </x:c>
      <x:c r="E169" t="n">
        <x:f>Match_Data!F169</x:f>
        <x:v>0</x:v>
      </x:c>
      <x:c r="F169" t="n">
        <x:f>Match_Data!AC169</x:f>
        <x:v>0</x:v>
      </x:c>
      <x:c r="G169" t="str">
        <x:f>IF(OR(Match_Data!K169="",Match_Data!L169=""),"",AVERAGE(Match_Data!K169:L169))</x:f>
      </x:c>
      <x:c r="H169" t="str">
        <x:f>IF(OR(Match_Data!M169="",Match_Data!N169=""),"",AVERAGE(Match_Data!M169:N169))</x:f>
      </x:c>
      <x:c r="I169" t="str">
        <x:f>IF(OR(Match_Data!O169="",Match_Data!Q169=""),"",Match_Data!O169+Match_Data!Q169)</x:f>
      </x:c>
      <x:c r="J169" t="str">
        <x:f>IF(OR(Match_Data!P169="",Match_Data!R169=""),"",Match_Data!P169+Match_Data!R169)</x:f>
      </x:c>
      <x:c r="K169" t="str">
        <x:f>IF(OR(Match_Data!S169="",Match_Data!T169=""),"",Match_Data!S169+Match_Data!T169)</x:f>
      </x:c>
      <x:c r="L169" t="str">
        <x:f>IF(OR(Match_Data!U169="",Match_Data!V169=""),"",Match_Data!U169-Match_Data!V169)</x:f>
      </x:c>
      <x:c r="M169" s="32" t="str">
        <x:f>IF(Match_Data!Y169="","",1/Match_Data!Y169)</x:f>
      </x:c>
      <x:c r="N169" s="32" t="str">
        <x:f>IF(Match_Data!AA169="","",1/Match_Data!AA169)</x:f>
      </x:c>
      <x:c r="O169" s="32" t="str">
        <x:f>IF(OR(M169="",N169=""),"",N169-M169)</x:f>
      </x:c>
      <x:c r="P169" t="str">
        <x:f>IF(Match_Data!J169="","",IF(Match_Data!J169="OVER",1,0))</x:f>
      </x:c>
    </x:row>
    <x:row r="170">
      <x:c r="A170" t="n">
        <x:f>Match_Data!A170</x:f>
        <x:v>0</x:v>
      </x:c>
      <x:c r="B170" s="28" t="n">
        <x:f>Match_Data!B170</x:f>
        <x:v>0</x:v>
      </x:c>
      <x:c r="C170" t="n">
        <x:f>Match_Data!C170</x:f>
        <x:v>0</x:v>
      </x:c>
      <x:c r="D170" t="n">
        <x:f>Match_Data!E170</x:f>
        <x:v>0</x:v>
      </x:c>
      <x:c r="E170" t="n">
        <x:f>Match_Data!F170</x:f>
        <x:v>0</x:v>
      </x:c>
      <x:c r="F170" t="n">
        <x:f>Match_Data!AC170</x:f>
        <x:v>0</x:v>
      </x:c>
      <x:c r="G170" t="str">
        <x:f>IF(OR(Match_Data!K170="",Match_Data!L170=""),"",AVERAGE(Match_Data!K170:L170))</x:f>
      </x:c>
      <x:c r="H170" t="str">
        <x:f>IF(OR(Match_Data!M170="",Match_Data!N170=""),"",AVERAGE(Match_Data!M170:N170))</x:f>
      </x:c>
      <x:c r="I170" t="str">
        <x:f>IF(OR(Match_Data!O170="",Match_Data!Q170=""),"",Match_Data!O170+Match_Data!Q170)</x:f>
      </x:c>
      <x:c r="J170" t="str">
        <x:f>IF(OR(Match_Data!P170="",Match_Data!R170=""),"",Match_Data!P170+Match_Data!R170)</x:f>
      </x:c>
      <x:c r="K170" t="str">
        <x:f>IF(OR(Match_Data!S170="",Match_Data!T170=""),"",Match_Data!S170+Match_Data!T170)</x:f>
      </x:c>
      <x:c r="L170" t="str">
        <x:f>IF(OR(Match_Data!U170="",Match_Data!V170=""),"",Match_Data!U170-Match_Data!V170)</x:f>
      </x:c>
      <x:c r="M170" s="32" t="str">
        <x:f>IF(Match_Data!Y170="","",1/Match_Data!Y170)</x:f>
      </x:c>
      <x:c r="N170" s="32" t="str">
        <x:f>IF(Match_Data!AA170="","",1/Match_Data!AA170)</x:f>
      </x:c>
      <x:c r="O170" s="32" t="str">
        <x:f>IF(OR(M170="",N170=""),"",N170-M170)</x:f>
      </x:c>
      <x:c r="P170" t="str">
        <x:f>IF(Match_Data!J170="","",IF(Match_Data!J170="OVER",1,0))</x:f>
      </x:c>
    </x:row>
    <x:row r="171">
      <x:c r="A171" t="n">
        <x:f>Match_Data!A171</x:f>
        <x:v>0</x:v>
      </x:c>
      <x:c r="B171" s="28" t="n">
        <x:f>Match_Data!B171</x:f>
        <x:v>0</x:v>
      </x:c>
      <x:c r="C171" t="n">
        <x:f>Match_Data!C171</x:f>
        <x:v>0</x:v>
      </x:c>
      <x:c r="D171" t="n">
        <x:f>Match_Data!E171</x:f>
        <x:v>0</x:v>
      </x:c>
      <x:c r="E171" t="n">
        <x:f>Match_Data!F171</x:f>
        <x:v>0</x:v>
      </x:c>
      <x:c r="F171" t="n">
        <x:f>Match_Data!AC171</x:f>
        <x:v>0</x:v>
      </x:c>
      <x:c r="G171" t="str">
        <x:f>IF(OR(Match_Data!K171="",Match_Data!L171=""),"",AVERAGE(Match_Data!K171:L171))</x:f>
      </x:c>
      <x:c r="H171" t="str">
        <x:f>IF(OR(Match_Data!M171="",Match_Data!N171=""),"",AVERAGE(Match_Data!M171:N171))</x:f>
      </x:c>
      <x:c r="I171" t="str">
        <x:f>IF(OR(Match_Data!O171="",Match_Data!Q171=""),"",Match_Data!O171+Match_Data!Q171)</x:f>
      </x:c>
      <x:c r="J171" t="str">
        <x:f>IF(OR(Match_Data!P171="",Match_Data!R171=""),"",Match_Data!P171+Match_Data!R171)</x:f>
      </x:c>
      <x:c r="K171" t="str">
        <x:f>IF(OR(Match_Data!S171="",Match_Data!T171=""),"",Match_Data!S171+Match_Data!T171)</x:f>
      </x:c>
      <x:c r="L171" t="str">
        <x:f>IF(OR(Match_Data!U171="",Match_Data!V171=""),"",Match_Data!U171-Match_Data!V171)</x:f>
      </x:c>
      <x:c r="M171" s="32" t="str">
        <x:f>IF(Match_Data!Y171="","",1/Match_Data!Y171)</x:f>
      </x:c>
      <x:c r="N171" s="32" t="str">
        <x:f>IF(Match_Data!AA171="","",1/Match_Data!AA171)</x:f>
      </x:c>
      <x:c r="O171" s="32" t="str">
        <x:f>IF(OR(M171="",N171=""),"",N171-M171)</x:f>
      </x:c>
      <x:c r="P171" t="str">
        <x:f>IF(Match_Data!J171="","",IF(Match_Data!J171="OVER",1,0))</x:f>
      </x:c>
    </x:row>
    <x:row r="172">
      <x:c r="A172" t="n">
        <x:f>Match_Data!A172</x:f>
        <x:v>0</x:v>
      </x:c>
      <x:c r="B172" s="28" t="n">
        <x:f>Match_Data!B172</x:f>
        <x:v>0</x:v>
      </x:c>
      <x:c r="C172" t="n">
        <x:f>Match_Data!C172</x:f>
        <x:v>0</x:v>
      </x:c>
      <x:c r="D172" t="n">
        <x:f>Match_Data!E172</x:f>
        <x:v>0</x:v>
      </x:c>
      <x:c r="E172" t="n">
        <x:f>Match_Data!F172</x:f>
        <x:v>0</x:v>
      </x:c>
      <x:c r="F172" t="n">
        <x:f>Match_Data!AC172</x:f>
        <x:v>0</x:v>
      </x:c>
      <x:c r="G172" t="str">
        <x:f>IF(OR(Match_Data!K172="",Match_Data!L172=""),"",AVERAGE(Match_Data!K172:L172))</x:f>
      </x:c>
      <x:c r="H172" t="str">
        <x:f>IF(OR(Match_Data!M172="",Match_Data!N172=""),"",AVERAGE(Match_Data!M172:N172))</x:f>
      </x:c>
      <x:c r="I172" t="str">
        <x:f>IF(OR(Match_Data!O172="",Match_Data!Q172=""),"",Match_Data!O172+Match_Data!Q172)</x:f>
      </x:c>
      <x:c r="J172" t="str">
        <x:f>IF(OR(Match_Data!P172="",Match_Data!R172=""),"",Match_Data!P172+Match_Data!R172)</x:f>
      </x:c>
      <x:c r="K172" t="str">
        <x:f>IF(OR(Match_Data!S172="",Match_Data!T172=""),"",Match_Data!S172+Match_Data!T172)</x:f>
      </x:c>
      <x:c r="L172" t="str">
        <x:f>IF(OR(Match_Data!U172="",Match_Data!V172=""),"",Match_Data!U172-Match_Data!V172)</x:f>
      </x:c>
      <x:c r="M172" s="32" t="str">
        <x:f>IF(Match_Data!Y172="","",1/Match_Data!Y172)</x:f>
      </x:c>
      <x:c r="N172" s="32" t="str">
        <x:f>IF(Match_Data!AA172="","",1/Match_Data!AA172)</x:f>
      </x:c>
      <x:c r="O172" s="32" t="str">
        <x:f>IF(OR(M172="",N172=""),"",N172-M172)</x:f>
      </x:c>
      <x:c r="P172" t="str">
        <x:f>IF(Match_Data!J172="","",IF(Match_Data!J172="OVER",1,0))</x:f>
      </x:c>
    </x:row>
    <x:row r="173">
      <x:c r="A173" t="n">
        <x:f>Match_Data!A173</x:f>
        <x:v>0</x:v>
      </x:c>
      <x:c r="B173" s="28" t="n">
        <x:f>Match_Data!B173</x:f>
        <x:v>0</x:v>
      </x:c>
      <x:c r="C173" t="n">
        <x:f>Match_Data!C173</x:f>
        <x:v>0</x:v>
      </x:c>
      <x:c r="D173" t="n">
        <x:f>Match_Data!E173</x:f>
        <x:v>0</x:v>
      </x:c>
      <x:c r="E173" t="n">
        <x:f>Match_Data!F173</x:f>
        <x:v>0</x:v>
      </x:c>
      <x:c r="F173" t="n">
        <x:f>Match_Data!AC173</x:f>
        <x:v>0</x:v>
      </x:c>
      <x:c r="G173" t="str">
        <x:f>IF(OR(Match_Data!K173="",Match_Data!L173=""),"",AVERAGE(Match_Data!K173:L173))</x:f>
      </x:c>
      <x:c r="H173" t="str">
        <x:f>IF(OR(Match_Data!M173="",Match_Data!N173=""),"",AVERAGE(Match_Data!M173:N173))</x:f>
      </x:c>
      <x:c r="I173" t="str">
        <x:f>IF(OR(Match_Data!O173="",Match_Data!Q173=""),"",Match_Data!O173+Match_Data!Q173)</x:f>
      </x:c>
      <x:c r="J173" t="str">
        <x:f>IF(OR(Match_Data!P173="",Match_Data!R173=""),"",Match_Data!P173+Match_Data!R173)</x:f>
      </x:c>
      <x:c r="K173" t="str">
        <x:f>IF(OR(Match_Data!S173="",Match_Data!T173=""),"",Match_Data!S173+Match_Data!T173)</x:f>
      </x:c>
      <x:c r="L173" t="str">
        <x:f>IF(OR(Match_Data!U173="",Match_Data!V173=""),"",Match_Data!U173-Match_Data!V173)</x:f>
      </x:c>
      <x:c r="M173" s="32" t="str">
        <x:f>IF(Match_Data!Y173="","",1/Match_Data!Y173)</x:f>
      </x:c>
      <x:c r="N173" s="32" t="str">
        <x:f>IF(Match_Data!AA173="","",1/Match_Data!AA173)</x:f>
      </x:c>
      <x:c r="O173" s="32" t="str">
        <x:f>IF(OR(M173="",N173=""),"",N173-M173)</x:f>
      </x:c>
      <x:c r="P173" t="str">
        <x:f>IF(Match_Data!J173="","",IF(Match_Data!J173="OVER",1,0))</x:f>
      </x:c>
    </x:row>
    <x:row r="174">
      <x:c r="A174" t="n">
        <x:f>Match_Data!A174</x:f>
        <x:v>0</x:v>
      </x:c>
      <x:c r="B174" s="28" t="n">
        <x:f>Match_Data!B174</x:f>
        <x:v>0</x:v>
      </x:c>
      <x:c r="C174" t="n">
        <x:f>Match_Data!C174</x:f>
        <x:v>0</x:v>
      </x:c>
      <x:c r="D174" t="n">
        <x:f>Match_Data!E174</x:f>
        <x:v>0</x:v>
      </x:c>
      <x:c r="E174" t="n">
        <x:f>Match_Data!F174</x:f>
        <x:v>0</x:v>
      </x:c>
      <x:c r="F174" t="n">
        <x:f>Match_Data!AC174</x:f>
        <x:v>0</x:v>
      </x:c>
      <x:c r="G174" t="str">
        <x:f>IF(OR(Match_Data!K174="",Match_Data!L174=""),"",AVERAGE(Match_Data!K174:L174))</x:f>
      </x:c>
      <x:c r="H174" t="str">
        <x:f>IF(OR(Match_Data!M174="",Match_Data!N174=""),"",AVERAGE(Match_Data!M174:N174))</x:f>
      </x:c>
      <x:c r="I174" t="str">
        <x:f>IF(OR(Match_Data!O174="",Match_Data!Q174=""),"",Match_Data!O174+Match_Data!Q174)</x:f>
      </x:c>
      <x:c r="J174" t="str">
        <x:f>IF(OR(Match_Data!P174="",Match_Data!R174=""),"",Match_Data!P174+Match_Data!R174)</x:f>
      </x:c>
      <x:c r="K174" t="str">
        <x:f>IF(OR(Match_Data!S174="",Match_Data!T174=""),"",Match_Data!S174+Match_Data!T174)</x:f>
      </x:c>
      <x:c r="L174" t="str">
        <x:f>IF(OR(Match_Data!U174="",Match_Data!V174=""),"",Match_Data!U174-Match_Data!V174)</x:f>
      </x:c>
      <x:c r="M174" s="32" t="str">
        <x:f>IF(Match_Data!Y174="","",1/Match_Data!Y174)</x:f>
      </x:c>
      <x:c r="N174" s="32" t="str">
        <x:f>IF(Match_Data!AA174="","",1/Match_Data!AA174)</x:f>
      </x:c>
      <x:c r="O174" s="32" t="str">
        <x:f>IF(OR(M174="",N174=""),"",N174-M174)</x:f>
      </x:c>
      <x:c r="P174" t="str">
        <x:f>IF(Match_Data!J174="","",IF(Match_Data!J174="OVER",1,0))</x:f>
      </x:c>
    </x:row>
    <x:row r="175">
      <x:c r="A175" t="n">
        <x:f>Match_Data!A175</x:f>
        <x:v>0</x:v>
      </x:c>
      <x:c r="B175" s="28" t="n">
        <x:f>Match_Data!B175</x:f>
        <x:v>0</x:v>
      </x:c>
      <x:c r="C175" t="n">
        <x:f>Match_Data!C175</x:f>
        <x:v>0</x:v>
      </x:c>
      <x:c r="D175" t="n">
        <x:f>Match_Data!E175</x:f>
        <x:v>0</x:v>
      </x:c>
      <x:c r="E175" t="n">
        <x:f>Match_Data!F175</x:f>
        <x:v>0</x:v>
      </x:c>
      <x:c r="F175" t="n">
        <x:f>Match_Data!AC175</x:f>
        <x:v>0</x:v>
      </x:c>
      <x:c r="G175" t="str">
        <x:f>IF(OR(Match_Data!K175="",Match_Data!L175=""),"",AVERAGE(Match_Data!K175:L175))</x:f>
      </x:c>
      <x:c r="H175" t="str">
        <x:f>IF(OR(Match_Data!M175="",Match_Data!N175=""),"",AVERAGE(Match_Data!M175:N175))</x:f>
      </x:c>
      <x:c r="I175" t="str">
        <x:f>IF(OR(Match_Data!O175="",Match_Data!Q175=""),"",Match_Data!O175+Match_Data!Q175)</x:f>
      </x:c>
      <x:c r="J175" t="str">
        <x:f>IF(OR(Match_Data!P175="",Match_Data!R175=""),"",Match_Data!P175+Match_Data!R175)</x:f>
      </x:c>
      <x:c r="K175" t="str">
        <x:f>IF(OR(Match_Data!S175="",Match_Data!T175=""),"",Match_Data!S175+Match_Data!T175)</x:f>
      </x:c>
      <x:c r="L175" t="str">
        <x:f>IF(OR(Match_Data!U175="",Match_Data!V175=""),"",Match_Data!U175-Match_Data!V175)</x:f>
      </x:c>
      <x:c r="M175" s="32" t="str">
        <x:f>IF(Match_Data!Y175="","",1/Match_Data!Y175)</x:f>
      </x:c>
      <x:c r="N175" s="32" t="str">
        <x:f>IF(Match_Data!AA175="","",1/Match_Data!AA175)</x:f>
      </x:c>
      <x:c r="O175" s="32" t="str">
        <x:f>IF(OR(M175="",N175=""),"",N175-M175)</x:f>
      </x:c>
      <x:c r="P175" t="str">
        <x:f>IF(Match_Data!J175="","",IF(Match_Data!J175="OVER",1,0))</x:f>
      </x:c>
    </x:row>
    <x:row r="176">
      <x:c r="A176" t="n">
        <x:f>Match_Data!A176</x:f>
        <x:v>0</x:v>
      </x:c>
      <x:c r="B176" s="28" t="n">
        <x:f>Match_Data!B176</x:f>
        <x:v>0</x:v>
      </x:c>
      <x:c r="C176" t="n">
        <x:f>Match_Data!C176</x:f>
        <x:v>0</x:v>
      </x:c>
      <x:c r="D176" t="n">
        <x:f>Match_Data!E176</x:f>
        <x:v>0</x:v>
      </x:c>
      <x:c r="E176" t="n">
        <x:f>Match_Data!F176</x:f>
        <x:v>0</x:v>
      </x:c>
      <x:c r="F176" t="n">
        <x:f>Match_Data!AC176</x:f>
        <x:v>0</x:v>
      </x:c>
      <x:c r="G176" t="str">
        <x:f>IF(OR(Match_Data!K176="",Match_Data!L176=""),"",AVERAGE(Match_Data!K176:L176))</x:f>
      </x:c>
      <x:c r="H176" t="str">
        <x:f>IF(OR(Match_Data!M176="",Match_Data!N176=""),"",AVERAGE(Match_Data!M176:N176))</x:f>
      </x:c>
      <x:c r="I176" t="str">
        <x:f>IF(OR(Match_Data!O176="",Match_Data!Q176=""),"",Match_Data!O176+Match_Data!Q176)</x:f>
      </x:c>
      <x:c r="J176" t="str">
        <x:f>IF(OR(Match_Data!P176="",Match_Data!R176=""),"",Match_Data!P176+Match_Data!R176)</x:f>
      </x:c>
      <x:c r="K176" t="str">
        <x:f>IF(OR(Match_Data!S176="",Match_Data!T176=""),"",Match_Data!S176+Match_Data!T176)</x:f>
      </x:c>
      <x:c r="L176" t="str">
        <x:f>IF(OR(Match_Data!U176="",Match_Data!V176=""),"",Match_Data!U176-Match_Data!V176)</x:f>
      </x:c>
      <x:c r="M176" s="32" t="str">
        <x:f>IF(Match_Data!Y176="","",1/Match_Data!Y176)</x:f>
      </x:c>
      <x:c r="N176" s="32" t="str">
        <x:f>IF(Match_Data!AA176="","",1/Match_Data!AA176)</x:f>
      </x:c>
      <x:c r="O176" s="32" t="str">
        <x:f>IF(OR(M176="",N176=""),"",N176-M176)</x:f>
      </x:c>
      <x:c r="P176" t="str">
        <x:f>IF(Match_Data!J176="","",IF(Match_Data!J176="OVER",1,0))</x:f>
      </x:c>
    </x:row>
    <x:row r="177">
      <x:c r="A177" t="n">
        <x:f>Match_Data!A177</x:f>
        <x:v>0</x:v>
      </x:c>
      <x:c r="B177" s="28" t="n">
        <x:f>Match_Data!B177</x:f>
        <x:v>0</x:v>
      </x:c>
      <x:c r="C177" t="n">
        <x:f>Match_Data!C177</x:f>
        <x:v>0</x:v>
      </x:c>
      <x:c r="D177" t="n">
        <x:f>Match_Data!E177</x:f>
        <x:v>0</x:v>
      </x:c>
      <x:c r="E177" t="n">
        <x:f>Match_Data!F177</x:f>
        <x:v>0</x:v>
      </x:c>
      <x:c r="F177" t="n">
        <x:f>Match_Data!AC177</x:f>
        <x:v>0</x:v>
      </x:c>
      <x:c r="G177" t="str">
        <x:f>IF(OR(Match_Data!K177="",Match_Data!L177=""),"",AVERAGE(Match_Data!K177:L177))</x:f>
      </x:c>
      <x:c r="H177" t="str">
        <x:f>IF(OR(Match_Data!M177="",Match_Data!N177=""),"",AVERAGE(Match_Data!M177:N177))</x:f>
      </x:c>
      <x:c r="I177" t="str">
        <x:f>IF(OR(Match_Data!O177="",Match_Data!Q177=""),"",Match_Data!O177+Match_Data!Q177)</x:f>
      </x:c>
      <x:c r="J177" t="str">
        <x:f>IF(OR(Match_Data!P177="",Match_Data!R177=""),"",Match_Data!P177+Match_Data!R177)</x:f>
      </x:c>
      <x:c r="K177" t="str">
        <x:f>IF(OR(Match_Data!S177="",Match_Data!T177=""),"",Match_Data!S177+Match_Data!T177)</x:f>
      </x:c>
      <x:c r="L177" t="str">
        <x:f>IF(OR(Match_Data!U177="",Match_Data!V177=""),"",Match_Data!U177-Match_Data!V177)</x:f>
      </x:c>
      <x:c r="M177" s="32" t="str">
        <x:f>IF(Match_Data!Y177="","",1/Match_Data!Y177)</x:f>
      </x:c>
      <x:c r="N177" s="32" t="str">
        <x:f>IF(Match_Data!AA177="","",1/Match_Data!AA177)</x:f>
      </x:c>
      <x:c r="O177" s="32" t="str">
        <x:f>IF(OR(M177="",N177=""),"",N177-M177)</x:f>
      </x:c>
      <x:c r="P177" t="str">
        <x:f>IF(Match_Data!J177="","",IF(Match_Data!J177="OVER",1,0))</x:f>
      </x:c>
    </x:row>
    <x:row r="178">
      <x:c r="A178" t="n">
        <x:f>Match_Data!A178</x:f>
        <x:v>0</x:v>
      </x:c>
      <x:c r="B178" s="28" t="n">
        <x:f>Match_Data!B178</x:f>
        <x:v>0</x:v>
      </x:c>
      <x:c r="C178" t="n">
        <x:f>Match_Data!C178</x:f>
        <x:v>0</x:v>
      </x:c>
      <x:c r="D178" t="n">
        <x:f>Match_Data!E178</x:f>
        <x:v>0</x:v>
      </x:c>
      <x:c r="E178" t="n">
        <x:f>Match_Data!F178</x:f>
        <x:v>0</x:v>
      </x:c>
      <x:c r="F178" t="n">
        <x:f>Match_Data!AC178</x:f>
        <x:v>0</x:v>
      </x:c>
      <x:c r="G178" t="str">
        <x:f>IF(OR(Match_Data!K178="",Match_Data!L178=""),"",AVERAGE(Match_Data!K178:L178))</x:f>
      </x:c>
      <x:c r="H178" t="str">
        <x:f>IF(OR(Match_Data!M178="",Match_Data!N178=""),"",AVERAGE(Match_Data!M178:N178))</x:f>
      </x:c>
      <x:c r="I178" t="str">
        <x:f>IF(OR(Match_Data!O178="",Match_Data!Q178=""),"",Match_Data!O178+Match_Data!Q178)</x:f>
      </x:c>
      <x:c r="J178" t="str">
        <x:f>IF(OR(Match_Data!P178="",Match_Data!R178=""),"",Match_Data!P178+Match_Data!R178)</x:f>
      </x:c>
      <x:c r="K178" t="str">
        <x:f>IF(OR(Match_Data!S178="",Match_Data!T178=""),"",Match_Data!S178+Match_Data!T178)</x:f>
      </x:c>
      <x:c r="L178" t="str">
        <x:f>IF(OR(Match_Data!U178="",Match_Data!V178=""),"",Match_Data!U178-Match_Data!V178)</x:f>
      </x:c>
      <x:c r="M178" s="32" t="str">
        <x:f>IF(Match_Data!Y178="","",1/Match_Data!Y178)</x:f>
      </x:c>
      <x:c r="N178" s="32" t="str">
        <x:f>IF(Match_Data!AA178="","",1/Match_Data!AA178)</x:f>
      </x:c>
      <x:c r="O178" s="32" t="str">
        <x:f>IF(OR(M178="",N178=""),"",N178-M178)</x:f>
      </x:c>
      <x:c r="P178" t="str">
        <x:f>IF(Match_Data!J178="","",IF(Match_Data!J178="OVER",1,0))</x:f>
      </x:c>
    </x:row>
    <x:row r="179">
      <x:c r="A179" t="n">
        <x:f>Match_Data!A179</x:f>
        <x:v>0</x:v>
      </x:c>
      <x:c r="B179" s="28" t="n">
        <x:f>Match_Data!B179</x:f>
        <x:v>0</x:v>
      </x:c>
      <x:c r="C179" t="n">
        <x:f>Match_Data!C179</x:f>
        <x:v>0</x:v>
      </x:c>
      <x:c r="D179" t="n">
        <x:f>Match_Data!E179</x:f>
        <x:v>0</x:v>
      </x:c>
      <x:c r="E179" t="n">
        <x:f>Match_Data!F179</x:f>
        <x:v>0</x:v>
      </x:c>
      <x:c r="F179" t="n">
        <x:f>Match_Data!AC179</x:f>
        <x:v>0</x:v>
      </x:c>
      <x:c r="G179" t="str">
        <x:f>IF(OR(Match_Data!K179="",Match_Data!L179=""),"",AVERAGE(Match_Data!K179:L179))</x:f>
      </x:c>
      <x:c r="H179" t="str">
        <x:f>IF(OR(Match_Data!M179="",Match_Data!N179=""),"",AVERAGE(Match_Data!M179:N179))</x:f>
      </x:c>
      <x:c r="I179" t="str">
        <x:f>IF(OR(Match_Data!O179="",Match_Data!Q179=""),"",Match_Data!O179+Match_Data!Q179)</x:f>
      </x:c>
      <x:c r="J179" t="str">
        <x:f>IF(OR(Match_Data!P179="",Match_Data!R179=""),"",Match_Data!P179+Match_Data!R179)</x:f>
      </x:c>
      <x:c r="K179" t="str">
        <x:f>IF(OR(Match_Data!S179="",Match_Data!T179=""),"",Match_Data!S179+Match_Data!T179)</x:f>
      </x:c>
      <x:c r="L179" t="str">
        <x:f>IF(OR(Match_Data!U179="",Match_Data!V179=""),"",Match_Data!U179-Match_Data!V179)</x:f>
      </x:c>
      <x:c r="M179" s="32" t="str">
        <x:f>IF(Match_Data!Y179="","",1/Match_Data!Y179)</x:f>
      </x:c>
      <x:c r="N179" s="32" t="str">
        <x:f>IF(Match_Data!AA179="","",1/Match_Data!AA179)</x:f>
      </x:c>
      <x:c r="O179" s="32" t="str">
        <x:f>IF(OR(M179="",N179=""),"",N179-M179)</x:f>
      </x:c>
      <x:c r="P179" t="str">
        <x:f>IF(Match_Data!J179="","",IF(Match_Data!J179="OVER",1,0))</x:f>
      </x:c>
    </x:row>
    <x:row r="180">
      <x:c r="A180" t="n">
        <x:f>Match_Data!A180</x:f>
        <x:v>0</x:v>
      </x:c>
      <x:c r="B180" s="28" t="n">
        <x:f>Match_Data!B180</x:f>
        <x:v>0</x:v>
      </x:c>
      <x:c r="C180" t="n">
        <x:f>Match_Data!C180</x:f>
        <x:v>0</x:v>
      </x:c>
      <x:c r="D180" t="n">
        <x:f>Match_Data!E180</x:f>
        <x:v>0</x:v>
      </x:c>
      <x:c r="E180" t="n">
        <x:f>Match_Data!F180</x:f>
        <x:v>0</x:v>
      </x:c>
      <x:c r="F180" t="n">
        <x:f>Match_Data!AC180</x:f>
        <x:v>0</x:v>
      </x:c>
      <x:c r="G180" t="str">
        <x:f>IF(OR(Match_Data!K180="",Match_Data!L180=""),"",AVERAGE(Match_Data!K180:L180))</x:f>
      </x:c>
      <x:c r="H180" t="str">
        <x:f>IF(OR(Match_Data!M180="",Match_Data!N180=""),"",AVERAGE(Match_Data!M180:N180))</x:f>
      </x:c>
      <x:c r="I180" t="str">
        <x:f>IF(OR(Match_Data!O180="",Match_Data!Q180=""),"",Match_Data!O180+Match_Data!Q180)</x:f>
      </x:c>
      <x:c r="J180" t="str">
        <x:f>IF(OR(Match_Data!P180="",Match_Data!R180=""),"",Match_Data!P180+Match_Data!R180)</x:f>
      </x:c>
      <x:c r="K180" t="str">
        <x:f>IF(OR(Match_Data!S180="",Match_Data!T180=""),"",Match_Data!S180+Match_Data!T180)</x:f>
      </x:c>
      <x:c r="L180" t="str">
        <x:f>IF(OR(Match_Data!U180="",Match_Data!V180=""),"",Match_Data!U180-Match_Data!V180)</x:f>
      </x:c>
      <x:c r="M180" s="32" t="str">
        <x:f>IF(Match_Data!Y180="","",1/Match_Data!Y180)</x:f>
      </x:c>
      <x:c r="N180" s="32" t="str">
        <x:f>IF(Match_Data!AA180="","",1/Match_Data!AA180)</x:f>
      </x:c>
      <x:c r="O180" s="32" t="str">
        <x:f>IF(OR(M180="",N180=""),"",N180-M180)</x:f>
      </x:c>
      <x:c r="P180" t="str">
        <x:f>IF(Match_Data!J180="","",IF(Match_Data!J180="OVER",1,0))</x:f>
      </x:c>
    </x:row>
    <x:row r="181">
      <x:c r="A181" t="n">
        <x:f>Match_Data!A181</x:f>
        <x:v>0</x:v>
      </x:c>
      <x:c r="B181" s="28" t="n">
        <x:f>Match_Data!B181</x:f>
        <x:v>0</x:v>
      </x:c>
      <x:c r="C181" t="n">
        <x:f>Match_Data!C181</x:f>
        <x:v>0</x:v>
      </x:c>
      <x:c r="D181" t="n">
        <x:f>Match_Data!E181</x:f>
        <x:v>0</x:v>
      </x:c>
      <x:c r="E181" t="n">
        <x:f>Match_Data!F181</x:f>
        <x:v>0</x:v>
      </x:c>
      <x:c r="F181" t="n">
        <x:f>Match_Data!AC181</x:f>
        <x:v>0</x:v>
      </x:c>
      <x:c r="G181" t="str">
        <x:f>IF(OR(Match_Data!K181="",Match_Data!L181=""),"",AVERAGE(Match_Data!K181:L181))</x:f>
      </x:c>
      <x:c r="H181" t="str">
        <x:f>IF(OR(Match_Data!M181="",Match_Data!N181=""),"",AVERAGE(Match_Data!M181:N181))</x:f>
      </x:c>
      <x:c r="I181" t="str">
        <x:f>IF(OR(Match_Data!O181="",Match_Data!Q181=""),"",Match_Data!O181+Match_Data!Q181)</x:f>
      </x:c>
      <x:c r="J181" t="str">
        <x:f>IF(OR(Match_Data!P181="",Match_Data!R181=""),"",Match_Data!P181+Match_Data!R181)</x:f>
      </x:c>
      <x:c r="K181" t="str">
        <x:f>IF(OR(Match_Data!S181="",Match_Data!T181=""),"",Match_Data!S181+Match_Data!T181)</x:f>
      </x:c>
      <x:c r="L181" t="str">
        <x:f>IF(OR(Match_Data!U181="",Match_Data!V181=""),"",Match_Data!U181-Match_Data!V181)</x:f>
      </x:c>
      <x:c r="M181" s="32" t="str">
        <x:f>IF(Match_Data!Y181="","",1/Match_Data!Y181)</x:f>
      </x:c>
      <x:c r="N181" s="32" t="str">
        <x:f>IF(Match_Data!AA181="","",1/Match_Data!AA181)</x:f>
      </x:c>
      <x:c r="O181" s="32" t="str">
        <x:f>IF(OR(M181="",N181=""),"",N181-M181)</x:f>
      </x:c>
      <x:c r="P181" t="str">
        <x:f>IF(Match_Data!J181="","",IF(Match_Data!J181="OVER",1,0))</x:f>
      </x:c>
    </x:row>
    <x:row r="182">
      <x:c r="A182" t="n">
        <x:f>Match_Data!A182</x:f>
        <x:v>0</x:v>
      </x:c>
      <x:c r="B182" s="28" t="n">
        <x:f>Match_Data!B182</x:f>
        <x:v>0</x:v>
      </x:c>
      <x:c r="C182" t="n">
        <x:f>Match_Data!C182</x:f>
        <x:v>0</x:v>
      </x:c>
      <x:c r="D182" t="n">
        <x:f>Match_Data!E182</x:f>
        <x:v>0</x:v>
      </x:c>
      <x:c r="E182" t="n">
        <x:f>Match_Data!F182</x:f>
        <x:v>0</x:v>
      </x:c>
      <x:c r="F182" t="n">
        <x:f>Match_Data!AC182</x:f>
        <x:v>0</x:v>
      </x:c>
      <x:c r="G182" t="str">
        <x:f>IF(OR(Match_Data!K182="",Match_Data!L182=""),"",AVERAGE(Match_Data!K182:L182))</x:f>
      </x:c>
      <x:c r="H182" t="str">
        <x:f>IF(OR(Match_Data!M182="",Match_Data!N182=""),"",AVERAGE(Match_Data!M182:N182))</x:f>
      </x:c>
      <x:c r="I182" t="str">
        <x:f>IF(OR(Match_Data!O182="",Match_Data!Q182=""),"",Match_Data!O182+Match_Data!Q182)</x:f>
      </x:c>
      <x:c r="J182" t="str">
        <x:f>IF(OR(Match_Data!P182="",Match_Data!R182=""),"",Match_Data!P182+Match_Data!R182)</x:f>
      </x:c>
      <x:c r="K182" t="str">
        <x:f>IF(OR(Match_Data!S182="",Match_Data!T182=""),"",Match_Data!S182+Match_Data!T182)</x:f>
      </x:c>
      <x:c r="L182" t="str">
        <x:f>IF(OR(Match_Data!U182="",Match_Data!V182=""),"",Match_Data!U182-Match_Data!V182)</x:f>
      </x:c>
      <x:c r="M182" s="32" t="str">
        <x:f>IF(Match_Data!Y182="","",1/Match_Data!Y182)</x:f>
      </x:c>
      <x:c r="N182" s="32" t="str">
        <x:f>IF(Match_Data!AA182="","",1/Match_Data!AA182)</x:f>
      </x:c>
      <x:c r="O182" s="32" t="str">
        <x:f>IF(OR(M182="",N182=""),"",N182-M182)</x:f>
      </x:c>
      <x:c r="P182" t="str">
        <x:f>IF(Match_Data!J182="","",IF(Match_Data!J182="OVER",1,0))</x:f>
      </x:c>
    </x:row>
    <x:row r="183">
      <x:c r="A183" t="n">
        <x:f>Match_Data!A183</x:f>
        <x:v>0</x:v>
      </x:c>
      <x:c r="B183" s="28" t="n">
        <x:f>Match_Data!B183</x:f>
        <x:v>0</x:v>
      </x:c>
      <x:c r="C183" t="n">
        <x:f>Match_Data!C183</x:f>
        <x:v>0</x:v>
      </x:c>
      <x:c r="D183" t="n">
        <x:f>Match_Data!E183</x:f>
        <x:v>0</x:v>
      </x:c>
      <x:c r="E183" t="n">
        <x:f>Match_Data!F183</x:f>
        <x:v>0</x:v>
      </x:c>
      <x:c r="F183" t="n">
        <x:f>Match_Data!AC183</x:f>
        <x:v>0</x:v>
      </x:c>
      <x:c r="G183" t="str">
        <x:f>IF(OR(Match_Data!K183="",Match_Data!L183=""),"",AVERAGE(Match_Data!K183:L183))</x:f>
      </x:c>
      <x:c r="H183" t="str">
        <x:f>IF(OR(Match_Data!M183="",Match_Data!N183=""),"",AVERAGE(Match_Data!M183:N183))</x:f>
      </x:c>
      <x:c r="I183" t="str">
        <x:f>IF(OR(Match_Data!O183="",Match_Data!Q183=""),"",Match_Data!O183+Match_Data!Q183)</x:f>
      </x:c>
      <x:c r="J183" t="str">
        <x:f>IF(OR(Match_Data!P183="",Match_Data!R183=""),"",Match_Data!P183+Match_Data!R183)</x:f>
      </x:c>
      <x:c r="K183" t="str">
        <x:f>IF(OR(Match_Data!S183="",Match_Data!T183=""),"",Match_Data!S183+Match_Data!T183)</x:f>
      </x:c>
      <x:c r="L183" t="str">
        <x:f>IF(OR(Match_Data!U183="",Match_Data!V183=""),"",Match_Data!U183-Match_Data!V183)</x:f>
      </x:c>
      <x:c r="M183" s="32" t="str">
        <x:f>IF(Match_Data!Y183="","",1/Match_Data!Y183)</x:f>
      </x:c>
      <x:c r="N183" s="32" t="str">
        <x:f>IF(Match_Data!AA183="","",1/Match_Data!AA183)</x:f>
      </x:c>
      <x:c r="O183" s="32" t="str">
        <x:f>IF(OR(M183="",N183=""),"",N183-M183)</x:f>
      </x:c>
      <x:c r="P183" t="str">
        <x:f>IF(Match_Data!J183="","",IF(Match_Data!J183="OVER",1,0))</x:f>
      </x:c>
    </x:row>
    <x:row r="184">
      <x:c r="A184" t="n">
        <x:f>Match_Data!A184</x:f>
        <x:v>0</x:v>
      </x:c>
      <x:c r="B184" s="28" t="n">
        <x:f>Match_Data!B184</x:f>
        <x:v>0</x:v>
      </x:c>
      <x:c r="C184" t="n">
        <x:f>Match_Data!C184</x:f>
        <x:v>0</x:v>
      </x:c>
      <x:c r="D184" t="n">
        <x:f>Match_Data!E184</x:f>
        <x:v>0</x:v>
      </x:c>
      <x:c r="E184" t="n">
        <x:f>Match_Data!F184</x:f>
        <x:v>0</x:v>
      </x:c>
      <x:c r="F184" t="n">
        <x:f>Match_Data!AC184</x:f>
        <x:v>0</x:v>
      </x:c>
      <x:c r="G184" t="str">
        <x:f>IF(OR(Match_Data!K184="",Match_Data!L184=""),"",AVERAGE(Match_Data!K184:L184))</x:f>
      </x:c>
      <x:c r="H184" t="str">
        <x:f>IF(OR(Match_Data!M184="",Match_Data!N184=""),"",AVERAGE(Match_Data!M184:N184))</x:f>
      </x:c>
      <x:c r="I184" t="str">
        <x:f>IF(OR(Match_Data!O184="",Match_Data!Q184=""),"",Match_Data!O184+Match_Data!Q184)</x:f>
      </x:c>
      <x:c r="J184" t="str">
        <x:f>IF(OR(Match_Data!P184="",Match_Data!R184=""),"",Match_Data!P184+Match_Data!R184)</x:f>
      </x:c>
      <x:c r="K184" t="str">
        <x:f>IF(OR(Match_Data!S184="",Match_Data!T184=""),"",Match_Data!S184+Match_Data!T184)</x:f>
      </x:c>
      <x:c r="L184" t="str">
        <x:f>IF(OR(Match_Data!U184="",Match_Data!V184=""),"",Match_Data!U184-Match_Data!V184)</x:f>
      </x:c>
      <x:c r="M184" s="32" t="str">
        <x:f>IF(Match_Data!Y184="","",1/Match_Data!Y184)</x:f>
      </x:c>
      <x:c r="N184" s="32" t="str">
        <x:f>IF(Match_Data!AA184="","",1/Match_Data!AA184)</x:f>
      </x:c>
      <x:c r="O184" s="32" t="str">
        <x:f>IF(OR(M184="",N184=""),"",N184-M184)</x:f>
      </x:c>
      <x:c r="P184" t="str">
        <x:f>IF(Match_Data!J184="","",IF(Match_Data!J184="OVER",1,0))</x:f>
      </x:c>
    </x:row>
    <x:row r="185">
      <x:c r="A185" t="n">
        <x:f>Match_Data!A185</x:f>
        <x:v>0</x:v>
      </x:c>
      <x:c r="B185" s="28" t="n">
        <x:f>Match_Data!B185</x:f>
        <x:v>0</x:v>
      </x:c>
      <x:c r="C185" t="n">
        <x:f>Match_Data!C185</x:f>
        <x:v>0</x:v>
      </x:c>
      <x:c r="D185" t="n">
        <x:f>Match_Data!E185</x:f>
        <x:v>0</x:v>
      </x:c>
      <x:c r="E185" t="n">
        <x:f>Match_Data!F185</x:f>
        <x:v>0</x:v>
      </x:c>
      <x:c r="F185" t="n">
        <x:f>Match_Data!AC185</x:f>
        <x:v>0</x:v>
      </x:c>
      <x:c r="G185" t="str">
        <x:f>IF(OR(Match_Data!K185="",Match_Data!L185=""),"",AVERAGE(Match_Data!K185:L185))</x:f>
      </x:c>
      <x:c r="H185" t="str">
        <x:f>IF(OR(Match_Data!M185="",Match_Data!N185=""),"",AVERAGE(Match_Data!M185:N185))</x:f>
      </x:c>
      <x:c r="I185" t="str">
        <x:f>IF(OR(Match_Data!O185="",Match_Data!Q185=""),"",Match_Data!O185+Match_Data!Q185)</x:f>
      </x:c>
      <x:c r="J185" t="str">
        <x:f>IF(OR(Match_Data!P185="",Match_Data!R185=""),"",Match_Data!P185+Match_Data!R185)</x:f>
      </x:c>
      <x:c r="K185" t="str">
        <x:f>IF(OR(Match_Data!S185="",Match_Data!T185=""),"",Match_Data!S185+Match_Data!T185)</x:f>
      </x:c>
      <x:c r="L185" t="str">
        <x:f>IF(OR(Match_Data!U185="",Match_Data!V185=""),"",Match_Data!U185-Match_Data!V185)</x:f>
      </x:c>
      <x:c r="M185" s="32" t="str">
        <x:f>IF(Match_Data!Y185="","",1/Match_Data!Y185)</x:f>
      </x:c>
      <x:c r="N185" s="32" t="str">
        <x:f>IF(Match_Data!AA185="","",1/Match_Data!AA185)</x:f>
      </x:c>
      <x:c r="O185" s="32" t="str">
        <x:f>IF(OR(M185="",N185=""),"",N185-M185)</x:f>
      </x:c>
      <x:c r="P185" t="str">
        <x:f>IF(Match_Data!J185="","",IF(Match_Data!J185="OVER",1,0))</x:f>
      </x:c>
    </x:row>
    <x:row r="186">
      <x:c r="A186" t="n">
        <x:f>Match_Data!A186</x:f>
        <x:v>0</x:v>
      </x:c>
      <x:c r="B186" s="28" t="n">
        <x:f>Match_Data!B186</x:f>
        <x:v>0</x:v>
      </x:c>
      <x:c r="C186" t="n">
        <x:f>Match_Data!C186</x:f>
        <x:v>0</x:v>
      </x:c>
      <x:c r="D186" t="n">
        <x:f>Match_Data!E186</x:f>
        <x:v>0</x:v>
      </x:c>
      <x:c r="E186" t="n">
        <x:f>Match_Data!F186</x:f>
        <x:v>0</x:v>
      </x:c>
      <x:c r="F186" t="n">
        <x:f>Match_Data!AC186</x:f>
        <x:v>0</x:v>
      </x:c>
      <x:c r="G186" t="str">
        <x:f>IF(OR(Match_Data!K186="",Match_Data!L186=""),"",AVERAGE(Match_Data!K186:L186))</x:f>
      </x:c>
      <x:c r="H186" t="str">
        <x:f>IF(OR(Match_Data!M186="",Match_Data!N186=""),"",AVERAGE(Match_Data!M186:N186))</x:f>
      </x:c>
      <x:c r="I186" t="str">
        <x:f>IF(OR(Match_Data!O186="",Match_Data!Q186=""),"",Match_Data!O186+Match_Data!Q186)</x:f>
      </x:c>
      <x:c r="J186" t="str">
        <x:f>IF(OR(Match_Data!P186="",Match_Data!R186=""),"",Match_Data!P186+Match_Data!R186)</x:f>
      </x:c>
      <x:c r="K186" t="str">
        <x:f>IF(OR(Match_Data!S186="",Match_Data!T186=""),"",Match_Data!S186+Match_Data!T186)</x:f>
      </x:c>
      <x:c r="L186" t="str">
        <x:f>IF(OR(Match_Data!U186="",Match_Data!V186=""),"",Match_Data!U186-Match_Data!V186)</x:f>
      </x:c>
      <x:c r="M186" s="32" t="str">
        <x:f>IF(Match_Data!Y186="","",1/Match_Data!Y186)</x:f>
      </x:c>
      <x:c r="N186" s="32" t="str">
        <x:f>IF(Match_Data!AA186="","",1/Match_Data!AA186)</x:f>
      </x:c>
      <x:c r="O186" s="32" t="str">
        <x:f>IF(OR(M186="",N186=""),"",N186-M186)</x:f>
      </x:c>
      <x:c r="P186" t="str">
        <x:f>IF(Match_Data!J186="","",IF(Match_Data!J186="OVER",1,0))</x:f>
      </x:c>
    </x:row>
    <x:row r="187">
      <x:c r="A187" t="n">
        <x:f>Match_Data!A187</x:f>
        <x:v>0</x:v>
      </x:c>
      <x:c r="B187" s="28" t="n">
        <x:f>Match_Data!B187</x:f>
        <x:v>0</x:v>
      </x:c>
      <x:c r="C187" t="n">
        <x:f>Match_Data!C187</x:f>
        <x:v>0</x:v>
      </x:c>
      <x:c r="D187" t="n">
        <x:f>Match_Data!E187</x:f>
        <x:v>0</x:v>
      </x:c>
      <x:c r="E187" t="n">
        <x:f>Match_Data!F187</x:f>
        <x:v>0</x:v>
      </x:c>
      <x:c r="F187" t="n">
        <x:f>Match_Data!AC187</x:f>
        <x:v>0</x:v>
      </x:c>
      <x:c r="G187" t="str">
        <x:f>IF(OR(Match_Data!K187="",Match_Data!L187=""),"",AVERAGE(Match_Data!K187:L187))</x:f>
      </x:c>
      <x:c r="H187" t="str">
        <x:f>IF(OR(Match_Data!M187="",Match_Data!N187=""),"",AVERAGE(Match_Data!M187:N187))</x:f>
      </x:c>
      <x:c r="I187" t="str">
        <x:f>IF(OR(Match_Data!O187="",Match_Data!Q187=""),"",Match_Data!O187+Match_Data!Q187)</x:f>
      </x:c>
      <x:c r="J187" t="str">
        <x:f>IF(OR(Match_Data!P187="",Match_Data!R187=""),"",Match_Data!P187+Match_Data!R187)</x:f>
      </x:c>
      <x:c r="K187" t="str">
        <x:f>IF(OR(Match_Data!S187="",Match_Data!T187=""),"",Match_Data!S187+Match_Data!T187)</x:f>
      </x:c>
      <x:c r="L187" t="str">
        <x:f>IF(OR(Match_Data!U187="",Match_Data!V187=""),"",Match_Data!U187-Match_Data!V187)</x:f>
      </x:c>
      <x:c r="M187" s="32" t="str">
        <x:f>IF(Match_Data!Y187="","",1/Match_Data!Y187)</x:f>
      </x:c>
      <x:c r="N187" s="32" t="str">
        <x:f>IF(Match_Data!AA187="","",1/Match_Data!AA187)</x:f>
      </x:c>
      <x:c r="O187" s="32" t="str">
        <x:f>IF(OR(M187="",N187=""),"",N187-M187)</x:f>
      </x:c>
      <x:c r="P187" t="str">
        <x:f>IF(Match_Data!J187="","",IF(Match_Data!J187="OVER",1,0))</x:f>
      </x:c>
    </x:row>
    <x:row r="188">
      <x:c r="A188" t="n">
        <x:f>Match_Data!A188</x:f>
        <x:v>0</x:v>
      </x:c>
      <x:c r="B188" s="28" t="n">
        <x:f>Match_Data!B188</x:f>
        <x:v>0</x:v>
      </x:c>
      <x:c r="C188" t="n">
        <x:f>Match_Data!C188</x:f>
        <x:v>0</x:v>
      </x:c>
      <x:c r="D188" t="n">
        <x:f>Match_Data!E188</x:f>
        <x:v>0</x:v>
      </x:c>
      <x:c r="E188" t="n">
        <x:f>Match_Data!F188</x:f>
        <x:v>0</x:v>
      </x:c>
      <x:c r="F188" t="n">
        <x:f>Match_Data!AC188</x:f>
        <x:v>0</x:v>
      </x:c>
      <x:c r="G188" t="str">
        <x:f>IF(OR(Match_Data!K188="",Match_Data!L188=""),"",AVERAGE(Match_Data!K188:L188))</x:f>
      </x:c>
      <x:c r="H188" t="str">
        <x:f>IF(OR(Match_Data!M188="",Match_Data!N188=""),"",AVERAGE(Match_Data!M188:N188))</x:f>
      </x:c>
      <x:c r="I188" t="str">
        <x:f>IF(OR(Match_Data!O188="",Match_Data!Q188=""),"",Match_Data!O188+Match_Data!Q188)</x:f>
      </x:c>
      <x:c r="J188" t="str">
        <x:f>IF(OR(Match_Data!P188="",Match_Data!R188=""),"",Match_Data!P188+Match_Data!R188)</x:f>
      </x:c>
      <x:c r="K188" t="str">
        <x:f>IF(OR(Match_Data!S188="",Match_Data!T188=""),"",Match_Data!S188+Match_Data!T188)</x:f>
      </x:c>
      <x:c r="L188" t="str">
        <x:f>IF(OR(Match_Data!U188="",Match_Data!V188=""),"",Match_Data!U188-Match_Data!V188)</x:f>
      </x:c>
      <x:c r="M188" s="32" t="str">
        <x:f>IF(Match_Data!Y188="","",1/Match_Data!Y188)</x:f>
      </x:c>
      <x:c r="N188" s="32" t="str">
        <x:f>IF(Match_Data!AA188="","",1/Match_Data!AA188)</x:f>
      </x:c>
      <x:c r="O188" s="32" t="str">
        <x:f>IF(OR(M188="",N188=""),"",N188-M188)</x:f>
      </x:c>
      <x:c r="P188" t="str">
        <x:f>IF(Match_Data!J188="","",IF(Match_Data!J188="OVER",1,0))</x:f>
      </x:c>
    </x:row>
    <x:row r="189">
      <x:c r="A189" t="n">
        <x:f>Match_Data!A189</x:f>
        <x:v>0</x:v>
      </x:c>
      <x:c r="B189" s="28" t="n">
        <x:f>Match_Data!B189</x:f>
        <x:v>0</x:v>
      </x:c>
      <x:c r="C189" t="n">
        <x:f>Match_Data!C189</x:f>
        <x:v>0</x:v>
      </x:c>
      <x:c r="D189" t="n">
        <x:f>Match_Data!E189</x:f>
        <x:v>0</x:v>
      </x:c>
      <x:c r="E189" t="n">
        <x:f>Match_Data!F189</x:f>
        <x:v>0</x:v>
      </x:c>
      <x:c r="F189" t="n">
        <x:f>Match_Data!AC189</x:f>
        <x:v>0</x:v>
      </x:c>
      <x:c r="G189" t="str">
        <x:f>IF(OR(Match_Data!K189="",Match_Data!L189=""),"",AVERAGE(Match_Data!K189:L189))</x:f>
      </x:c>
      <x:c r="H189" t="str">
        <x:f>IF(OR(Match_Data!M189="",Match_Data!N189=""),"",AVERAGE(Match_Data!M189:N189))</x:f>
      </x:c>
      <x:c r="I189" t="str">
        <x:f>IF(OR(Match_Data!O189="",Match_Data!Q189=""),"",Match_Data!O189+Match_Data!Q189)</x:f>
      </x:c>
      <x:c r="J189" t="str">
        <x:f>IF(OR(Match_Data!P189="",Match_Data!R189=""),"",Match_Data!P189+Match_Data!R189)</x:f>
      </x:c>
      <x:c r="K189" t="str">
        <x:f>IF(OR(Match_Data!S189="",Match_Data!T189=""),"",Match_Data!S189+Match_Data!T189)</x:f>
      </x:c>
      <x:c r="L189" t="str">
        <x:f>IF(OR(Match_Data!U189="",Match_Data!V189=""),"",Match_Data!U189-Match_Data!V189)</x:f>
      </x:c>
      <x:c r="M189" s="32" t="str">
        <x:f>IF(Match_Data!Y189="","",1/Match_Data!Y189)</x:f>
      </x:c>
      <x:c r="N189" s="32" t="str">
        <x:f>IF(Match_Data!AA189="","",1/Match_Data!AA189)</x:f>
      </x:c>
      <x:c r="O189" s="32" t="str">
        <x:f>IF(OR(M189="",N189=""),"",N189-M189)</x:f>
      </x:c>
      <x:c r="P189" t="str">
        <x:f>IF(Match_Data!J189="","",IF(Match_Data!J189="OVER",1,0))</x:f>
      </x:c>
    </x:row>
    <x:row r="190">
      <x:c r="A190" t="n">
        <x:f>Match_Data!A190</x:f>
        <x:v>0</x:v>
      </x:c>
      <x:c r="B190" s="28" t="n">
        <x:f>Match_Data!B190</x:f>
        <x:v>0</x:v>
      </x:c>
      <x:c r="C190" t="n">
        <x:f>Match_Data!C190</x:f>
        <x:v>0</x:v>
      </x:c>
      <x:c r="D190" t="n">
        <x:f>Match_Data!E190</x:f>
        <x:v>0</x:v>
      </x:c>
      <x:c r="E190" t="n">
        <x:f>Match_Data!F190</x:f>
        <x:v>0</x:v>
      </x:c>
      <x:c r="F190" t="n">
        <x:f>Match_Data!AC190</x:f>
        <x:v>0</x:v>
      </x:c>
      <x:c r="G190" t="str">
        <x:f>IF(OR(Match_Data!K190="",Match_Data!L190=""),"",AVERAGE(Match_Data!K190:L190))</x:f>
      </x:c>
      <x:c r="H190" t="str">
        <x:f>IF(OR(Match_Data!M190="",Match_Data!N190=""),"",AVERAGE(Match_Data!M190:N190))</x:f>
      </x:c>
      <x:c r="I190" t="str">
        <x:f>IF(OR(Match_Data!O190="",Match_Data!Q190=""),"",Match_Data!O190+Match_Data!Q190)</x:f>
      </x:c>
      <x:c r="J190" t="str">
        <x:f>IF(OR(Match_Data!P190="",Match_Data!R190=""),"",Match_Data!P190+Match_Data!R190)</x:f>
      </x:c>
      <x:c r="K190" t="str">
        <x:f>IF(OR(Match_Data!S190="",Match_Data!T190=""),"",Match_Data!S190+Match_Data!T190)</x:f>
      </x:c>
      <x:c r="L190" t="str">
        <x:f>IF(OR(Match_Data!U190="",Match_Data!V190=""),"",Match_Data!U190-Match_Data!V190)</x:f>
      </x:c>
      <x:c r="M190" s="32" t="str">
        <x:f>IF(Match_Data!Y190="","",1/Match_Data!Y190)</x:f>
      </x:c>
      <x:c r="N190" s="32" t="str">
        <x:f>IF(Match_Data!AA190="","",1/Match_Data!AA190)</x:f>
      </x:c>
      <x:c r="O190" s="32" t="str">
        <x:f>IF(OR(M190="",N190=""),"",N190-M190)</x:f>
      </x:c>
      <x:c r="P190" t="str">
        <x:f>IF(Match_Data!J190="","",IF(Match_Data!J190="OVER",1,0))</x:f>
      </x:c>
    </x:row>
    <x:row r="191">
      <x:c r="A191" t="n">
        <x:f>Match_Data!A191</x:f>
        <x:v>0</x:v>
      </x:c>
      <x:c r="B191" s="28" t="n">
        <x:f>Match_Data!B191</x:f>
        <x:v>0</x:v>
      </x:c>
      <x:c r="C191" t="n">
        <x:f>Match_Data!C191</x:f>
        <x:v>0</x:v>
      </x:c>
      <x:c r="D191" t="n">
        <x:f>Match_Data!E191</x:f>
        <x:v>0</x:v>
      </x:c>
      <x:c r="E191" t="n">
        <x:f>Match_Data!F191</x:f>
        <x:v>0</x:v>
      </x:c>
      <x:c r="F191" t="n">
        <x:f>Match_Data!AC191</x:f>
        <x:v>0</x:v>
      </x:c>
      <x:c r="G191" t="str">
        <x:f>IF(OR(Match_Data!K191="",Match_Data!L191=""),"",AVERAGE(Match_Data!K191:L191))</x:f>
      </x:c>
      <x:c r="H191" t="str">
        <x:f>IF(OR(Match_Data!M191="",Match_Data!N191=""),"",AVERAGE(Match_Data!M191:N191))</x:f>
      </x:c>
      <x:c r="I191" t="str">
        <x:f>IF(OR(Match_Data!O191="",Match_Data!Q191=""),"",Match_Data!O191+Match_Data!Q191)</x:f>
      </x:c>
      <x:c r="J191" t="str">
        <x:f>IF(OR(Match_Data!P191="",Match_Data!R191=""),"",Match_Data!P191+Match_Data!R191)</x:f>
      </x:c>
      <x:c r="K191" t="str">
        <x:f>IF(OR(Match_Data!S191="",Match_Data!T191=""),"",Match_Data!S191+Match_Data!T191)</x:f>
      </x:c>
      <x:c r="L191" t="str">
        <x:f>IF(OR(Match_Data!U191="",Match_Data!V191=""),"",Match_Data!U191-Match_Data!V191)</x:f>
      </x:c>
      <x:c r="M191" s="32" t="str">
        <x:f>IF(Match_Data!Y191="","",1/Match_Data!Y191)</x:f>
      </x:c>
      <x:c r="N191" s="32" t="str">
        <x:f>IF(Match_Data!AA191="","",1/Match_Data!AA191)</x:f>
      </x:c>
      <x:c r="O191" s="32" t="str">
        <x:f>IF(OR(M191="",N191=""),"",N191-M191)</x:f>
      </x:c>
      <x:c r="P191" t="str">
        <x:f>IF(Match_Data!J191="","",IF(Match_Data!J191="OVER",1,0))</x:f>
      </x:c>
    </x:row>
    <x:row r="192">
      <x:c r="A192" t="n">
        <x:f>Match_Data!A192</x:f>
        <x:v>0</x:v>
      </x:c>
      <x:c r="B192" s="28" t="n">
        <x:f>Match_Data!B192</x:f>
        <x:v>0</x:v>
      </x:c>
      <x:c r="C192" t="n">
        <x:f>Match_Data!C192</x:f>
        <x:v>0</x:v>
      </x:c>
      <x:c r="D192" t="n">
        <x:f>Match_Data!E192</x:f>
        <x:v>0</x:v>
      </x:c>
      <x:c r="E192" t="n">
        <x:f>Match_Data!F192</x:f>
        <x:v>0</x:v>
      </x:c>
      <x:c r="F192" t="n">
        <x:f>Match_Data!AC192</x:f>
        <x:v>0</x:v>
      </x:c>
      <x:c r="G192" t="str">
        <x:f>IF(OR(Match_Data!K192="",Match_Data!L192=""),"",AVERAGE(Match_Data!K192:L192))</x:f>
      </x:c>
      <x:c r="H192" t="str">
        <x:f>IF(OR(Match_Data!M192="",Match_Data!N192=""),"",AVERAGE(Match_Data!M192:N192))</x:f>
      </x:c>
      <x:c r="I192" t="str">
        <x:f>IF(OR(Match_Data!O192="",Match_Data!Q192=""),"",Match_Data!O192+Match_Data!Q192)</x:f>
      </x:c>
      <x:c r="J192" t="str">
        <x:f>IF(OR(Match_Data!P192="",Match_Data!R192=""),"",Match_Data!P192+Match_Data!R192)</x:f>
      </x:c>
      <x:c r="K192" t="str">
        <x:f>IF(OR(Match_Data!S192="",Match_Data!T192=""),"",Match_Data!S192+Match_Data!T192)</x:f>
      </x:c>
      <x:c r="L192" t="str">
        <x:f>IF(OR(Match_Data!U192="",Match_Data!V192=""),"",Match_Data!U192-Match_Data!V192)</x:f>
      </x:c>
      <x:c r="M192" s="32" t="str">
        <x:f>IF(Match_Data!Y192="","",1/Match_Data!Y192)</x:f>
      </x:c>
      <x:c r="N192" s="32" t="str">
        <x:f>IF(Match_Data!AA192="","",1/Match_Data!AA192)</x:f>
      </x:c>
      <x:c r="O192" s="32" t="str">
        <x:f>IF(OR(M192="",N192=""),"",N192-M192)</x:f>
      </x:c>
      <x:c r="P192" t="str">
        <x:f>IF(Match_Data!J192="","",IF(Match_Data!J192="OVER",1,0))</x:f>
      </x:c>
    </x:row>
    <x:row r="193">
      <x:c r="A193" t="n">
        <x:f>Match_Data!A193</x:f>
        <x:v>0</x:v>
      </x:c>
      <x:c r="B193" s="28" t="n">
        <x:f>Match_Data!B193</x:f>
        <x:v>0</x:v>
      </x:c>
      <x:c r="C193" t="n">
        <x:f>Match_Data!C193</x:f>
        <x:v>0</x:v>
      </x:c>
      <x:c r="D193" t="n">
        <x:f>Match_Data!E193</x:f>
        <x:v>0</x:v>
      </x:c>
      <x:c r="E193" t="n">
        <x:f>Match_Data!F193</x:f>
        <x:v>0</x:v>
      </x:c>
      <x:c r="F193" t="n">
        <x:f>Match_Data!AC193</x:f>
        <x:v>0</x:v>
      </x:c>
      <x:c r="G193" t="str">
        <x:f>IF(OR(Match_Data!K193="",Match_Data!L193=""),"",AVERAGE(Match_Data!K193:L193))</x:f>
      </x:c>
      <x:c r="H193" t="str">
        <x:f>IF(OR(Match_Data!M193="",Match_Data!N193=""),"",AVERAGE(Match_Data!M193:N193))</x:f>
      </x:c>
      <x:c r="I193" t="str">
        <x:f>IF(OR(Match_Data!O193="",Match_Data!Q193=""),"",Match_Data!O193+Match_Data!Q193)</x:f>
      </x:c>
      <x:c r="J193" t="str">
        <x:f>IF(OR(Match_Data!P193="",Match_Data!R193=""),"",Match_Data!P193+Match_Data!R193)</x:f>
      </x:c>
      <x:c r="K193" t="str">
        <x:f>IF(OR(Match_Data!S193="",Match_Data!T193=""),"",Match_Data!S193+Match_Data!T193)</x:f>
      </x:c>
      <x:c r="L193" t="str">
        <x:f>IF(OR(Match_Data!U193="",Match_Data!V193=""),"",Match_Data!U193-Match_Data!V193)</x:f>
      </x:c>
      <x:c r="M193" s="32" t="str">
        <x:f>IF(Match_Data!Y193="","",1/Match_Data!Y193)</x:f>
      </x:c>
      <x:c r="N193" s="32" t="str">
        <x:f>IF(Match_Data!AA193="","",1/Match_Data!AA193)</x:f>
      </x:c>
      <x:c r="O193" s="32" t="str">
        <x:f>IF(OR(M193="",N193=""),"",N193-M193)</x:f>
      </x:c>
      <x:c r="P193" t="str">
        <x:f>IF(Match_Data!J193="","",IF(Match_Data!J193="OVER",1,0))</x:f>
      </x:c>
    </x:row>
    <x:row r="194">
      <x:c r="A194" t="n">
        <x:f>Match_Data!A194</x:f>
        <x:v>0</x:v>
      </x:c>
      <x:c r="B194" s="28" t="n">
        <x:f>Match_Data!B194</x:f>
        <x:v>0</x:v>
      </x:c>
      <x:c r="C194" t="n">
        <x:f>Match_Data!C194</x:f>
        <x:v>0</x:v>
      </x:c>
      <x:c r="D194" t="n">
        <x:f>Match_Data!E194</x:f>
        <x:v>0</x:v>
      </x:c>
      <x:c r="E194" t="n">
        <x:f>Match_Data!F194</x:f>
        <x:v>0</x:v>
      </x:c>
      <x:c r="F194" t="n">
        <x:f>Match_Data!AC194</x:f>
        <x:v>0</x:v>
      </x:c>
      <x:c r="G194" t="str">
        <x:f>IF(OR(Match_Data!K194="",Match_Data!L194=""),"",AVERAGE(Match_Data!K194:L194))</x:f>
      </x:c>
      <x:c r="H194" t="str">
        <x:f>IF(OR(Match_Data!M194="",Match_Data!N194=""),"",AVERAGE(Match_Data!M194:N194))</x:f>
      </x:c>
      <x:c r="I194" t="str">
        <x:f>IF(OR(Match_Data!O194="",Match_Data!Q194=""),"",Match_Data!O194+Match_Data!Q194)</x:f>
      </x:c>
      <x:c r="J194" t="str">
        <x:f>IF(OR(Match_Data!P194="",Match_Data!R194=""),"",Match_Data!P194+Match_Data!R194)</x:f>
      </x:c>
      <x:c r="K194" t="str">
        <x:f>IF(OR(Match_Data!S194="",Match_Data!T194=""),"",Match_Data!S194+Match_Data!T194)</x:f>
      </x:c>
      <x:c r="L194" t="str">
        <x:f>IF(OR(Match_Data!U194="",Match_Data!V194=""),"",Match_Data!U194-Match_Data!V194)</x:f>
      </x:c>
      <x:c r="M194" s="32" t="str">
        <x:f>IF(Match_Data!Y194="","",1/Match_Data!Y194)</x:f>
      </x:c>
      <x:c r="N194" s="32" t="str">
        <x:f>IF(Match_Data!AA194="","",1/Match_Data!AA194)</x:f>
      </x:c>
      <x:c r="O194" s="32" t="str">
        <x:f>IF(OR(M194="",N194=""),"",N194-M194)</x:f>
      </x:c>
      <x:c r="P194" t="str">
        <x:f>IF(Match_Data!J194="","",IF(Match_Data!J194="OVER",1,0))</x:f>
      </x:c>
    </x:row>
    <x:row r="195">
      <x:c r="A195" t="n">
        <x:f>Match_Data!A195</x:f>
        <x:v>0</x:v>
      </x:c>
      <x:c r="B195" s="28" t="n">
        <x:f>Match_Data!B195</x:f>
        <x:v>0</x:v>
      </x:c>
      <x:c r="C195" t="n">
        <x:f>Match_Data!C195</x:f>
        <x:v>0</x:v>
      </x:c>
      <x:c r="D195" t="n">
        <x:f>Match_Data!E195</x:f>
        <x:v>0</x:v>
      </x:c>
      <x:c r="E195" t="n">
        <x:f>Match_Data!F195</x:f>
        <x:v>0</x:v>
      </x:c>
      <x:c r="F195" t="n">
        <x:f>Match_Data!AC195</x:f>
        <x:v>0</x:v>
      </x:c>
      <x:c r="G195" t="str">
        <x:f>IF(OR(Match_Data!K195="",Match_Data!L195=""),"",AVERAGE(Match_Data!K195:L195))</x:f>
      </x:c>
      <x:c r="H195" t="str">
        <x:f>IF(OR(Match_Data!M195="",Match_Data!N195=""),"",AVERAGE(Match_Data!M195:N195))</x:f>
      </x:c>
      <x:c r="I195" t="str">
        <x:f>IF(OR(Match_Data!O195="",Match_Data!Q195=""),"",Match_Data!O195+Match_Data!Q195)</x:f>
      </x:c>
      <x:c r="J195" t="str">
        <x:f>IF(OR(Match_Data!P195="",Match_Data!R195=""),"",Match_Data!P195+Match_Data!R195)</x:f>
      </x:c>
      <x:c r="K195" t="str">
        <x:f>IF(OR(Match_Data!S195="",Match_Data!T195=""),"",Match_Data!S195+Match_Data!T195)</x:f>
      </x:c>
      <x:c r="L195" t="str">
        <x:f>IF(OR(Match_Data!U195="",Match_Data!V195=""),"",Match_Data!U195-Match_Data!V195)</x:f>
      </x:c>
      <x:c r="M195" s="32" t="str">
        <x:f>IF(Match_Data!Y195="","",1/Match_Data!Y195)</x:f>
      </x:c>
      <x:c r="N195" s="32" t="str">
        <x:f>IF(Match_Data!AA195="","",1/Match_Data!AA195)</x:f>
      </x:c>
      <x:c r="O195" s="32" t="str">
        <x:f>IF(OR(M195="",N195=""),"",N195-M195)</x:f>
      </x:c>
      <x:c r="P195" t="str">
        <x:f>IF(Match_Data!J195="","",IF(Match_Data!J195="OVER",1,0))</x:f>
      </x:c>
    </x:row>
    <x:row r="196">
      <x:c r="A196" t="n">
        <x:f>Match_Data!A196</x:f>
        <x:v>0</x:v>
      </x:c>
      <x:c r="B196" s="28" t="n">
        <x:f>Match_Data!B196</x:f>
        <x:v>0</x:v>
      </x:c>
      <x:c r="C196" t="n">
        <x:f>Match_Data!C196</x:f>
        <x:v>0</x:v>
      </x:c>
      <x:c r="D196" t="n">
        <x:f>Match_Data!E196</x:f>
        <x:v>0</x:v>
      </x:c>
      <x:c r="E196" t="n">
        <x:f>Match_Data!F196</x:f>
        <x:v>0</x:v>
      </x:c>
      <x:c r="F196" t="n">
        <x:f>Match_Data!AC196</x:f>
        <x:v>0</x:v>
      </x:c>
      <x:c r="G196" t="str">
        <x:f>IF(OR(Match_Data!K196="",Match_Data!L196=""),"",AVERAGE(Match_Data!K196:L196))</x:f>
      </x:c>
      <x:c r="H196" t="str">
        <x:f>IF(OR(Match_Data!M196="",Match_Data!N196=""),"",AVERAGE(Match_Data!M196:N196))</x:f>
      </x:c>
      <x:c r="I196" t="str">
        <x:f>IF(OR(Match_Data!O196="",Match_Data!Q196=""),"",Match_Data!O196+Match_Data!Q196)</x:f>
      </x:c>
      <x:c r="J196" t="str">
        <x:f>IF(OR(Match_Data!P196="",Match_Data!R196=""),"",Match_Data!P196+Match_Data!R196)</x:f>
      </x:c>
      <x:c r="K196" t="str">
        <x:f>IF(OR(Match_Data!S196="",Match_Data!T196=""),"",Match_Data!S196+Match_Data!T196)</x:f>
      </x:c>
      <x:c r="L196" t="str">
        <x:f>IF(OR(Match_Data!U196="",Match_Data!V196=""),"",Match_Data!U196-Match_Data!V196)</x:f>
      </x:c>
      <x:c r="M196" s="32" t="str">
        <x:f>IF(Match_Data!Y196="","",1/Match_Data!Y196)</x:f>
      </x:c>
      <x:c r="N196" s="32" t="str">
        <x:f>IF(Match_Data!AA196="","",1/Match_Data!AA196)</x:f>
      </x:c>
      <x:c r="O196" s="32" t="str">
        <x:f>IF(OR(M196="",N196=""),"",N196-M196)</x:f>
      </x:c>
      <x:c r="P196" t="str">
        <x:f>IF(Match_Data!J196="","",IF(Match_Data!J196="OVER",1,0))</x:f>
      </x:c>
    </x:row>
    <x:row r="197">
      <x:c r="A197" t="n">
        <x:f>Match_Data!A197</x:f>
        <x:v>0</x:v>
      </x:c>
      <x:c r="B197" s="28" t="n">
        <x:f>Match_Data!B197</x:f>
        <x:v>0</x:v>
      </x:c>
      <x:c r="C197" t="n">
        <x:f>Match_Data!C197</x:f>
        <x:v>0</x:v>
      </x:c>
      <x:c r="D197" t="n">
        <x:f>Match_Data!E197</x:f>
        <x:v>0</x:v>
      </x:c>
      <x:c r="E197" t="n">
        <x:f>Match_Data!F197</x:f>
        <x:v>0</x:v>
      </x:c>
      <x:c r="F197" t="n">
        <x:f>Match_Data!AC197</x:f>
        <x:v>0</x:v>
      </x:c>
      <x:c r="G197" t="str">
        <x:f>IF(OR(Match_Data!K197="",Match_Data!L197=""),"",AVERAGE(Match_Data!K197:L197))</x:f>
      </x:c>
      <x:c r="H197" t="str">
        <x:f>IF(OR(Match_Data!M197="",Match_Data!N197=""),"",AVERAGE(Match_Data!M197:N197))</x:f>
      </x:c>
      <x:c r="I197" t="str">
        <x:f>IF(OR(Match_Data!O197="",Match_Data!Q197=""),"",Match_Data!O197+Match_Data!Q197)</x:f>
      </x:c>
      <x:c r="J197" t="str">
        <x:f>IF(OR(Match_Data!P197="",Match_Data!R197=""),"",Match_Data!P197+Match_Data!R197)</x:f>
      </x:c>
      <x:c r="K197" t="str">
        <x:f>IF(OR(Match_Data!S197="",Match_Data!T197=""),"",Match_Data!S197+Match_Data!T197)</x:f>
      </x:c>
      <x:c r="L197" t="str">
        <x:f>IF(OR(Match_Data!U197="",Match_Data!V197=""),"",Match_Data!U197-Match_Data!V197)</x:f>
      </x:c>
      <x:c r="M197" s="32" t="str">
        <x:f>IF(Match_Data!Y197="","",1/Match_Data!Y197)</x:f>
      </x:c>
      <x:c r="N197" s="32" t="str">
        <x:f>IF(Match_Data!AA197="","",1/Match_Data!AA197)</x:f>
      </x:c>
      <x:c r="O197" s="32" t="str">
        <x:f>IF(OR(M197="",N197=""),"",N197-M197)</x:f>
      </x:c>
      <x:c r="P197" t="str">
        <x:f>IF(Match_Data!J197="","",IF(Match_Data!J197="OVER",1,0))</x:f>
      </x:c>
    </x:row>
    <x:row r="198">
      <x:c r="A198" t="n">
        <x:f>Match_Data!A198</x:f>
        <x:v>0</x:v>
      </x:c>
      <x:c r="B198" s="28" t="n">
        <x:f>Match_Data!B198</x:f>
        <x:v>0</x:v>
      </x:c>
      <x:c r="C198" t="n">
        <x:f>Match_Data!C198</x:f>
        <x:v>0</x:v>
      </x:c>
      <x:c r="D198" t="n">
        <x:f>Match_Data!E198</x:f>
        <x:v>0</x:v>
      </x:c>
      <x:c r="E198" t="n">
        <x:f>Match_Data!F198</x:f>
        <x:v>0</x:v>
      </x:c>
      <x:c r="F198" t="n">
        <x:f>Match_Data!AC198</x:f>
        <x:v>0</x:v>
      </x:c>
      <x:c r="G198" t="str">
        <x:f>IF(OR(Match_Data!K198="",Match_Data!L198=""),"",AVERAGE(Match_Data!K198:L198))</x:f>
      </x:c>
      <x:c r="H198" t="str">
        <x:f>IF(OR(Match_Data!M198="",Match_Data!N198=""),"",AVERAGE(Match_Data!M198:N198))</x:f>
      </x:c>
      <x:c r="I198" t="str">
        <x:f>IF(OR(Match_Data!O198="",Match_Data!Q198=""),"",Match_Data!O198+Match_Data!Q198)</x:f>
      </x:c>
      <x:c r="J198" t="str">
        <x:f>IF(OR(Match_Data!P198="",Match_Data!R198=""),"",Match_Data!P198+Match_Data!R198)</x:f>
      </x:c>
      <x:c r="K198" t="str">
        <x:f>IF(OR(Match_Data!S198="",Match_Data!T198=""),"",Match_Data!S198+Match_Data!T198)</x:f>
      </x:c>
      <x:c r="L198" t="str">
        <x:f>IF(OR(Match_Data!U198="",Match_Data!V198=""),"",Match_Data!U198-Match_Data!V198)</x:f>
      </x:c>
      <x:c r="M198" s="32" t="str">
        <x:f>IF(Match_Data!Y198="","",1/Match_Data!Y198)</x:f>
      </x:c>
      <x:c r="N198" s="32" t="str">
        <x:f>IF(Match_Data!AA198="","",1/Match_Data!AA198)</x:f>
      </x:c>
      <x:c r="O198" s="32" t="str">
        <x:f>IF(OR(M198="",N198=""),"",N198-M198)</x:f>
      </x:c>
      <x:c r="P198" t="str">
        <x:f>IF(Match_Data!J198="","",IF(Match_Data!J198="OVER",1,0))</x:f>
      </x:c>
    </x:row>
    <x:row r="199">
      <x:c r="A199" t="n">
        <x:f>Match_Data!A199</x:f>
        <x:v>0</x:v>
      </x:c>
      <x:c r="B199" s="28" t="n">
        <x:f>Match_Data!B199</x:f>
        <x:v>0</x:v>
      </x:c>
      <x:c r="C199" t="n">
        <x:f>Match_Data!C199</x:f>
        <x:v>0</x:v>
      </x:c>
      <x:c r="D199" t="n">
        <x:f>Match_Data!E199</x:f>
        <x:v>0</x:v>
      </x:c>
      <x:c r="E199" t="n">
        <x:f>Match_Data!F199</x:f>
        <x:v>0</x:v>
      </x:c>
      <x:c r="F199" t="n">
        <x:f>Match_Data!AC199</x:f>
        <x:v>0</x:v>
      </x:c>
      <x:c r="G199" t="str">
        <x:f>IF(OR(Match_Data!K199="",Match_Data!L199=""),"",AVERAGE(Match_Data!K199:L199))</x:f>
      </x:c>
      <x:c r="H199" t="str">
        <x:f>IF(OR(Match_Data!M199="",Match_Data!N199=""),"",AVERAGE(Match_Data!M199:N199))</x:f>
      </x:c>
      <x:c r="I199" t="str">
        <x:f>IF(OR(Match_Data!O199="",Match_Data!Q199=""),"",Match_Data!O199+Match_Data!Q199)</x:f>
      </x:c>
      <x:c r="J199" t="str">
        <x:f>IF(OR(Match_Data!P199="",Match_Data!R199=""),"",Match_Data!P199+Match_Data!R199)</x:f>
      </x:c>
      <x:c r="K199" t="str">
        <x:f>IF(OR(Match_Data!S199="",Match_Data!T199=""),"",Match_Data!S199+Match_Data!T199)</x:f>
      </x:c>
      <x:c r="L199" t="str">
        <x:f>IF(OR(Match_Data!U199="",Match_Data!V199=""),"",Match_Data!U199-Match_Data!V199)</x:f>
      </x:c>
      <x:c r="M199" s="32" t="str">
        <x:f>IF(Match_Data!Y199="","",1/Match_Data!Y199)</x:f>
      </x:c>
      <x:c r="N199" s="32" t="str">
        <x:f>IF(Match_Data!AA199="","",1/Match_Data!AA199)</x:f>
      </x:c>
      <x:c r="O199" s="32" t="str">
        <x:f>IF(OR(M199="",N199=""),"",N199-M199)</x:f>
      </x:c>
      <x:c r="P199" t="str">
        <x:f>IF(Match_Data!J199="","",IF(Match_Data!J199="OVER",1,0))</x:f>
      </x:c>
    </x:row>
    <x:row r="200">
      <x:c r="A200" t="n">
        <x:f>Match_Data!A200</x:f>
        <x:v>0</x:v>
      </x:c>
      <x:c r="B200" s="28" t="n">
        <x:f>Match_Data!B200</x:f>
        <x:v>0</x:v>
      </x:c>
      <x:c r="C200" t="n">
        <x:f>Match_Data!C200</x:f>
        <x:v>0</x:v>
      </x:c>
      <x:c r="D200" t="n">
        <x:f>Match_Data!E200</x:f>
        <x:v>0</x:v>
      </x:c>
      <x:c r="E200" t="n">
        <x:f>Match_Data!F200</x:f>
        <x:v>0</x:v>
      </x:c>
      <x:c r="F200" t="n">
        <x:f>Match_Data!AC200</x:f>
        <x:v>0</x:v>
      </x:c>
      <x:c r="G200" t="str">
        <x:f>IF(OR(Match_Data!K200="",Match_Data!L200=""),"",AVERAGE(Match_Data!K200:L200))</x:f>
      </x:c>
      <x:c r="H200" t="str">
        <x:f>IF(OR(Match_Data!M200="",Match_Data!N200=""),"",AVERAGE(Match_Data!M200:N200))</x:f>
      </x:c>
      <x:c r="I200" t="str">
        <x:f>IF(OR(Match_Data!O200="",Match_Data!Q200=""),"",Match_Data!O200+Match_Data!Q200)</x:f>
      </x:c>
      <x:c r="J200" t="str">
        <x:f>IF(OR(Match_Data!P200="",Match_Data!R200=""),"",Match_Data!P200+Match_Data!R200)</x:f>
      </x:c>
      <x:c r="K200" t="str">
        <x:f>IF(OR(Match_Data!S200="",Match_Data!T200=""),"",Match_Data!S200+Match_Data!T200)</x:f>
      </x:c>
      <x:c r="L200" t="str">
        <x:f>IF(OR(Match_Data!U200="",Match_Data!V200=""),"",Match_Data!U200-Match_Data!V200)</x:f>
      </x:c>
      <x:c r="M200" s="32" t="str">
        <x:f>IF(Match_Data!Y200="","",1/Match_Data!Y200)</x:f>
      </x:c>
      <x:c r="N200" s="32" t="str">
        <x:f>IF(Match_Data!AA200="","",1/Match_Data!AA200)</x:f>
      </x:c>
      <x:c r="O200" s="32" t="str">
        <x:f>IF(OR(M200="",N200=""),"",N200-M200)</x:f>
      </x:c>
      <x:c r="P200" t="str">
        <x:f>IF(Match_Data!J200="","",IF(Match_Data!J200="OVER",1,0))</x:f>
      </x:c>
    </x:row>
    <x:row r="201">
      <x:c r="A201" t="n">
        <x:f>Match_Data!A201</x:f>
        <x:v>0</x:v>
      </x:c>
      <x:c r="B201" s="28" t="n">
        <x:f>Match_Data!B201</x:f>
        <x:v>0</x:v>
      </x:c>
      <x:c r="C201" t="n">
        <x:f>Match_Data!C201</x:f>
        <x:v>0</x:v>
      </x:c>
      <x:c r="D201" t="n">
        <x:f>Match_Data!E201</x:f>
        <x:v>0</x:v>
      </x:c>
      <x:c r="E201" t="n">
        <x:f>Match_Data!F201</x:f>
        <x:v>0</x:v>
      </x:c>
      <x:c r="F201" t="n">
        <x:f>Match_Data!AC201</x:f>
        <x:v>0</x:v>
      </x:c>
      <x:c r="G201" t="str">
        <x:f>IF(OR(Match_Data!K201="",Match_Data!L201=""),"",AVERAGE(Match_Data!K201:L201))</x:f>
      </x:c>
      <x:c r="H201" t="str">
        <x:f>IF(OR(Match_Data!M201="",Match_Data!N201=""),"",AVERAGE(Match_Data!M201:N201))</x:f>
      </x:c>
      <x:c r="I201" t="str">
        <x:f>IF(OR(Match_Data!O201="",Match_Data!Q201=""),"",Match_Data!O201+Match_Data!Q201)</x:f>
      </x:c>
      <x:c r="J201" t="str">
        <x:f>IF(OR(Match_Data!P201="",Match_Data!R201=""),"",Match_Data!P201+Match_Data!R201)</x:f>
      </x:c>
      <x:c r="K201" t="str">
        <x:f>IF(OR(Match_Data!S201="",Match_Data!T201=""),"",Match_Data!S201+Match_Data!T201)</x:f>
      </x:c>
      <x:c r="L201" t="str">
        <x:f>IF(OR(Match_Data!U201="",Match_Data!V201=""),"",Match_Data!U201-Match_Data!V201)</x:f>
      </x:c>
      <x:c r="M201" s="32" t="str">
        <x:f>IF(Match_Data!Y201="","",1/Match_Data!Y201)</x:f>
      </x:c>
      <x:c r="N201" s="32" t="str">
        <x:f>IF(Match_Data!AA201="","",1/Match_Data!AA201)</x:f>
      </x:c>
      <x:c r="O201" s="32" t="str">
        <x:f>IF(OR(M201="",N201=""),"",N201-M201)</x:f>
      </x:c>
      <x:c r="P201" t="str">
        <x:f>IF(Match_Data!J201="","",IF(Match_Data!J201="OVER",1,0))</x:f>
      </x:c>
    </x:row>
    <x:row r="202">
      <x:c r="A202" t="n">
        <x:f>Match_Data!A202</x:f>
        <x:v>0</x:v>
      </x:c>
      <x:c r="B202" s="28" t="n">
        <x:f>Match_Data!B202</x:f>
        <x:v>0</x:v>
      </x:c>
      <x:c r="C202" t="n">
        <x:f>Match_Data!C202</x:f>
        <x:v>0</x:v>
      </x:c>
      <x:c r="D202" t="n">
        <x:f>Match_Data!E202</x:f>
        <x:v>0</x:v>
      </x:c>
      <x:c r="E202" t="n">
        <x:f>Match_Data!F202</x:f>
        <x:v>0</x:v>
      </x:c>
      <x:c r="F202" t="n">
        <x:f>Match_Data!AC202</x:f>
        <x:v>0</x:v>
      </x:c>
      <x:c r="G202" t="str">
        <x:f>IF(OR(Match_Data!K202="",Match_Data!L202=""),"",AVERAGE(Match_Data!K202:L202))</x:f>
      </x:c>
      <x:c r="H202" t="str">
        <x:f>IF(OR(Match_Data!M202="",Match_Data!N202=""),"",AVERAGE(Match_Data!M202:N202))</x:f>
      </x:c>
      <x:c r="I202" t="str">
        <x:f>IF(OR(Match_Data!O202="",Match_Data!Q202=""),"",Match_Data!O202+Match_Data!Q202)</x:f>
      </x:c>
      <x:c r="J202" t="str">
        <x:f>IF(OR(Match_Data!P202="",Match_Data!R202=""),"",Match_Data!P202+Match_Data!R202)</x:f>
      </x:c>
      <x:c r="K202" t="str">
        <x:f>IF(OR(Match_Data!S202="",Match_Data!T202=""),"",Match_Data!S202+Match_Data!T202)</x:f>
      </x:c>
      <x:c r="L202" t="str">
        <x:f>IF(OR(Match_Data!U202="",Match_Data!V202=""),"",Match_Data!U202-Match_Data!V202)</x:f>
      </x:c>
      <x:c r="M202" s="32" t="str">
        <x:f>IF(Match_Data!Y202="","",1/Match_Data!Y202)</x:f>
      </x:c>
      <x:c r="N202" s="32" t="str">
        <x:f>IF(Match_Data!AA202="","",1/Match_Data!AA202)</x:f>
      </x:c>
      <x:c r="O202" s="32" t="str">
        <x:f>IF(OR(M202="",N202=""),"",N202-M202)</x:f>
      </x:c>
      <x:c r="P202" t="str">
        <x:f>IF(Match_Data!J202="","",IF(Match_Data!J202="OVER",1,0))</x:f>
      </x:c>
    </x:row>
    <x:row r="203">
      <x:c r="A203" t="n">
        <x:f>Match_Data!A203</x:f>
        <x:v>0</x:v>
      </x:c>
      <x:c r="B203" s="28" t="n">
        <x:f>Match_Data!B203</x:f>
        <x:v>0</x:v>
      </x:c>
      <x:c r="C203" t="n">
        <x:f>Match_Data!C203</x:f>
        <x:v>0</x:v>
      </x:c>
      <x:c r="D203" t="n">
        <x:f>Match_Data!E203</x:f>
        <x:v>0</x:v>
      </x:c>
      <x:c r="E203" t="n">
        <x:f>Match_Data!F203</x:f>
        <x:v>0</x:v>
      </x:c>
      <x:c r="F203" t="n">
        <x:f>Match_Data!AC203</x:f>
        <x:v>0</x:v>
      </x:c>
      <x:c r="G203" t="str">
        <x:f>IF(OR(Match_Data!K203="",Match_Data!L203=""),"",AVERAGE(Match_Data!K203:L203))</x:f>
      </x:c>
      <x:c r="H203" t="str">
        <x:f>IF(OR(Match_Data!M203="",Match_Data!N203=""),"",AVERAGE(Match_Data!M203:N203))</x:f>
      </x:c>
      <x:c r="I203" t="str">
        <x:f>IF(OR(Match_Data!O203="",Match_Data!Q203=""),"",Match_Data!O203+Match_Data!Q203)</x:f>
      </x:c>
      <x:c r="J203" t="str">
        <x:f>IF(OR(Match_Data!P203="",Match_Data!R203=""),"",Match_Data!P203+Match_Data!R203)</x:f>
      </x:c>
      <x:c r="K203" t="str">
        <x:f>IF(OR(Match_Data!S203="",Match_Data!T203=""),"",Match_Data!S203+Match_Data!T203)</x:f>
      </x:c>
      <x:c r="L203" t="str">
        <x:f>IF(OR(Match_Data!U203="",Match_Data!V203=""),"",Match_Data!U203-Match_Data!V203)</x:f>
      </x:c>
      <x:c r="M203" s="32" t="str">
        <x:f>IF(Match_Data!Y203="","",1/Match_Data!Y203)</x:f>
      </x:c>
      <x:c r="N203" s="32" t="str">
        <x:f>IF(Match_Data!AA203="","",1/Match_Data!AA203)</x:f>
      </x:c>
      <x:c r="O203" s="32" t="str">
        <x:f>IF(OR(M203="",N203=""),"",N203-M203)</x:f>
      </x:c>
      <x:c r="P203" t="str">
        <x:f>IF(Match_Data!J203="","",IF(Match_Data!J203="OVER",1,0))</x:f>
      </x:c>
    </x:row>
    <x:row r="204">
      <x:c r="A204" t="n">
        <x:f>Match_Data!A204</x:f>
        <x:v>0</x:v>
      </x:c>
      <x:c r="B204" s="28" t="n">
        <x:f>Match_Data!B204</x:f>
        <x:v>0</x:v>
      </x:c>
      <x:c r="C204" t="n">
        <x:f>Match_Data!C204</x:f>
        <x:v>0</x:v>
      </x:c>
      <x:c r="D204" t="n">
        <x:f>Match_Data!E204</x:f>
        <x:v>0</x:v>
      </x:c>
      <x:c r="E204" t="n">
        <x:f>Match_Data!F204</x:f>
        <x:v>0</x:v>
      </x:c>
      <x:c r="F204" t="n">
        <x:f>Match_Data!AC204</x:f>
        <x:v>0</x:v>
      </x:c>
      <x:c r="G204" t="str">
        <x:f>IF(OR(Match_Data!K204="",Match_Data!L204=""),"",AVERAGE(Match_Data!K204:L204))</x:f>
      </x:c>
      <x:c r="H204" t="str">
        <x:f>IF(OR(Match_Data!M204="",Match_Data!N204=""),"",AVERAGE(Match_Data!M204:N204))</x:f>
      </x:c>
      <x:c r="I204" t="str">
        <x:f>IF(OR(Match_Data!O204="",Match_Data!Q204=""),"",Match_Data!O204+Match_Data!Q204)</x:f>
      </x:c>
      <x:c r="J204" t="str">
        <x:f>IF(OR(Match_Data!P204="",Match_Data!R204=""),"",Match_Data!P204+Match_Data!R204)</x:f>
      </x:c>
      <x:c r="K204" t="str">
        <x:f>IF(OR(Match_Data!S204="",Match_Data!T204=""),"",Match_Data!S204+Match_Data!T204)</x:f>
      </x:c>
      <x:c r="L204" t="str">
        <x:f>IF(OR(Match_Data!U204="",Match_Data!V204=""),"",Match_Data!U204-Match_Data!V204)</x:f>
      </x:c>
      <x:c r="M204" s="32" t="str">
        <x:f>IF(Match_Data!Y204="","",1/Match_Data!Y204)</x:f>
      </x:c>
      <x:c r="N204" s="32" t="str">
        <x:f>IF(Match_Data!AA204="","",1/Match_Data!AA204)</x:f>
      </x:c>
      <x:c r="O204" s="32" t="str">
        <x:f>IF(OR(M204="",N204=""),"",N204-M204)</x:f>
      </x:c>
      <x:c r="P204" t="str">
        <x:f>IF(Match_Data!J204="","",IF(Match_Data!J204="OVER",1,0))</x:f>
      </x:c>
    </x:row>
    <x:row r="205">
      <x:c r="A205" t="n">
        <x:f>Match_Data!A205</x:f>
        <x:v>0</x:v>
      </x:c>
      <x:c r="B205" s="28" t="n">
        <x:f>Match_Data!B205</x:f>
        <x:v>0</x:v>
      </x:c>
      <x:c r="C205" t="n">
        <x:f>Match_Data!C205</x:f>
        <x:v>0</x:v>
      </x:c>
      <x:c r="D205" t="n">
        <x:f>Match_Data!E205</x:f>
        <x:v>0</x:v>
      </x:c>
      <x:c r="E205" t="n">
        <x:f>Match_Data!F205</x:f>
        <x:v>0</x:v>
      </x:c>
      <x:c r="F205" t="n">
        <x:f>Match_Data!AC205</x:f>
        <x:v>0</x:v>
      </x:c>
      <x:c r="G205" t="str">
        <x:f>IF(OR(Match_Data!K205="",Match_Data!L205=""),"",AVERAGE(Match_Data!K205:L205))</x:f>
      </x:c>
      <x:c r="H205" t="str">
        <x:f>IF(OR(Match_Data!M205="",Match_Data!N205=""),"",AVERAGE(Match_Data!M205:N205))</x:f>
      </x:c>
      <x:c r="I205" t="str">
        <x:f>IF(OR(Match_Data!O205="",Match_Data!Q205=""),"",Match_Data!O205+Match_Data!Q205)</x:f>
      </x:c>
      <x:c r="J205" t="str">
        <x:f>IF(OR(Match_Data!P205="",Match_Data!R205=""),"",Match_Data!P205+Match_Data!R205)</x:f>
      </x:c>
      <x:c r="K205" t="str">
        <x:f>IF(OR(Match_Data!S205="",Match_Data!T205=""),"",Match_Data!S205+Match_Data!T205)</x:f>
      </x:c>
      <x:c r="L205" t="str">
        <x:f>IF(OR(Match_Data!U205="",Match_Data!V205=""),"",Match_Data!U205-Match_Data!V205)</x:f>
      </x:c>
      <x:c r="M205" s="32" t="str">
        <x:f>IF(Match_Data!Y205="","",1/Match_Data!Y205)</x:f>
      </x:c>
      <x:c r="N205" s="32" t="str">
        <x:f>IF(Match_Data!AA205="","",1/Match_Data!AA205)</x:f>
      </x:c>
      <x:c r="O205" s="32" t="str">
        <x:f>IF(OR(M205="",N205=""),"",N205-M205)</x:f>
      </x:c>
      <x:c r="P205" t="str">
        <x:f>IF(Match_Data!J205="","",IF(Match_Data!J205="OVER",1,0))</x:f>
      </x:c>
    </x:row>
    <x:row r="206">
      <x:c r="A206" t="n">
        <x:f>Match_Data!A206</x:f>
        <x:v>0</x:v>
      </x:c>
      <x:c r="B206" s="28" t="n">
        <x:f>Match_Data!B206</x:f>
        <x:v>0</x:v>
      </x:c>
      <x:c r="C206" t="n">
        <x:f>Match_Data!C206</x:f>
        <x:v>0</x:v>
      </x:c>
      <x:c r="D206" t="n">
        <x:f>Match_Data!E206</x:f>
        <x:v>0</x:v>
      </x:c>
      <x:c r="E206" t="n">
        <x:f>Match_Data!F206</x:f>
        <x:v>0</x:v>
      </x:c>
      <x:c r="F206" t="n">
        <x:f>Match_Data!AC206</x:f>
        <x:v>0</x:v>
      </x:c>
      <x:c r="G206" t="str">
        <x:f>IF(OR(Match_Data!K206="",Match_Data!L206=""),"",AVERAGE(Match_Data!K206:L206))</x:f>
      </x:c>
      <x:c r="H206" t="str">
        <x:f>IF(OR(Match_Data!M206="",Match_Data!N206=""),"",AVERAGE(Match_Data!M206:N206))</x:f>
      </x:c>
      <x:c r="I206" t="str">
        <x:f>IF(OR(Match_Data!O206="",Match_Data!Q206=""),"",Match_Data!O206+Match_Data!Q206)</x:f>
      </x:c>
      <x:c r="J206" t="str">
        <x:f>IF(OR(Match_Data!P206="",Match_Data!R206=""),"",Match_Data!P206+Match_Data!R206)</x:f>
      </x:c>
      <x:c r="K206" t="str">
        <x:f>IF(OR(Match_Data!S206="",Match_Data!T206=""),"",Match_Data!S206+Match_Data!T206)</x:f>
      </x:c>
      <x:c r="L206" t="str">
        <x:f>IF(OR(Match_Data!U206="",Match_Data!V206=""),"",Match_Data!U206-Match_Data!V206)</x:f>
      </x:c>
      <x:c r="M206" s="32" t="str">
        <x:f>IF(Match_Data!Y206="","",1/Match_Data!Y206)</x:f>
      </x:c>
      <x:c r="N206" s="32" t="str">
        <x:f>IF(Match_Data!AA206="","",1/Match_Data!AA206)</x:f>
      </x:c>
      <x:c r="O206" s="32" t="str">
        <x:f>IF(OR(M206="",N206=""),"",N206-M206)</x:f>
      </x:c>
      <x:c r="P206" t="str">
        <x:f>IF(Match_Data!J206="","",IF(Match_Data!J206="OVER",1,0))</x:f>
      </x:c>
    </x:row>
    <x:row r="207">
      <x:c r="A207" t="n">
        <x:f>Match_Data!A207</x:f>
        <x:v>0</x:v>
      </x:c>
      <x:c r="B207" s="28" t="n">
        <x:f>Match_Data!B207</x:f>
        <x:v>0</x:v>
      </x:c>
      <x:c r="C207" t="n">
        <x:f>Match_Data!C207</x:f>
        <x:v>0</x:v>
      </x:c>
      <x:c r="D207" t="n">
        <x:f>Match_Data!E207</x:f>
        <x:v>0</x:v>
      </x:c>
      <x:c r="E207" t="n">
        <x:f>Match_Data!F207</x:f>
        <x:v>0</x:v>
      </x:c>
      <x:c r="F207" t="n">
        <x:f>Match_Data!AC207</x:f>
        <x:v>0</x:v>
      </x:c>
      <x:c r="G207" t="str">
        <x:f>IF(OR(Match_Data!K207="",Match_Data!L207=""),"",AVERAGE(Match_Data!K207:L207))</x:f>
      </x:c>
      <x:c r="H207" t="str">
        <x:f>IF(OR(Match_Data!M207="",Match_Data!N207=""),"",AVERAGE(Match_Data!M207:N207))</x:f>
      </x:c>
      <x:c r="I207" t="str">
        <x:f>IF(OR(Match_Data!O207="",Match_Data!Q207=""),"",Match_Data!O207+Match_Data!Q207)</x:f>
      </x:c>
      <x:c r="J207" t="str">
        <x:f>IF(OR(Match_Data!P207="",Match_Data!R207=""),"",Match_Data!P207+Match_Data!R207)</x:f>
      </x:c>
      <x:c r="K207" t="str">
        <x:f>IF(OR(Match_Data!S207="",Match_Data!T207=""),"",Match_Data!S207+Match_Data!T207)</x:f>
      </x:c>
      <x:c r="L207" t="str">
        <x:f>IF(OR(Match_Data!U207="",Match_Data!V207=""),"",Match_Data!U207-Match_Data!V207)</x:f>
      </x:c>
      <x:c r="M207" s="32" t="str">
        <x:f>IF(Match_Data!Y207="","",1/Match_Data!Y207)</x:f>
      </x:c>
      <x:c r="N207" s="32" t="str">
        <x:f>IF(Match_Data!AA207="","",1/Match_Data!AA207)</x:f>
      </x:c>
      <x:c r="O207" s="32" t="str">
        <x:f>IF(OR(M207="",N207=""),"",N207-M207)</x:f>
      </x:c>
      <x:c r="P207" t="str">
        <x:f>IF(Match_Data!J207="","",IF(Match_Data!J207="OVER",1,0))</x:f>
      </x:c>
    </x:row>
    <x:row r="208">
      <x:c r="A208" t="n">
        <x:f>Match_Data!A208</x:f>
        <x:v>0</x:v>
      </x:c>
      <x:c r="B208" s="28" t="n">
        <x:f>Match_Data!B208</x:f>
        <x:v>0</x:v>
      </x:c>
      <x:c r="C208" t="n">
        <x:f>Match_Data!C208</x:f>
        <x:v>0</x:v>
      </x:c>
      <x:c r="D208" t="n">
        <x:f>Match_Data!E208</x:f>
        <x:v>0</x:v>
      </x:c>
      <x:c r="E208" t="n">
        <x:f>Match_Data!F208</x:f>
        <x:v>0</x:v>
      </x:c>
      <x:c r="F208" t="n">
        <x:f>Match_Data!AC208</x:f>
        <x:v>0</x:v>
      </x:c>
      <x:c r="G208" t="str">
        <x:f>IF(OR(Match_Data!K208="",Match_Data!L208=""),"",AVERAGE(Match_Data!K208:L208))</x:f>
      </x:c>
      <x:c r="H208" t="str">
        <x:f>IF(OR(Match_Data!M208="",Match_Data!N208=""),"",AVERAGE(Match_Data!M208:N208))</x:f>
      </x:c>
      <x:c r="I208" t="str">
        <x:f>IF(OR(Match_Data!O208="",Match_Data!Q208=""),"",Match_Data!O208+Match_Data!Q208)</x:f>
      </x:c>
      <x:c r="J208" t="str">
        <x:f>IF(OR(Match_Data!P208="",Match_Data!R208=""),"",Match_Data!P208+Match_Data!R208)</x:f>
      </x:c>
      <x:c r="K208" t="str">
        <x:f>IF(OR(Match_Data!S208="",Match_Data!T208=""),"",Match_Data!S208+Match_Data!T208)</x:f>
      </x:c>
      <x:c r="L208" t="str">
        <x:f>IF(OR(Match_Data!U208="",Match_Data!V208=""),"",Match_Data!U208-Match_Data!V208)</x:f>
      </x:c>
      <x:c r="M208" s="32" t="str">
        <x:f>IF(Match_Data!Y208="","",1/Match_Data!Y208)</x:f>
      </x:c>
      <x:c r="N208" s="32" t="str">
        <x:f>IF(Match_Data!AA208="","",1/Match_Data!AA208)</x:f>
      </x:c>
      <x:c r="O208" s="32" t="str">
        <x:f>IF(OR(M208="",N208=""),"",N208-M208)</x:f>
      </x:c>
      <x:c r="P208" t="str">
        <x:f>IF(Match_Data!J208="","",IF(Match_Data!J208="OVER",1,0))</x:f>
      </x:c>
    </x:row>
    <x:row r="209">
      <x:c r="A209" t="n">
        <x:f>Match_Data!A209</x:f>
        <x:v>0</x:v>
      </x:c>
      <x:c r="B209" s="28" t="n">
        <x:f>Match_Data!B209</x:f>
        <x:v>0</x:v>
      </x:c>
      <x:c r="C209" t="n">
        <x:f>Match_Data!C209</x:f>
        <x:v>0</x:v>
      </x:c>
      <x:c r="D209" t="n">
        <x:f>Match_Data!E209</x:f>
        <x:v>0</x:v>
      </x:c>
      <x:c r="E209" t="n">
        <x:f>Match_Data!F209</x:f>
        <x:v>0</x:v>
      </x:c>
      <x:c r="F209" t="n">
        <x:f>Match_Data!AC209</x:f>
        <x:v>0</x:v>
      </x:c>
      <x:c r="G209" t="str">
        <x:f>IF(OR(Match_Data!K209="",Match_Data!L209=""),"",AVERAGE(Match_Data!K209:L209))</x:f>
      </x:c>
      <x:c r="H209" t="str">
        <x:f>IF(OR(Match_Data!M209="",Match_Data!N209=""),"",AVERAGE(Match_Data!M209:N209))</x:f>
      </x:c>
      <x:c r="I209" t="str">
        <x:f>IF(OR(Match_Data!O209="",Match_Data!Q209=""),"",Match_Data!O209+Match_Data!Q209)</x:f>
      </x:c>
      <x:c r="J209" t="str">
        <x:f>IF(OR(Match_Data!P209="",Match_Data!R209=""),"",Match_Data!P209+Match_Data!R209)</x:f>
      </x:c>
      <x:c r="K209" t="str">
        <x:f>IF(OR(Match_Data!S209="",Match_Data!T209=""),"",Match_Data!S209+Match_Data!T209)</x:f>
      </x:c>
      <x:c r="L209" t="str">
        <x:f>IF(OR(Match_Data!U209="",Match_Data!V209=""),"",Match_Data!U209-Match_Data!V209)</x:f>
      </x:c>
      <x:c r="M209" s="32" t="str">
        <x:f>IF(Match_Data!Y209="","",1/Match_Data!Y209)</x:f>
      </x:c>
      <x:c r="N209" s="32" t="str">
        <x:f>IF(Match_Data!AA209="","",1/Match_Data!AA209)</x:f>
      </x:c>
      <x:c r="O209" s="32" t="str">
        <x:f>IF(OR(M209="",N209=""),"",N209-M209)</x:f>
      </x:c>
      <x:c r="P209" t="str">
        <x:f>IF(Match_Data!J209="","",IF(Match_Data!J209="OVER",1,0))</x:f>
      </x:c>
    </x:row>
    <x:row r="210">
      <x:c r="A210" t="n">
        <x:f>Match_Data!A210</x:f>
        <x:v>0</x:v>
      </x:c>
      <x:c r="B210" s="28" t="n">
        <x:f>Match_Data!B210</x:f>
        <x:v>0</x:v>
      </x:c>
      <x:c r="C210" t="n">
        <x:f>Match_Data!C210</x:f>
        <x:v>0</x:v>
      </x:c>
      <x:c r="D210" t="n">
        <x:f>Match_Data!E210</x:f>
        <x:v>0</x:v>
      </x:c>
      <x:c r="E210" t="n">
        <x:f>Match_Data!F210</x:f>
        <x:v>0</x:v>
      </x:c>
      <x:c r="F210" t="n">
        <x:f>Match_Data!AC210</x:f>
        <x:v>0</x:v>
      </x:c>
      <x:c r="G210" t="str">
        <x:f>IF(OR(Match_Data!K210="",Match_Data!L210=""),"",AVERAGE(Match_Data!K210:L210))</x:f>
      </x:c>
      <x:c r="H210" t="str">
        <x:f>IF(OR(Match_Data!M210="",Match_Data!N210=""),"",AVERAGE(Match_Data!M210:N210))</x:f>
      </x:c>
      <x:c r="I210" t="str">
        <x:f>IF(OR(Match_Data!O210="",Match_Data!Q210=""),"",Match_Data!O210+Match_Data!Q210)</x:f>
      </x:c>
      <x:c r="J210" t="str">
        <x:f>IF(OR(Match_Data!P210="",Match_Data!R210=""),"",Match_Data!P210+Match_Data!R210)</x:f>
      </x:c>
      <x:c r="K210" t="str">
        <x:f>IF(OR(Match_Data!S210="",Match_Data!T210=""),"",Match_Data!S210+Match_Data!T210)</x:f>
      </x:c>
      <x:c r="L210" t="str">
        <x:f>IF(OR(Match_Data!U210="",Match_Data!V210=""),"",Match_Data!U210-Match_Data!V210)</x:f>
      </x:c>
      <x:c r="M210" s="32" t="str">
        <x:f>IF(Match_Data!Y210="","",1/Match_Data!Y210)</x:f>
      </x:c>
      <x:c r="N210" s="32" t="str">
        <x:f>IF(Match_Data!AA210="","",1/Match_Data!AA210)</x:f>
      </x:c>
      <x:c r="O210" s="32" t="str">
        <x:f>IF(OR(M210="",N210=""),"",N210-M210)</x:f>
      </x:c>
      <x:c r="P210" t="str">
        <x:f>IF(Match_Data!J210="","",IF(Match_Data!J210="OVER",1,0))</x:f>
      </x:c>
    </x:row>
    <x:row r="211">
      <x:c r="A211" t="n">
        <x:f>Match_Data!A211</x:f>
        <x:v>0</x:v>
      </x:c>
      <x:c r="B211" s="28" t="n">
        <x:f>Match_Data!B211</x:f>
        <x:v>0</x:v>
      </x:c>
      <x:c r="C211" t="n">
        <x:f>Match_Data!C211</x:f>
        <x:v>0</x:v>
      </x:c>
      <x:c r="D211" t="n">
        <x:f>Match_Data!E211</x:f>
        <x:v>0</x:v>
      </x:c>
      <x:c r="E211" t="n">
        <x:f>Match_Data!F211</x:f>
        <x:v>0</x:v>
      </x:c>
      <x:c r="F211" t="n">
        <x:f>Match_Data!AC211</x:f>
        <x:v>0</x:v>
      </x:c>
      <x:c r="G211" t="str">
        <x:f>IF(OR(Match_Data!K211="",Match_Data!L211=""),"",AVERAGE(Match_Data!K211:L211))</x:f>
      </x:c>
      <x:c r="H211" t="str">
        <x:f>IF(OR(Match_Data!M211="",Match_Data!N211=""),"",AVERAGE(Match_Data!M211:N211))</x:f>
      </x:c>
      <x:c r="I211" t="str">
        <x:f>IF(OR(Match_Data!O211="",Match_Data!Q211=""),"",Match_Data!O211+Match_Data!Q211)</x:f>
      </x:c>
      <x:c r="J211" t="str">
        <x:f>IF(OR(Match_Data!P211="",Match_Data!R211=""),"",Match_Data!P211+Match_Data!R211)</x:f>
      </x:c>
      <x:c r="K211" t="str">
        <x:f>IF(OR(Match_Data!S211="",Match_Data!T211=""),"",Match_Data!S211+Match_Data!T211)</x:f>
      </x:c>
      <x:c r="L211" t="str">
        <x:f>IF(OR(Match_Data!U211="",Match_Data!V211=""),"",Match_Data!U211-Match_Data!V211)</x:f>
      </x:c>
      <x:c r="M211" s="32" t="str">
        <x:f>IF(Match_Data!Y211="","",1/Match_Data!Y211)</x:f>
      </x:c>
      <x:c r="N211" s="32" t="str">
        <x:f>IF(Match_Data!AA211="","",1/Match_Data!AA211)</x:f>
      </x:c>
      <x:c r="O211" s="32" t="str">
        <x:f>IF(OR(M211="",N211=""),"",N211-M211)</x:f>
      </x:c>
      <x:c r="P211" t="str">
        <x:f>IF(Match_Data!J211="","",IF(Match_Data!J211="OVER",1,0))</x:f>
      </x:c>
    </x:row>
    <x:row r="212">
      <x:c r="A212" t="n">
        <x:f>Match_Data!A212</x:f>
        <x:v>0</x:v>
      </x:c>
      <x:c r="B212" s="28" t="n">
        <x:f>Match_Data!B212</x:f>
        <x:v>0</x:v>
      </x:c>
      <x:c r="C212" t="n">
        <x:f>Match_Data!C212</x:f>
        <x:v>0</x:v>
      </x:c>
      <x:c r="D212" t="n">
        <x:f>Match_Data!E212</x:f>
        <x:v>0</x:v>
      </x:c>
      <x:c r="E212" t="n">
        <x:f>Match_Data!F212</x:f>
        <x:v>0</x:v>
      </x:c>
      <x:c r="F212" t="n">
        <x:f>Match_Data!AC212</x:f>
        <x:v>0</x:v>
      </x:c>
      <x:c r="G212" t="str">
        <x:f>IF(OR(Match_Data!K212="",Match_Data!L212=""),"",AVERAGE(Match_Data!K212:L212))</x:f>
      </x:c>
      <x:c r="H212" t="str">
        <x:f>IF(OR(Match_Data!M212="",Match_Data!N212=""),"",AVERAGE(Match_Data!M212:N212))</x:f>
      </x:c>
      <x:c r="I212" t="str">
        <x:f>IF(OR(Match_Data!O212="",Match_Data!Q212=""),"",Match_Data!O212+Match_Data!Q212)</x:f>
      </x:c>
      <x:c r="J212" t="str">
        <x:f>IF(OR(Match_Data!P212="",Match_Data!R212=""),"",Match_Data!P212+Match_Data!R212)</x:f>
      </x:c>
      <x:c r="K212" t="str">
        <x:f>IF(OR(Match_Data!S212="",Match_Data!T212=""),"",Match_Data!S212+Match_Data!T212)</x:f>
      </x:c>
      <x:c r="L212" t="str">
        <x:f>IF(OR(Match_Data!U212="",Match_Data!V212=""),"",Match_Data!U212-Match_Data!V212)</x:f>
      </x:c>
      <x:c r="M212" s="32" t="str">
        <x:f>IF(Match_Data!Y212="","",1/Match_Data!Y212)</x:f>
      </x:c>
      <x:c r="N212" s="32" t="str">
        <x:f>IF(Match_Data!AA212="","",1/Match_Data!AA212)</x:f>
      </x:c>
      <x:c r="O212" s="32" t="str">
        <x:f>IF(OR(M212="",N212=""),"",N212-M212)</x:f>
      </x:c>
      <x:c r="P212" t="str">
        <x:f>IF(Match_Data!J212="","",IF(Match_Data!J212="OVER",1,0))</x:f>
      </x:c>
    </x:row>
    <x:row r="213">
      <x:c r="A213" t="n">
        <x:f>Match_Data!A213</x:f>
        <x:v>0</x:v>
      </x:c>
      <x:c r="B213" s="28" t="n">
        <x:f>Match_Data!B213</x:f>
        <x:v>0</x:v>
      </x:c>
      <x:c r="C213" t="n">
        <x:f>Match_Data!C213</x:f>
        <x:v>0</x:v>
      </x:c>
      <x:c r="D213" t="n">
        <x:f>Match_Data!E213</x:f>
        <x:v>0</x:v>
      </x:c>
      <x:c r="E213" t="n">
        <x:f>Match_Data!F213</x:f>
        <x:v>0</x:v>
      </x:c>
      <x:c r="F213" t="n">
        <x:f>Match_Data!AC213</x:f>
        <x:v>0</x:v>
      </x:c>
      <x:c r="G213" t="str">
        <x:f>IF(OR(Match_Data!K213="",Match_Data!L213=""),"",AVERAGE(Match_Data!K213:L213))</x:f>
      </x:c>
      <x:c r="H213" t="str">
        <x:f>IF(OR(Match_Data!M213="",Match_Data!N213=""),"",AVERAGE(Match_Data!M213:N213))</x:f>
      </x:c>
      <x:c r="I213" t="str">
        <x:f>IF(OR(Match_Data!O213="",Match_Data!Q213=""),"",Match_Data!O213+Match_Data!Q213)</x:f>
      </x:c>
      <x:c r="J213" t="str">
        <x:f>IF(OR(Match_Data!P213="",Match_Data!R213=""),"",Match_Data!P213+Match_Data!R213)</x:f>
      </x:c>
      <x:c r="K213" t="str">
        <x:f>IF(OR(Match_Data!S213="",Match_Data!T213=""),"",Match_Data!S213+Match_Data!T213)</x:f>
      </x:c>
      <x:c r="L213" t="str">
        <x:f>IF(OR(Match_Data!U213="",Match_Data!V213=""),"",Match_Data!U213-Match_Data!V213)</x:f>
      </x:c>
      <x:c r="M213" s="32" t="str">
        <x:f>IF(Match_Data!Y213="","",1/Match_Data!Y213)</x:f>
      </x:c>
      <x:c r="N213" s="32" t="str">
        <x:f>IF(Match_Data!AA213="","",1/Match_Data!AA213)</x:f>
      </x:c>
      <x:c r="O213" s="32" t="str">
        <x:f>IF(OR(M213="",N213=""),"",N213-M213)</x:f>
      </x:c>
      <x:c r="P213" t="str">
        <x:f>IF(Match_Data!J213="","",IF(Match_Data!J213="OVER",1,0))</x:f>
      </x:c>
    </x:row>
    <x:row r="214">
      <x:c r="A214" t="n">
        <x:f>Match_Data!A214</x:f>
        <x:v>0</x:v>
      </x:c>
      <x:c r="B214" s="28" t="n">
        <x:f>Match_Data!B214</x:f>
        <x:v>0</x:v>
      </x:c>
      <x:c r="C214" t="n">
        <x:f>Match_Data!C214</x:f>
        <x:v>0</x:v>
      </x:c>
      <x:c r="D214" t="n">
        <x:f>Match_Data!E214</x:f>
        <x:v>0</x:v>
      </x:c>
      <x:c r="E214" t="n">
        <x:f>Match_Data!F214</x:f>
        <x:v>0</x:v>
      </x:c>
      <x:c r="F214" t="n">
        <x:f>Match_Data!AC214</x:f>
        <x:v>0</x:v>
      </x:c>
      <x:c r="G214" t="str">
        <x:f>IF(OR(Match_Data!K214="",Match_Data!L214=""),"",AVERAGE(Match_Data!K214:L214))</x:f>
      </x:c>
      <x:c r="H214" t="str">
        <x:f>IF(OR(Match_Data!M214="",Match_Data!N214=""),"",AVERAGE(Match_Data!M214:N214))</x:f>
      </x:c>
      <x:c r="I214" t="str">
        <x:f>IF(OR(Match_Data!O214="",Match_Data!Q214=""),"",Match_Data!O214+Match_Data!Q214)</x:f>
      </x:c>
      <x:c r="J214" t="str">
        <x:f>IF(OR(Match_Data!P214="",Match_Data!R214=""),"",Match_Data!P214+Match_Data!R214)</x:f>
      </x:c>
      <x:c r="K214" t="str">
        <x:f>IF(OR(Match_Data!S214="",Match_Data!T214=""),"",Match_Data!S214+Match_Data!T214)</x:f>
      </x:c>
      <x:c r="L214" t="str">
        <x:f>IF(OR(Match_Data!U214="",Match_Data!V214=""),"",Match_Data!U214-Match_Data!V214)</x:f>
      </x:c>
      <x:c r="M214" s="32" t="str">
        <x:f>IF(Match_Data!Y214="","",1/Match_Data!Y214)</x:f>
      </x:c>
      <x:c r="N214" s="32" t="str">
        <x:f>IF(Match_Data!AA214="","",1/Match_Data!AA214)</x:f>
      </x:c>
      <x:c r="O214" s="32" t="str">
        <x:f>IF(OR(M214="",N214=""),"",N214-M214)</x:f>
      </x:c>
      <x:c r="P214" t="str">
        <x:f>IF(Match_Data!J214="","",IF(Match_Data!J214="OVER",1,0))</x:f>
      </x:c>
    </x:row>
    <x:row r="215">
      <x:c r="A215" t="n">
        <x:f>Match_Data!A215</x:f>
        <x:v>0</x:v>
      </x:c>
      <x:c r="B215" s="28" t="n">
        <x:f>Match_Data!B215</x:f>
        <x:v>0</x:v>
      </x:c>
      <x:c r="C215" t="n">
        <x:f>Match_Data!C215</x:f>
        <x:v>0</x:v>
      </x:c>
      <x:c r="D215" t="n">
        <x:f>Match_Data!E215</x:f>
        <x:v>0</x:v>
      </x:c>
      <x:c r="E215" t="n">
        <x:f>Match_Data!F215</x:f>
        <x:v>0</x:v>
      </x:c>
      <x:c r="F215" t="n">
        <x:f>Match_Data!AC215</x:f>
        <x:v>0</x:v>
      </x:c>
      <x:c r="G215" t="str">
        <x:f>IF(OR(Match_Data!K215="",Match_Data!L215=""),"",AVERAGE(Match_Data!K215:L215))</x:f>
      </x:c>
      <x:c r="H215" t="str">
        <x:f>IF(OR(Match_Data!M215="",Match_Data!N215=""),"",AVERAGE(Match_Data!M215:N215))</x:f>
      </x:c>
      <x:c r="I215" t="str">
        <x:f>IF(OR(Match_Data!O215="",Match_Data!Q215=""),"",Match_Data!O215+Match_Data!Q215)</x:f>
      </x:c>
      <x:c r="J215" t="str">
        <x:f>IF(OR(Match_Data!P215="",Match_Data!R215=""),"",Match_Data!P215+Match_Data!R215)</x:f>
      </x:c>
      <x:c r="K215" t="str">
        <x:f>IF(OR(Match_Data!S215="",Match_Data!T215=""),"",Match_Data!S215+Match_Data!T215)</x:f>
      </x:c>
      <x:c r="L215" t="str">
        <x:f>IF(OR(Match_Data!U215="",Match_Data!V215=""),"",Match_Data!U215-Match_Data!V215)</x:f>
      </x:c>
      <x:c r="M215" s="32" t="str">
        <x:f>IF(Match_Data!Y215="","",1/Match_Data!Y215)</x:f>
      </x:c>
      <x:c r="N215" s="32" t="str">
        <x:f>IF(Match_Data!AA215="","",1/Match_Data!AA215)</x:f>
      </x:c>
      <x:c r="O215" s="32" t="str">
        <x:f>IF(OR(M215="",N215=""),"",N215-M215)</x:f>
      </x:c>
      <x:c r="P215" t="str">
        <x:f>IF(Match_Data!J215="","",IF(Match_Data!J215="OVER",1,0))</x:f>
      </x:c>
    </x:row>
    <x:row r="216">
      <x:c r="A216" t="n">
        <x:f>Match_Data!A216</x:f>
        <x:v>0</x:v>
      </x:c>
      <x:c r="B216" s="28" t="n">
        <x:f>Match_Data!B216</x:f>
        <x:v>0</x:v>
      </x:c>
      <x:c r="C216" t="n">
        <x:f>Match_Data!C216</x:f>
        <x:v>0</x:v>
      </x:c>
      <x:c r="D216" t="n">
        <x:f>Match_Data!E216</x:f>
        <x:v>0</x:v>
      </x:c>
      <x:c r="E216" t="n">
        <x:f>Match_Data!F216</x:f>
        <x:v>0</x:v>
      </x:c>
      <x:c r="F216" t="n">
        <x:f>Match_Data!AC216</x:f>
        <x:v>0</x:v>
      </x:c>
      <x:c r="G216" t="str">
        <x:f>IF(OR(Match_Data!K216="",Match_Data!L216=""),"",AVERAGE(Match_Data!K216:L216))</x:f>
      </x:c>
      <x:c r="H216" t="str">
        <x:f>IF(OR(Match_Data!M216="",Match_Data!N216=""),"",AVERAGE(Match_Data!M216:N216))</x:f>
      </x:c>
      <x:c r="I216" t="str">
        <x:f>IF(OR(Match_Data!O216="",Match_Data!Q216=""),"",Match_Data!O216+Match_Data!Q216)</x:f>
      </x:c>
      <x:c r="J216" t="str">
        <x:f>IF(OR(Match_Data!P216="",Match_Data!R216=""),"",Match_Data!P216+Match_Data!R216)</x:f>
      </x:c>
      <x:c r="K216" t="str">
        <x:f>IF(OR(Match_Data!S216="",Match_Data!T216=""),"",Match_Data!S216+Match_Data!T216)</x:f>
      </x:c>
      <x:c r="L216" t="str">
        <x:f>IF(OR(Match_Data!U216="",Match_Data!V216=""),"",Match_Data!U216-Match_Data!V216)</x:f>
      </x:c>
      <x:c r="M216" s="32" t="str">
        <x:f>IF(Match_Data!Y216="","",1/Match_Data!Y216)</x:f>
      </x:c>
      <x:c r="N216" s="32" t="str">
        <x:f>IF(Match_Data!AA216="","",1/Match_Data!AA216)</x:f>
      </x:c>
      <x:c r="O216" s="32" t="str">
        <x:f>IF(OR(M216="",N216=""),"",N216-M216)</x:f>
      </x:c>
      <x:c r="P216" t="str">
        <x:f>IF(Match_Data!J216="","",IF(Match_Data!J216="OVER",1,0))</x:f>
      </x:c>
    </x:row>
    <x:row r="217">
      <x:c r="A217" t="n">
        <x:f>Match_Data!A217</x:f>
        <x:v>0</x:v>
      </x:c>
      <x:c r="B217" s="28" t="n">
        <x:f>Match_Data!B217</x:f>
        <x:v>0</x:v>
      </x:c>
      <x:c r="C217" t="n">
        <x:f>Match_Data!C217</x:f>
        <x:v>0</x:v>
      </x:c>
      <x:c r="D217" t="n">
        <x:f>Match_Data!E217</x:f>
        <x:v>0</x:v>
      </x:c>
      <x:c r="E217" t="n">
        <x:f>Match_Data!F217</x:f>
        <x:v>0</x:v>
      </x:c>
      <x:c r="F217" t="n">
        <x:f>Match_Data!AC217</x:f>
        <x:v>0</x:v>
      </x:c>
      <x:c r="G217" t="str">
        <x:f>IF(OR(Match_Data!K217="",Match_Data!L217=""),"",AVERAGE(Match_Data!K217:L217))</x:f>
      </x:c>
      <x:c r="H217" t="str">
        <x:f>IF(OR(Match_Data!M217="",Match_Data!N217=""),"",AVERAGE(Match_Data!M217:N217))</x:f>
      </x:c>
      <x:c r="I217" t="str">
        <x:f>IF(OR(Match_Data!O217="",Match_Data!Q217=""),"",Match_Data!O217+Match_Data!Q217)</x:f>
      </x:c>
      <x:c r="J217" t="str">
        <x:f>IF(OR(Match_Data!P217="",Match_Data!R217=""),"",Match_Data!P217+Match_Data!R217)</x:f>
      </x:c>
      <x:c r="K217" t="str">
        <x:f>IF(OR(Match_Data!S217="",Match_Data!T217=""),"",Match_Data!S217+Match_Data!T217)</x:f>
      </x:c>
      <x:c r="L217" t="str">
        <x:f>IF(OR(Match_Data!U217="",Match_Data!V217=""),"",Match_Data!U217-Match_Data!V217)</x:f>
      </x:c>
      <x:c r="M217" s="32" t="str">
        <x:f>IF(Match_Data!Y217="","",1/Match_Data!Y217)</x:f>
      </x:c>
      <x:c r="N217" s="32" t="str">
        <x:f>IF(Match_Data!AA217="","",1/Match_Data!AA217)</x:f>
      </x:c>
      <x:c r="O217" s="32" t="str">
        <x:f>IF(OR(M217="",N217=""),"",N217-M217)</x:f>
      </x:c>
      <x:c r="P217" t="str">
        <x:f>IF(Match_Data!J217="","",IF(Match_Data!J217="OVER",1,0))</x:f>
      </x:c>
    </x:row>
    <x:row r="218">
      <x:c r="A218" t="n">
        <x:f>Match_Data!A218</x:f>
        <x:v>0</x:v>
      </x:c>
      <x:c r="B218" s="28" t="n">
        <x:f>Match_Data!B218</x:f>
        <x:v>0</x:v>
      </x:c>
      <x:c r="C218" t="n">
        <x:f>Match_Data!C218</x:f>
        <x:v>0</x:v>
      </x:c>
      <x:c r="D218" t="n">
        <x:f>Match_Data!E218</x:f>
        <x:v>0</x:v>
      </x:c>
      <x:c r="E218" t="n">
        <x:f>Match_Data!F218</x:f>
        <x:v>0</x:v>
      </x:c>
      <x:c r="F218" t="n">
        <x:f>Match_Data!AC218</x:f>
        <x:v>0</x:v>
      </x:c>
      <x:c r="G218" t="str">
        <x:f>IF(OR(Match_Data!K218="",Match_Data!L218=""),"",AVERAGE(Match_Data!K218:L218))</x:f>
      </x:c>
      <x:c r="H218" t="str">
        <x:f>IF(OR(Match_Data!M218="",Match_Data!N218=""),"",AVERAGE(Match_Data!M218:N218))</x:f>
      </x:c>
      <x:c r="I218" t="str">
        <x:f>IF(OR(Match_Data!O218="",Match_Data!Q218=""),"",Match_Data!O218+Match_Data!Q218)</x:f>
      </x:c>
      <x:c r="J218" t="str">
        <x:f>IF(OR(Match_Data!P218="",Match_Data!R218=""),"",Match_Data!P218+Match_Data!R218)</x:f>
      </x:c>
      <x:c r="K218" t="str">
        <x:f>IF(OR(Match_Data!S218="",Match_Data!T218=""),"",Match_Data!S218+Match_Data!T218)</x:f>
      </x:c>
      <x:c r="L218" t="str">
        <x:f>IF(OR(Match_Data!U218="",Match_Data!V218=""),"",Match_Data!U218-Match_Data!V218)</x:f>
      </x:c>
      <x:c r="M218" s="32" t="str">
        <x:f>IF(Match_Data!Y218="","",1/Match_Data!Y218)</x:f>
      </x:c>
      <x:c r="N218" s="32" t="str">
        <x:f>IF(Match_Data!AA218="","",1/Match_Data!AA218)</x:f>
      </x:c>
      <x:c r="O218" s="32" t="str">
        <x:f>IF(OR(M218="",N218=""),"",N218-M218)</x:f>
      </x:c>
      <x:c r="P218" t="str">
        <x:f>IF(Match_Data!J218="","",IF(Match_Data!J218="OVER",1,0))</x:f>
      </x:c>
    </x:row>
    <x:row r="219">
      <x:c r="A219" t="n">
        <x:f>Match_Data!A219</x:f>
        <x:v>0</x:v>
      </x:c>
      <x:c r="B219" s="28" t="n">
        <x:f>Match_Data!B219</x:f>
        <x:v>0</x:v>
      </x:c>
      <x:c r="C219" t="n">
        <x:f>Match_Data!C219</x:f>
        <x:v>0</x:v>
      </x:c>
      <x:c r="D219" t="n">
        <x:f>Match_Data!E219</x:f>
        <x:v>0</x:v>
      </x:c>
      <x:c r="E219" t="n">
        <x:f>Match_Data!F219</x:f>
        <x:v>0</x:v>
      </x:c>
      <x:c r="F219" t="n">
        <x:f>Match_Data!AC219</x:f>
        <x:v>0</x:v>
      </x:c>
      <x:c r="G219" t="str">
        <x:f>IF(OR(Match_Data!K219="",Match_Data!L219=""),"",AVERAGE(Match_Data!K219:L219))</x:f>
      </x:c>
      <x:c r="H219" t="str">
        <x:f>IF(OR(Match_Data!M219="",Match_Data!N219=""),"",AVERAGE(Match_Data!M219:N219))</x:f>
      </x:c>
      <x:c r="I219" t="str">
        <x:f>IF(OR(Match_Data!O219="",Match_Data!Q219=""),"",Match_Data!O219+Match_Data!Q219)</x:f>
      </x:c>
      <x:c r="J219" t="str">
        <x:f>IF(OR(Match_Data!P219="",Match_Data!R219=""),"",Match_Data!P219+Match_Data!R219)</x:f>
      </x:c>
      <x:c r="K219" t="str">
        <x:f>IF(OR(Match_Data!S219="",Match_Data!T219=""),"",Match_Data!S219+Match_Data!T219)</x:f>
      </x:c>
      <x:c r="L219" t="str">
        <x:f>IF(OR(Match_Data!U219="",Match_Data!V219=""),"",Match_Data!U219-Match_Data!V219)</x:f>
      </x:c>
      <x:c r="M219" s="32" t="str">
        <x:f>IF(Match_Data!Y219="","",1/Match_Data!Y219)</x:f>
      </x:c>
      <x:c r="N219" s="32" t="str">
        <x:f>IF(Match_Data!AA219="","",1/Match_Data!AA219)</x:f>
      </x:c>
      <x:c r="O219" s="32" t="str">
        <x:f>IF(OR(M219="",N219=""),"",N219-M219)</x:f>
      </x:c>
      <x:c r="P219" t="str">
        <x:f>IF(Match_Data!J219="","",IF(Match_Data!J219="OVER",1,0))</x:f>
      </x:c>
    </x:row>
    <x:row r="220">
      <x:c r="A220" t="n">
        <x:f>Match_Data!A220</x:f>
        <x:v>0</x:v>
      </x:c>
      <x:c r="B220" s="28" t="n">
        <x:f>Match_Data!B220</x:f>
        <x:v>0</x:v>
      </x:c>
      <x:c r="C220" t="n">
        <x:f>Match_Data!C220</x:f>
        <x:v>0</x:v>
      </x:c>
      <x:c r="D220" t="n">
        <x:f>Match_Data!E220</x:f>
        <x:v>0</x:v>
      </x:c>
      <x:c r="E220" t="n">
        <x:f>Match_Data!F220</x:f>
        <x:v>0</x:v>
      </x:c>
      <x:c r="F220" t="n">
        <x:f>Match_Data!AC220</x:f>
        <x:v>0</x:v>
      </x:c>
      <x:c r="G220" t="str">
        <x:f>IF(OR(Match_Data!K220="",Match_Data!L220=""),"",AVERAGE(Match_Data!K220:L220))</x:f>
      </x:c>
      <x:c r="H220" t="str">
        <x:f>IF(OR(Match_Data!M220="",Match_Data!N220=""),"",AVERAGE(Match_Data!M220:N220))</x:f>
      </x:c>
      <x:c r="I220" t="str">
        <x:f>IF(OR(Match_Data!O220="",Match_Data!Q220=""),"",Match_Data!O220+Match_Data!Q220)</x:f>
      </x:c>
      <x:c r="J220" t="str">
        <x:f>IF(OR(Match_Data!P220="",Match_Data!R220=""),"",Match_Data!P220+Match_Data!R220)</x:f>
      </x:c>
      <x:c r="K220" t="str">
        <x:f>IF(OR(Match_Data!S220="",Match_Data!T220=""),"",Match_Data!S220+Match_Data!T220)</x:f>
      </x:c>
      <x:c r="L220" t="str">
        <x:f>IF(OR(Match_Data!U220="",Match_Data!V220=""),"",Match_Data!U220-Match_Data!V220)</x:f>
      </x:c>
      <x:c r="M220" s="32" t="str">
        <x:f>IF(Match_Data!Y220="","",1/Match_Data!Y220)</x:f>
      </x:c>
      <x:c r="N220" s="32" t="str">
        <x:f>IF(Match_Data!AA220="","",1/Match_Data!AA220)</x:f>
      </x:c>
      <x:c r="O220" s="32" t="str">
        <x:f>IF(OR(M220="",N220=""),"",N220-M220)</x:f>
      </x:c>
      <x:c r="P220" t="str">
        <x:f>IF(Match_Data!J220="","",IF(Match_Data!J220="OVER",1,0))</x:f>
      </x:c>
    </x:row>
    <x:row r="221">
      <x:c r="A221" t="n">
        <x:f>Match_Data!A221</x:f>
        <x:v>0</x:v>
      </x:c>
      <x:c r="B221" s="28" t="n">
        <x:f>Match_Data!B221</x:f>
        <x:v>0</x:v>
      </x:c>
      <x:c r="C221" t="n">
        <x:f>Match_Data!C221</x:f>
        <x:v>0</x:v>
      </x:c>
      <x:c r="D221" t="n">
        <x:f>Match_Data!E221</x:f>
        <x:v>0</x:v>
      </x:c>
      <x:c r="E221" t="n">
        <x:f>Match_Data!F221</x:f>
        <x:v>0</x:v>
      </x:c>
      <x:c r="F221" t="n">
        <x:f>Match_Data!AC221</x:f>
        <x:v>0</x:v>
      </x:c>
      <x:c r="G221" t="str">
        <x:f>IF(OR(Match_Data!K221="",Match_Data!L221=""),"",AVERAGE(Match_Data!K221:L221))</x:f>
      </x:c>
      <x:c r="H221" t="str">
        <x:f>IF(OR(Match_Data!M221="",Match_Data!N221=""),"",AVERAGE(Match_Data!M221:N221))</x:f>
      </x:c>
      <x:c r="I221" t="str">
        <x:f>IF(OR(Match_Data!O221="",Match_Data!Q221=""),"",Match_Data!O221+Match_Data!Q221)</x:f>
      </x:c>
      <x:c r="J221" t="str">
        <x:f>IF(OR(Match_Data!P221="",Match_Data!R221=""),"",Match_Data!P221+Match_Data!R221)</x:f>
      </x:c>
      <x:c r="K221" t="str">
        <x:f>IF(OR(Match_Data!S221="",Match_Data!T221=""),"",Match_Data!S221+Match_Data!T221)</x:f>
      </x:c>
      <x:c r="L221" t="str">
        <x:f>IF(OR(Match_Data!U221="",Match_Data!V221=""),"",Match_Data!U221-Match_Data!V221)</x:f>
      </x:c>
      <x:c r="M221" s="32" t="str">
        <x:f>IF(Match_Data!Y221="","",1/Match_Data!Y221)</x:f>
      </x:c>
      <x:c r="N221" s="32" t="str">
        <x:f>IF(Match_Data!AA221="","",1/Match_Data!AA221)</x:f>
      </x:c>
      <x:c r="O221" s="32" t="str">
        <x:f>IF(OR(M221="",N221=""),"",N221-M221)</x:f>
      </x:c>
      <x:c r="P221" t="str">
        <x:f>IF(Match_Data!J221="","",IF(Match_Data!J221="OVER",1,0))</x:f>
      </x:c>
    </x:row>
    <x:row r="222">
      <x:c r="A222" t="n">
        <x:f>Match_Data!A222</x:f>
        <x:v>0</x:v>
      </x:c>
      <x:c r="B222" s="28" t="n">
        <x:f>Match_Data!B222</x:f>
        <x:v>0</x:v>
      </x:c>
      <x:c r="C222" t="n">
        <x:f>Match_Data!C222</x:f>
        <x:v>0</x:v>
      </x:c>
      <x:c r="D222" t="n">
        <x:f>Match_Data!E222</x:f>
        <x:v>0</x:v>
      </x:c>
      <x:c r="E222" t="n">
        <x:f>Match_Data!F222</x:f>
        <x:v>0</x:v>
      </x:c>
      <x:c r="F222" t="n">
        <x:f>Match_Data!AC222</x:f>
        <x:v>0</x:v>
      </x:c>
      <x:c r="G222" t="str">
        <x:f>IF(OR(Match_Data!K222="",Match_Data!L222=""),"",AVERAGE(Match_Data!K222:L222))</x:f>
      </x:c>
      <x:c r="H222" t="str">
        <x:f>IF(OR(Match_Data!M222="",Match_Data!N222=""),"",AVERAGE(Match_Data!M222:N222))</x:f>
      </x:c>
      <x:c r="I222" t="str">
        <x:f>IF(OR(Match_Data!O222="",Match_Data!Q222=""),"",Match_Data!O222+Match_Data!Q222)</x:f>
      </x:c>
      <x:c r="J222" t="str">
        <x:f>IF(OR(Match_Data!P222="",Match_Data!R222=""),"",Match_Data!P222+Match_Data!R222)</x:f>
      </x:c>
      <x:c r="K222" t="str">
        <x:f>IF(OR(Match_Data!S222="",Match_Data!T222=""),"",Match_Data!S222+Match_Data!T222)</x:f>
      </x:c>
      <x:c r="L222" t="str">
        <x:f>IF(OR(Match_Data!U222="",Match_Data!V222=""),"",Match_Data!U222-Match_Data!V222)</x:f>
      </x:c>
      <x:c r="M222" s="32" t="str">
        <x:f>IF(Match_Data!Y222="","",1/Match_Data!Y222)</x:f>
      </x:c>
      <x:c r="N222" s="32" t="str">
        <x:f>IF(Match_Data!AA222="","",1/Match_Data!AA222)</x:f>
      </x:c>
      <x:c r="O222" s="32" t="str">
        <x:f>IF(OR(M222="",N222=""),"",N222-M222)</x:f>
      </x:c>
      <x:c r="P222" t="str">
        <x:f>IF(Match_Data!J222="","",IF(Match_Data!J222="OVER",1,0))</x:f>
      </x:c>
    </x:row>
    <x:row r="223">
      <x:c r="A223" t="n">
        <x:f>Match_Data!A223</x:f>
        <x:v>0</x:v>
      </x:c>
      <x:c r="B223" s="28" t="n">
        <x:f>Match_Data!B223</x:f>
        <x:v>0</x:v>
      </x:c>
      <x:c r="C223" t="n">
        <x:f>Match_Data!C223</x:f>
        <x:v>0</x:v>
      </x:c>
      <x:c r="D223" t="n">
        <x:f>Match_Data!E223</x:f>
        <x:v>0</x:v>
      </x:c>
      <x:c r="E223" t="n">
        <x:f>Match_Data!F223</x:f>
        <x:v>0</x:v>
      </x:c>
      <x:c r="F223" t="n">
        <x:f>Match_Data!AC223</x:f>
        <x:v>0</x:v>
      </x:c>
      <x:c r="G223" t="str">
        <x:f>IF(OR(Match_Data!K223="",Match_Data!L223=""),"",AVERAGE(Match_Data!K223:L223))</x:f>
      </x:c>
      <x:c r="H223" t="str">
        <x:f>IF(OR(Match_Data!M223="",Match_Data!N223=""),"",AVERAGE(Match_Data!M223:N223))</x:f>
      </x:c>
      <x:c r="I223" t="str">
        <x:f>IF(OR(Match_Data!O223="",Match_Data!Q223=""),"",Match_Data!O223+Match_Data!Q223)</x:f>
      </x:c>
      <x:c r="J223" t="str">
        <x:f>IF(OR(Match_Data!P223="",Match_Data!R223=""),"",Match_Data!P223+Match_Data!R223)</x:f>
      </x:c>
      <x:c r="K223" t="str">
        <x:f>IF(OR(Match_Data!S223="",Match_Data!T223=""),"",Match_Data!S223+Match_Data!T223)</x:f>
      </x:c>
      <x:c r="L223" t="str">
        <x:f>IF(OR(Match_Data!U223="",Match_Data!V223=""),"",Match_Data!U223-Match_Data!V223)</x:f>
      </x:c>
      <x:c r="M223" s="32" t="str">
        <x:f>IF(Match_Data!Y223="","",1/Match_Data!Y223)</x:f>
      </x:c>
      <x:c r="N223" s="32" t="str">
        <x:f>IF(Match_Data!AA223="","",1/Match_Data!AA223)</x:f>
      </x:c>
      <x:c r="O223" s="32" t="str">
        <x:f>IF(OR(M223="",N223=""),"",N223-M223)</x:f>
      </x:c>
      <x:c r="P223" t="str">
        <x:f>IF(Match_Data!J223="","",IF(Match_Data!J223="OVER",1,0))</x:f>
      </x:c>
    </x:row>
    <x:row r="224">
      <x:c r="A224" t="n">
        <x:f>Match_Data!A224</x:f>
        <x:v>0</x:v>
      </x:c>
      <x:c r="B224" s="28" t="n">
        <x:f>Match_Data!B224</x:f>
        <x:v>0</x:v>
      </x:c>
      <x:c r="C224" t="n">
        <x:f>Match_Data!C224</x:f>
        <x:v>0</x:v>
      </x:c>
      <x:c r="D224" t="n">
        <x:f>Match_Data!E224</x:f>
        <x:v>0</x:v>
      </x:c>
      <x:c r="E224" t="n">
        <x:f>Match_Data!F224</x:f>
        <x:v>0</x:v>
      </x:c>
      <x:c r="F224" t="n">
        <x:f>Match_Data!AC224</x:f>
        <x:v>0</x:v>
      </x:c>
      <x:c r="G224" t="str">
        <x:f>IF(OR(Match_Data!K224="",Match_Data!L224=""),"",AVERAGE(Match_Data!K224:L224))</x:f>
      </x:c>
      <x:c r="H224" t="str">
        <x:f>IF(OR(Match_Data!M224="",Match_Data!N224=""),"",AVERAGE(Match_Data!M224:N224))</x:f>
      </x:c>
      <x:c r="I224" t="str">
        <x:f>IF(OR(Match_Data!O224="",Match_Data!Q224=""),"",Match_Data!O224+Match_Data!Q224)</x:f>
      </x:c>
      <x:c r="J224" t="str">
        <x:f>IF(OR(Match_Data!P224="",Match_Data!R224=""),"",Match_Data!P224+Match_Data!R224)</x:f>
      </x:c>
      <x:c r="K224" t="str">
        <x:f>IF(OR(Match_Data!S224="",Match_Data!T224=""),"",Match_Data!S224+Match_Data!T224)</x:f>
      </x:c>
      <x:c r="L224" t="str">
        <x:f>IF(OR(Match_Data!U224="",Match_Data!V224=""),"",Match_Data!U224-Match_Data!V224)</x:f>
      </x:c>
      <x:c r="M224" s="32" t="str">
        <x:f>IF(Match_Data!Y224="","",1/Match_Data!Y224)</x:f>
      </x:c>
      <x:c r="N224" s="32" t="str">
        <x:f>IF(Match_Data!AA224="","",1/Match_Data!AA224)</x:f>
      </x:c>
      <x:c r="O224" s="32" t="str">
        <x:f>IF(OR(M224="",N224=""),"",N224-M224)</x:f>
      </x:c>
      <x:c r="P224" t="str">
        <x:f>IF(Match_Data!J224="","",IF(Match_Data!J224="OVER",1,0))</x:f>
      </x:c>
    </x:row>
    <x:row r="225">
      <x:c r="A225" t="n">
        <x:f>Match_Data!A225</x:f>
        <x:v>0</x:v>
      </x:c>
      <x:c r="B225" s="28" t="n">
        <x:f>Match_Data!B225</x:f>
        <x:v>0</x:v>
      </x:c>
      <x:c r="C225" t="n">
        <x:f>Match_Data!C225</x:f>
        <x:v>0</x:v>
      </x:c>
      <x:c r="D225" t="n">
        <x:f>Match_Data!E225</x:f>
        <x:v>0</x:v>
      </x:c>
      <x:c r="E225" t="n">
        <x:f>Match_Data!F225</x:f>
        <x:v>0</x:v>
      </x:c>
      <x:c r="F225" t="n">
        <x:f>Match_Data!AC225</x:f>
        <x:v>0</x:v>
      </x:c>
      <x:c r="G225" t="str">
        <x:f>IF(OR(Match_Data!K225="",Match_Data!L225=""),"",AVERAGE(Match_Data!K225:L225))</x:f>
      </x:c>
      <x:c r="H225" t="str">
        <x:f>IF(OR(Match_Data!M225="",Match_Data!N225=""),"",AVERAGE(Match_Data!M225:N225))</x:f>
      </x:c>
      <x:c r="I225" t="str">
        <x:f>IF(OR(Match_Data!O225="",Match_Data!Q225=""),"",Match_Data!O225+Match_Data!Q225)</x:f>
      </x:c>
      <x:c r="J225" t="str">
        <x:f>IF(OR(Match_Data!P225="",Match_Data!R225=""),"",Match_Data!P225+Match_Data!R225)</x:f>
      </x:c>
      <x:c r="K225" t="str">
        <x:f>IF(OR(Match_Data!S225="",Match_Data!T225=""),"",Match_Data!S225+Match_Data!T225)</x:f>
      </x:c>
      <x:c r="L225" t="str">
        <x:f>IF(OR(Match_Data!U225="",Match_Data!V225=""),"",Match_Data!U225-Match_Data!V225)</x:f>
      </x:c>
      <x:c r="M225" s="32" t="str">
        <x:f>IF(Match_Data!Y225="","",1/Match_Data!Y225)</x:f>
      </x:c>
      <x:c r="N225" s="32" t="str">
        <x:f>IF(Match_Data!AA225="","",1/Match_Data!AA225)</x:f>
      </x:c>
      <x:c r="O225" s="32" t="str">
        <x:f>IF(OR(M225="",N225=""),"",N225-M225)</x:f>
      </x:c>
      <x:c r="P225" t="str">
        <x:f>IF(Match_Data!J225="","",IF(Match_Data!J225="OVER",1,0))</x:f>
      </x:c>
    </x:row>
    <x:row r="226">
      <x:c r="A226" t="n">
        <x:f>Match_Data!A226</x:f>
        <x:v>0</x:v>
      </x:c>
      <x:c r="B226" s="28" t="n">
        <x:f>Match_Data!B226</x:f>
        <x:v>0</x:v>
      </x:c>
      <x:c r="C226" t="n">
        <x:f>Match_Data!C226</x:f>
        <x:v>0</x:v>
      </x:c>
      <x:c r="D226" t="n">
        <x:f>Match_Data!E226</x:f>
        <x:v>0</x:v>
      </x:c>
      <x:c r="E226" t="n">
        <x:f>Match_Data!F226</x:f>
        <x:v>0</x:v>
      </x:c>
      <x:c r="F226" t="n">
        <x:f>Match_Data!AC226</x:f>
        <x:v>0</x:v>
      </x:c>
      <x:c r="G226" t="str">
        <x:f>IF(OR(Match_Data!K226="",Match_Data!L226=""),"",AVERAGE(Match_Data!K226:L226))</x:f>
      </x:c>
      <x:c r="H226" t="str">
        <x:f>IF(OR(Match_Data!M226="",Match_Data!N226=""),"",AVERAGE(Match_Data!M226:N226))</x:f>
      </x:c>
      <x:c r="I226" t="str">
        <x:f>IF(OR(Match_Data!O226="",Match_Data!Q226=""),"",Match_Data!O226+Match_Data!Q226)</x:f>
      </x:c>
      <x:c r="J226" t="str">
        <x:f>IF(OR(Match_Data!P226="",Match_Data!R226=""),"",Match_Data!P226+Match_Data!R226)</x:f>
      </x:c>
      <x:c r="K226" t="str">
        <x:f>IF(OR(Match_Data!S226="",Match_Data!T226=""),"",Match_Data!S226+Match_Data!T226)</x:f>
      </x:c>
      <x:c r="L226" t="str">
        <x:f>IF(OR(Match_Data!U226="",Match_Data!V226=""),"",Match_Data!U226-Match_Data!V226)</x:f>
      </x:c>
      <x:c r="M226" s="32" t="str">
        <x:f>IF(Match_Data!Y226="","",1/Match_Data!Y226)</x:f>
      </x:c>
      <x:c r="N226" s="32" t="str">
        <x:f>IF(Match_Data!AA226="","",1/Match_Data!AA226)</x:f>
      </x:c>
      <x:c r="O226" s="32" t="str">
        <x:f>IF(OR(M226="",N226=""),"",N226-M226)</x:f>
      </x:c>
      <x:c r="P226" t="str">
        <x:f>IF(Match_Data!J226="","",IF(Match_Data!J226="OVER",1,0))</x:f>
      </x:c>
    </x:row>
    <x:row r="227">
      <x:c r="A227" t="n">
        <x:f>Match_Data!A227</x:f>
        <x:v>0</x:v>
      </x:c>
      <x:c r="B227" s="28" t="n">
        <x:f>Match_Data!B227</x:f>
        <x:v>0</x:v>
      </x:c>
      <x:c r="C227" t="n">
        <x:f>Match_Data!C227</x:f>
        <x:v>0</x:v>
      </x:c>
      <x:c r="D227" t="n">
        <x:f>Match_Data!E227</x:f>
        <x:v>0</x:v>
      </x:c>
      <x:c r="E227" t="n">
        <x:f>Match_Data!F227</x:f>
        <x:v>0</x:v>
      </x:c>
      <x:c r="F227" t="n">
        <x:f>Match_Data!AC227</x:f>
        <x:v>0</x:v>
      </x:c>
      <x:c r="G227" t="str">
        <x:f>IF(OR(Match_Data!K227="",Match_Data!L227=""),"",AVERAGE(Match_Data!K227:L227))</x:f>
      </x:c>
      <x:c r="H227" t="str">
        <x:f>IF(OR(Match_Data!M227="",Match_Data!N227=""),"",AVERAGE(Match_Data!M227:N227))</x:f>
      </x:c>
      <x:c r="I227" t="str">
        <x:f>IF(OR(Match_Data!O227="",Match_Data!Q227=""),"",Match_Data!O227+Match_Data!Q227)</x:f>
      </x:c>
      <x:c r="J227" t="str">
        <x:f>IF(OR(Match_Data!P227="",Match_Data!R227=""),"",Match_Data!P227+Match_Data!R227)</x:f>
      </x:c>
      <x:c r="K227" t="str">
        <x:f>IF(OR(Match_Data!S227="",Match_Data!T227=""),"",Match_Data!S227+Match_Data!T227)</x:f>
      </x:c>
      <x:c r="L227" t="str">
        <x:f>IF(OR(Match_Data!U227="",Match_Data!V227=""),"",Match_Data!U227-Match_Data!V227)</x:f>
      </x:c>
      <x:c r="M227" s="32" t="str">
        <x:f>IF(Match_Data!Y227="","",1/Match_Data!Y227)</x:f>
      </x:c>
      <x:c r="N227" s="32" t="str">
        <x:f>IF(Match_Data!AA227="","",1/Match_Data!AA227)</x:f>
      </x:c>
      <x:c r="O227" s="32" t="str">
        <x:f>IF(OR(M227="",N227=""),"",N227-M227)</x:f>
      </x:c>
      <x:c r="P227" t="str">
        <x:f>IF(Match_Data!J227="","",IF(Match_Data!J227="OVER",1,0))</x:f>
      </x:c>
    </x:row>
    <x:row r="228">
      <x:c r="A228" t="n">
        <x:f>Match_Data!A228</x:f>
        <x:v>0</x:v>
      </x:c>
      <x:c r="B228" s="28" t="n">
        <x:f>Match_Data!B228</x:f>
        <x:v>0</x:v>
      </x:c>
      <x:c r="C228" t="n">
        <x:f>Match_Data!C228</x:f>
        <x:v>0</x:v>
      </x:c>
      <x:c r="D228" t="n">
        <x:f>Match_Data!E228</x:f>
        <x:v>0</x:v>
      </x:c>
      <x:c r="E228" t="n">
        <x:f>Match_Data!F228</x:f>
        <x:v>0</x:v>
      </x:c>
      <x:c r="F228" t="n">
        <x:f>Match_Data!AC228</x:f>
        <x:v>0</x:v>
      </x:c>
      <x:c r="G228" t="str">
        <x:f>IF(OR(Match_Data!K228="",Match_Data!L228=""),"",AVERAGE(Match_Data!K228:L228))</x:f>
      </x:c>
      <x:c r="H228" t="str">
        <x:f>IF(OR(Match_Data!M228="",Match_Data!N228=""),"",AVERAGE(Match_Data!M228:N228))</x:f>
      </x:c>
      <x:c r="I228" t="str">
        <x:f>IF(OR(Match_Data!O228="",Match_Data!Q228=""),"",Match_Data!O228+Match_Data!Q228)</x:f>
      </x:c>
      <x:c r="J228" t="str">
        <x:f>IF(OR(Match_Data!P228="",Match_Data!R228=""),"",Match_Data!P228+Match_Data!R228)</x:f>
      </x:c>
      <x:c r="K228" t="str">
        <x:f>IF(OR(Match_Data!S228="",Match_Data!T228=""),"",Match_Data!S228+Match_Data!T228)</x:f>
      </x:c>
      <x:c r="L228" t="str">
        <x:f>IF(OR(Match_Data!U228="",Match_Data!V228=""),"",Match_Data!U228-Match_Data!V228)</x:f>
      </x:c>
      <x:c r="M228" s="32" t="str">
        <x:f>IF(Match_Data!Y228="","",1/Match_Data!Y228)</x:f>
      </x:c>
      <x:c r="N228" s="32" t="str">
        <x:f>IF(Match_Data!AA228="","",1/Match_Data!AA228)</x:f>
      </x:c>
      <x:c r="O228" s="32" t="str">
        <x:f>IF(OR(M228="",N228=""),"",N228-M228)</x:f>
      </x:c>
      <x:c r="P228" t="str">
        <x:f>IF(Match_Data!J228="","",IF(Match_Data!J228="OVER",1,0))</x:f>
      </x:c>
    </x:row>
    <x:row r="229">
      <x:c r="A229" t="n">
        <x:f>Match_Data!A229</x:f>
        <x:v>0</x:v>
      </x:c>
      <x:c r="B229" s="28" t="n">
        <x:f>Match_Data!B229</x:f>
        <x:v>0</x:v>
      </x:c>
      <x:c r="C229" t="n">
        <x:f>Match_Data!C229</x:f>
        <x:v>0</x:v>
      </x:c>
      <x:c r="D229" t="n">
        <x:f>Match_Data!E229</x:f>
        <x:v>0</x:v>
      </x:c>
      <x:c r="E229" t="n">
        <x:f>Match_Data!F229</x:f>
        <x:v>0</x:v>
      </x:c>
      <x:c r="F229" t="n">
        <x:f>Match_Data!AC229</x:f>
        <x:v>0</x:v>
      </x:c>
      <x:c r="G229" t="str">
        <x:f>IF(OR(Match_Data!K229="",Match_Data!L229=""),"",AVERAGE(Match_Data!K229:L229))</x:f>
      </x:c>
      <x:c r="H229" t="str">
        <x:f>IF(OR(Match_Data!M229="",Match_Data!N229=""),"",AVERAGE(Match_Data!M229:N229))</x:f>
      </x:c>
      <x:c r="I229" t="str">
        <x:f>IF(OR(Match_Data!O229="",Match_Data!Q229=""),"",Match_Data!O229+Match_Data!Q229)</x:f>
      </x:c>
      <x:c r="J229" t="str">
        <x:f>IF(OR(Match_Data!P229="",Match_Data!R229=""),"",Match_Data!P229+Match_Data!R229)</x:f>
      </x:c>
      <x:c r="K229" t="str">
        <x:f>IF(OR(Match_Data!S229="",Match_Data!T229=""),"",Match_Data!S229+Match_Data!T229)</x:f>
      </x:c>
      <x:c r="L229" t="str">
        <x:f>IF(OR(Match_Data!U229="",Match_Data!V229=""),"",Match_Data!U229-Match_Data!V229)</x:f>
      </x:c>
      <x:c r="M229" s="32" t="str">
        <x:f>IF(Match_Data!Y229="","",1/Match_Data!Y229)</x:f>
      </x:c>
      <x:c r="N229" s="32" t="str">
        <x:f>IF(Match_Data!AA229="","",1/Match_Data!AA229)</x:f>
      </x:c>
      <x:c r="O229" s="32" t="str">
        <x:f>IF(OR(M229="",N229=""),"",N229-M229)</x:f>
      </x:c>
      <x:c r="P229" t="str">
        <x:f>IF(Match_Data!J229="","",IF(Match_Data!J229="OVER",1,0))</x:f>
      </x:c>
    </x:row>
    <x:row r="230">
      <x:c r="A230" t="n">
        <x:f>Match_Data!A230</x:f>
        <x:v>0</x:v>
      </x:c>
      <x:c r="B230" s="28" t="n">
        <x:f>Match_Data!B230</x:f>
        <x:v>0</x:v>
      </x:c>
      <x:c r="C230" t="n">
        <x:f>Match_Data!C230</x:f>
        <x:v>0</x:v>
      </x:c>
      <x:c r="D230" t="n">
        <x:f>Match_Data!E230</x:f>
        <x:v>0</x:v>
      </x:c>
      <x:c r="E230" t="n">
        <x:f>Match_Data!F230</x:f>
        <x:v>0</x:v>
      </x:c>
      <x:c r="F230" t="n">
        <x:f>Match_Data!AC230</x:f>
        <x:v>0</x:v>
      </x:c>
      <x:c r="G230" t="str">
        <x:f>IF(OR(Match_Data!K230="",Match_Data!L230=""),"",AVERAGE(Match_Data!K230:L230))</x:f>
      </x:c>
      <x:c r="H230" t="str">
        <x:f>IF(OR(Match_Data!M230="",Match_Data!N230=""),"",AVERAGE(Match_Data!M230:N230))</x:f>
      </x:c>
      <x:c r="I230" t="str">
        <x:f>IF(OR(Match_Data!O230="",Match_Data!Q230=""),"",Match_Data!O230+Match_Data!Q230)</x:f>
      </x:c>
      <x:c r="J230" t="str">
        <x:f>IF(OR(Match_Data!P230="",Match_Data!R230=""),"",Match_Data!P230+Match_Data!R230)</x:f>
      </x:c>
      <x:c r="K230" t="str">
        <x:f>IF(OR(Match_Data!S230="",Match_Data!T230=""),"",Match_Data!S230+Match_Data!T230)</x:f>
      </x:c>
      <x:c r="L230" t="str">
        <x:f>IF(OR(Match_Data!U230="",Match_Data!V230=""),"",Match_Data!U230-Match_Data!V230)</x:f>
      </x:c>
      <x:c r="M230" s="32" t="str">
        <x:f>IF(Match_Data!Y230="","",1/Match_Data!Y230)</x:f>
      </x:c>
      <x:c r="N230" s="32" t="str">
        <x:f>IF(Match_Data!AA230="","",1/Match_Data!AA230)</x:f>
      </x:c>
      <x:c r="O230" s="32" t="str">
        <x:f>IF(OR(M230="",N230=""),"",N230-M230)</x:f>
      </x:c>
      <x:c r="P230" t="str">
        <x:f>IF(Match_Data!J230="","",IF(Match_Data!J230="OVER",1,0))</x:f>
      </x:c>
    </x:row>
    <x:row r="231">
      <x:c r="A231" t="n">
        <x:f>Match_Data!A231</x:f>
        <x:v>0</x:v>
      </x:c>
      <x:c r="B231" s="28" t="n">
        <x:f>Match_Data!B231</x:f>
        <x:v>0</x:v>
      </x:c>
      <x:c r="C231" t="n">
        <x:f>Match_Data!C231</x:f>
        <x:v>0</x:v>
      </x:c>
      <x:c r="D231" t="n">
        <x:f>Match_Data!E231</x:f>
        <x:v>0</x:v>
      </x:c>
      <x:c r="E231" t="n">
        <x:f>Match_Data!F231</x:f>
        <x:v>0</x:v>
      </x:c>
      <x:c r="F231" t="n">
        <x:f>Match_Data!AC231</x:f>
        <x:v>0</x:v>
      </x:c>
      <x:c r="G231" t="str">
        <x:f>IF(OR(Match_Data!K231="",Match_Data!L231=""),"",AVERAGE(Match_Data!K231:L231))</x:f>
      </x:c>
      <x:c r="H231" t="str">
        <x:f>IF(OR(Match_Data!M231="",Match_Data!N231=""),"",AVERAGE(Match_Data!M231:N231))</x:f>
      </x:c>
      <x:c r="I231" t="str">
        <x:f>IF(OR(Match_Data!O231="",Match_Data!Q231=""),"",Match_Data!O231+Match_Data!Q231)</x:f>
      </x:c>
      <x:c r="J231" t="str">
        <x:f>IF(OR(Match_Data!P231="",Match_Data!R231=""),"",Match_Data!P231+Match_Data!R231)</x:f>
      </x:c>
      <x:c r="K231" t="str">
        <x:f>IF(OR(Match_Data!S231="",Match_Data!T231=""),"",Match_Data!S231+Match_Data!T231)</x:f>
      </x:c>
      <x:c r="L231" t="str">
        <x:f>IF(OR(Match_Data!U231="",Match_Data!V231=""),"",Match_Data!U231-Match_Data!V231)</x:f>
      </x:c>
      <x:c r="M231" s="32" t="str">
        <x:f>IF(Match_Data!Y231="","",1/Match_Data!Y231)</x:f>
      </x:c>
      <x:c r="N231" s="32" t="str">
        <x:f>IF(Match_Data!AA231="","",1/Match_Data!AA231)</x:f>
      </x:c>
      <x:c r="O231" s="32" t="str">
        <x:f>IF(OR(M231="",N231=""),"",N231-M231)</x:f>
      </x:c>
      <x:c r="P231" t="str">
        <x:f>IF(Match_Data!J231="","",IF(Match_Data!J231="OVER",1,0))</x:f>
      </x:c>
    </x:row>
    <x:row r="232">
      <x:c r="A232" t="n">
        <x:f>Match_Data!A232</x:f>
        <x:v>0</x:v>
      </x:c>
      <x:c r="B232" s="28" t="n">
        <x:f>Match_Data!B232</x:f>
        <x:v>0</x:v>
      </x:c>
      <x:c r="C232" t="n">
        <x:f>Match_Data!C232</x:f>
        <x:v>0</x:v>
      </x:c>
      <x:c r="D232" t="n">
        <x:f>Match_Data!E232</x:f>
        <x:v>0</x:v>
      </x:c>
      <x:c r="E232" t="n">
        <x:f>Match_Data!F232</x:f>
        <x:v>0</x:v>
      </x:c>
      <x:c r="F232" t="n">
        <x:f>Match_Data!AC232</x:f>
        <x:v>0</x:v>
      </x:c>
      <x:c r="G232" t="str">
        <x:f>IF(OR(Match_Data!K232="",Match_Data!L232=""),"",AVERAGE(Match_Data!K232:L232))</x:f>
      </x:c>
      <x:c r="H232" t="str">
        <x:f>IF(OR(Match_Data!M232="",Match_Data!N232=""),"",AVERAGE(Match_Data!M232:N232))</x:f>
      </x:c>
      <x:c r="I232" t="str">
        <x:f>IF(OR(Match_Data!O232="",Match_Data!Q232=""),"",Match_Data!O232+Match_Data!Q232)</x:f>
      </x:c>
      <x:c r="J232" t="str">
        <x:f>IF(OR(Match_Data!P232="",Match_Data!R232=""),"",Match_Data!P232+Match_Data!R232)</x:f>
      </x:c>
      <x:c r="K232" t="str">
        <x:f>IF(OR(Match_Data!S232="",Match_Data!T232=""),"",Match_Data!S232+Match_Data!T232)</x:f>
      </x:c>
      <x:c r="L232" t="str">
        <x:f>IF(OR(Match_Data!U232="",Match_Data!V232=""),"",Match_Data!U232-Match_Data!V232)</x:f>
      </x:c>
      <x:c r="M232" s="32" t="str">
        <x:f>IF(Match_Data!Y232="","",1/Match_Data!Y232)</x:f>
      </x:c>
      <x:c r="N232" s="32" t="str">
        <x:f>IF(Match_Data!AA232="","",1/Match_Data!AA232)</x:f>
      </x:c>
      <x:c r="O232" s="32" t="str">
        <x:f>IF(OR(M232="",N232=""),"",N232-M232)</x:f>
      </x:c>
      <x:c r="P232" t="str">
        <x:f>IF(Match_Data!J232="","",IF(Match_Data!J232="OVER",1,0))</x:f>
      </x:c>
    </x:row>
    <x:row r="233">
      <x:c r="A233" t="n">
        <x:f>Match_Data!A233</x:f>
        <x:v>0</x:v>
      </x:c>
      <x:c r="B233" s="28" t="n">
        <x:f>Match_Data!B233</x:f>
        <x:v>0</x:v>
      </x:c>
      <x:c r="C233" t="n">
        <x:f>Match_Data!C233</x:f>
        <x:v>0</x:v>
      </x:c>
      <x:c r="D233" t="n">
        <x:f>Match_Data!E233</x:f>
        <x:v>0</x:v>
      </x:c>
      <x:c r="E233" t="n">
        <x:f>Match_Data!F233</x:f>
        <x:v>0</x:v>
      </x:c>
      <x:c r="F233" t="n">
        <x:f>Match_Data!AC233</x:f>
        <x:v>0</x:v>
      </x:c>
      <x:c r="G233" t="str">
        <x:f>IF(OR(Match_Data!K233="",Match_Data!L233=""),"",AVERAGE(Match_Data!K233:L233))</x:f>
      </x:c>
      <x:c r="H233" t="str">
        <x:f>IF(OR(Match_Data!M233="",Match_Data!N233=""),"",AVERAGE(Match_Data!M233:N233))</x:f>
      </x:c>
      <x:c r="I233" t="str">
        <x:f>IF(OR(Match_Data!O233="",Match_Data!Q233=""),"",Match_Data!O233+Match_Data!Q233)</x:f>
      </x:c>
      <x:c r="J233" t="str">
        <x:f>IF(OR(Match_Data!P233="",Match_Data!R233=""),"",Match_Data!P233+Match_Data!R233)</x:f>
      </x:c>
      <x:c r="K233" t="str">
        <x:f>IF(OR(Match_Data!S233="",Match_Data!T233=""),"",Match_Data!S233+Match_Data!T233)</x:f>
      </x:c>
      <x:c r="L233" t="str">
        <x:f>IF(OR(Match_Data!U233="",Match_Data!V233=""),"",Match_Data!U233-Match_Data!V233)</x:f>
      </x:c>
      <x:c r="M233" s="32" t="str">
        <x:f>IF(Match_Data!Y233="","",1/Match_Data!Y233)</x:f>
      </x:c>
      <x:c r="N233" s="32" t="str">
        <x:f>IF(Match_Data!AA233="","",1/Match_Data!AA233)</x:f>
      </x:c>
      <x:c r="O233" s="32" t="str">
        <x:f>IF(OR(M233="",N233=""),"",N233-M233)</x:f>
      </x:c>
      <x:c r="P233" t="str">
        <x:f>IF(Match_Data!J233="","",IF(Match_Data!J233="OVER",1,0))</x:f>
      </x:c>
    </x:row>
    <x:row r="234">
      <x:c r="A234" t="n">
        <x:f>Match_Data!A234</x:f>
        <x:v>0</x:v>
      </x:c>
      <x:c r="B234" s="28" t="n">
        <x:f>Match_Data!B234</x:f>
        <x:v>0</x:v>
      </x:c>
      <x:c r="C234" t="n">
        <x:f>Match_Data!C234</x:f>
        <x:v>0</x:v>
      </x:c>
      <x:c r="D234" t="n">
        <x:f>Match_Data!E234</x:f>
        <x:v>0</x:v>
      </x:c>
      <x:c r="E234" t="n">
        <x:f>Match_Data!F234</x:f>
        <x:v>0</x:v>
      </x:c>
      <x:c r="F234" t="n">
        <x:f>Match_Data!AC234</x:f>
        <x:v>0</x:v>
      </x:c>
      <x:c r="G234" t="str">
        <x:f>IF(OR(Match_Data!K234="",Match_Data!L234=""),"",AVERAGE(Match_Data!K234:L234))</x:f>
      </x:c>
      <x:c r="H234" t="str">
        <x:f>IF(OR(Match_Data!M234="",Match_Data!N234=""),"",AVERAGE(Match_Data!M234:N234))</x:f>
      </x:c>
      <x:c r="I234" t="str">
        <x:f>IF(OR(Match_Data!O234="",Match_Data!Q234=""),"",Match_Data!O234+Match_Data!Q234)</x:f>
      </x:c>
      <x:c r="J234" t="str">
        <x:f>IF(OR(Match_Data!P234="",Match_Data!R234=""),"",Match_Data!P234+Match_Data!R234)</x:f>
      </x:c>
      <x:c r="K234" t="str">
        <x:f>IF(OR(Match_Data!S234="",Match_Data!T234=""),"",Match_Data!S234+Match_Data!T234)</x:f>
      </x:c>
      <x:c r="L234" t="str">
        <x:f>IF(OR(Match_Data!U234="",Match_Data!V234=""),"",Match_Data!U234-Match_Data!V234)</x:f>
      </x:c>
      <x:c r="M234" s="32" t="str">
        <x:f>IF(Match_Data!Y234="","",1/Match_Data!Y234)</x:f>
      </x:c>
      <x:c r="N234" s="32" t="str">
        <x:f>IF(Match_Data!AA234="","",1/Match_Data!AA234)</x:f>
      </x:c>
      <x:c r="O234" s="32" t="str">
        <x:f>IF(OR(M234="",N234=""),"",N234-M234)</x:f>
      </x:c>
      <x:c r="P234" t="str">
        <x:f>IF(Match_Data!J234="","",IF(Match_Data!J234="OVER",1,0))</x:f>
      </x:c>
    </x:row>
    <x:row r="235">
      <x:c r="A235" t="n">
        <x:f>Match_Data!A235</x:f>
        <x:v>0</x:v>
      </x:c>
      <x:c r="B235" s="28" t="n">
        <x:f>Match_Data!B235</x:f>
        <x:v>0</x:v>
      </x:c>
      <x:c r="C235" t="n">
        <x:f>Match_Data!C235</x:f>
        <x:v>0</x:v>
      </x:c>
      <x:c r="D235" t="n">
        <x:f>Match_Data!E235</x:f>
        <x:v>0</x:v>
      </x:c>
      <x:c r="E235" t="n">
        <x:f>Match_Data!F235</x:f>
        <x:v>0</x:v>
      </x:c>
      <x:c r="F235" t="n">
        <x:f>Match_Data!AC235</x:f>
        <x:v>0</x:v>
      </x:c>
      <x:c r="G235" t="str">
        <x:f>IF(OR(Match_Data!K235="",Match_Data!L235=""),"",AVERAGE(Match_Data!K235:L235))</x:f>
      </x:c>
      <x:c r="H235" t="str">
        <x:f>IF(OR(Match_Data!M235="",Match_Data!N235=""),"",AVERAGE(Match_Data!M235:N235))</x:f>
      </x:c>
      <x:c r="I235" t="str">
        <x:f>IF(OR(Match_Data!O235="",Match_Data!Q235=""),"",Match_Data!O235+Match_Data!Q235)</x:f>
      </x:c>
      <x:c r="J235" t="str">
        <x:f>IF(OR(Match_Data!P235="",Match_Data!R235=""),"",Match_Data!P235+Match_Data!R235)</x:f>
      </x:c>
      <x:c r="K235" t="str">
        <x:f>IF(OR(Match_Data!S235="",Match_Data!T235=""),"",Match_Data!S235+Match_Data!T235)</x:f>
      </x:c>
      <x:c r="L235" t="str">
        <x:f>IF(OR(Match_Data!U235="",Match_Data!V235=""),"",Match_Data!U235-Match_Data!V235)</x:f>
      </x:c>
      <x:c r="M235" s="32" t="str">
        <x:f>IF(Match_Data!Y235="","",1/Match_Data!Y235)</x:f>
      </x:c>
      <x:c r="N235" s="32" t="str">
        <x:f>IF(Match_Data!AA235="","",1/Match_Data!AA235)</x:f>
      </x:c>
      <x:c r="O235" s="32" t="str">
        <x:f>IF(OR(M235="",N235=""),"",N235-M235)</x:f>
      </x:c>
      <x:c r="P235" t="str">
        <x:f>IF(Match_Data!J235="","",IF(Match_Data!J235="OVER",1,0))</x:f>
      </x:c>
    </x:row>
    <x:row r="236">
      <x:c r="A236" t="n">
        <x:f>Match_Data!A236</x:f>
        <x:v>0</x:v>
      </x:c>
      <x:c r="B236" s="28" t="n">
        <x:f>Match_Data!B236</x:f>
        <x:v>0</x:v>
      </x:c>
      <x:c r="C236" t="n">
        <x:f>Match_Data!C236</x:f>
        <x:v>0</x:v>
      </x:c>
      <x:c r="D236" t="n">
        <x:f>Match_Data!E236</x:f>
        <x:v>0</x:v>
      </x:c>
      <x:c r="E236" t="n">
        <x:f>Match_Data!F236</x:f>
        <x:v>0</x:v>
      </x:c>
      <x:c r="F236" t="n">
        <x:f>Match_Data!AC236</x:f>
        <x:v>0</x:v>
      </x:c>
      <x:c r="G236" t="str">
        <x:f>IF(OR(Match_Data!K236="",Match_Data!L236=""),"",AVERAGE(Match_Data!K236:L236))</x:f>
      </x:c>
      <x:c r="H236" t="str">
        <x:f>IF(OR(Match_Data!M236="",Match_Data!N236=""),"",AVERAGE(Match_Data!M236:N236))</x:f>
      </x:c>
      <x:c r="I236" t="str">
        <x:f>IF(OR(Match_Data!O236="",Match_Data!Q236=""),"",Match_Data!O236+Match_Data!Q236)</x:f>
      </x:c>
      <x:c r="J236" t="str">
        <x:f>IF(OR(Match_Data!P236="",Match_Data!R236=""),"",Match_Data!P236+Match_Data!R236)</x:f>
      </x:c>
      <x:c r="K236" t="str">
        <x:f>IF(OR(Match_Data!S236="",Match_Data!T236=""),"",Match_Data!S236+Match_Data!T236)</x:f>
      </x:c>
      <x:c r="L236" t="str">
        <x:f>IF(OR(Match_Data!U236="",Match_Data!V236=""),"",Match_Data!U236-Match_Data!V236)</x:f>
      </x:c>
      <x:c r="M236" s="32" t="str">
        <x:f>IF(Match_Data!Y236="","",1/Match_Data!Y236)</x:f>
      </x:c>
      <x:c r="N236" s="32" t="str">
        <x:f>IF(Match_Data!AA236="","",1/Match_Data!AA236)</x:f>
      </x:c>
      <x:c r="O236" s="32" t="str">
        <x:f>IF(OR(M236="",N236=""),"",N236-M236)</x:f>
      </x:c>
      <x:c r="P236" t="str">
        <x:f>IF(Match_Data!J236="","",IF(Match_Data!J236="OVER",1,0))</x:f>
      </x:c>
    </x:row>
    <x:row r="237">
      <x:c r="A237" t="n">
        <x:f>Match_Data!A237</x:f>
        <x:v>0</x:v>
      </x:c>
      <x:c r="B237" s="28" t="n">
        <x:f>Match_Data!B237</x:f>
        <x:v>0</x:v>
      </x:c>
      <x:c r="C237" t="n">
        <x:f>Match_Data!C237</x:f>
        <x:v>0</x:v>
      </x:c>
      <x:c r="D237" t="n">
        <x:f>Match_Data!E237</x:f>
        <x:v>0</x:v>
      </x:c>
      <x:c r="E237" t="n">
        <x:f>Match_Data!F237</x:f>
        <x:v>0</x:v>
      </x:c>
      <x:c r="F237" t="n">
        <x:f>Match_Data!AC237</x:f>
        <x:v>0</x:v>
      </x:c>
      <x:c r="G237" t="str">
        <x:f>IF(OR(Match_Data!K237="",Match_Data!L237=""),"",AVERAGE(Match_Data!K237:L237))</x:f>
      </x:c>
      <x:c r="H237" t="str">
        <x:f>IF(OR(Match_Data!M237="",Match_Data!N237=""),"",AVERAGE(Match_Data!M237:N237))</x:f>
      </x:c>
      <x:c r="I237" t="str">
        <x:f>IF(OR(Match_Data!O237="",Match_Data!Q237=""),"",Match_Data!O237+Match_Data!Q237)</x:f>
      </x:c>
      <x:c r="J237" t="str">
        <x:f>IF(OR(Match_Data!P237="",Match_Data!R237=""),"",Match_Data!P237+Match_Data!R237)</x:f>
      </x:c>
      <x:c r="K237" t="str">
        <x:f>IF(OR(Match_Data!S237="",Match_Data!T237=""),"",Match_Data!S237+Match_Data!T237)</x:f>
      </x:c>
      <x:c r="L237" t="str">
        <x:f>IF(OR(Match_Data!U237="",Match_Data!V237=""),"",Match_Data!U237-Match_Data!V237)</x:f>
      </x:c>
      <x:c r="M237" s="32" t="str">
        <x:f>IF(Match_Data!Y237="","",1/Match_Data!Y237)</x:f>
      </x:c>
      <x:c r="N237" s="32" t="str">
        <x:f>IF(Match_Data!AA237="","",1/Match_Data!AA237)</x:f>
      </x:c>
      <x:c r="O237" s="32" t="str">
        <x:f>IF(OR(M237="",N237=""),"",N237-M237)</x:f>
      </x:c>
      <x:c r="P237" t="str">
        <x:f>IF(Match_Data!J237="","",IF(Match_Data!J237="OVER",1,0))</x:f>
      </x:c>
    </x:row>
    <x:row r="238">
      <x:c r="A238" t="n">
        <x:f>Match_Data!A238</x:f>
        <x:v>0</x:v>
      </x:c>
      <x:c r="B238" s="28" t="n">
        <x:f>Match_Data!B238</x:f>
        <x:v>0</x:v>
      </x:c>
      <x:c r="C238" t="n">
        <x:f>Match_Data!C238</x:f>
        <x:v>0</x:v>
      </x:c>
      <x:c r="D238" t="n">
        <x:f>Match_Data!E238</x:f>
        <x:v>0</x:v>
      </x:c>
      <x:c r="E238" t="n">
        <x:f>Match_Data!F238</x:f>
        <x:v>0</x:v>
      </x:c>
      <x:c r="F238" t="n">
        <x:f>Match_Data!AC238</x:f>
        <x:v>0</x:v>
      </x:c>
      <x:c r="G238" t="str">
        <x:f>IF(OR(Match_Data!K238="",Match_Data!L238=""),"",AVERAGE(Match_Data!K238:L238))</x:f>
      </x:c>
      <x:c r="H238" t="str">
        <x:f>IF(OR(Match_Data!M238="",Match_Data!N238=""),"",AVERAGE(Match_Data!M238:N238))</x:f>
      </x:c>
      <x:c r="I238" t="str">
        <x:f>IF(OR(Match_Data!O238="",Match_Data!Q238=""),"",Match_Data!O238+Match_Data!Q238)</x:f>
      </x:c>
      <x:c r="J238" t="str">
        <x:f>IF(OR(Match_Data!P238="",Match_Data!R238=""),"",Match_Data!P238+Match_Data!R238)</x:f>
      </x:c>
      <x:c r="K238" t="str">
        <x:f>IF(OR(Match_Data!S238="",Match_Data!T238=""),"",Match_Data!S238+Match_Data!T238)</x:f>
      </x:c>
      <x:c r="L238" t="str">
        <x:f>IF(OR(Match_Data!U238="",Match_Data!V238=""),"",Match_Data!U238-Match_Data!V238)</x:f>
      </x:c>
      <x:c r="M238" s="32" t="str">
        <x:f>IF(Match_Data!Y238="","",1/Match_Data!Y238)</x:f>
      </x:c>
      <x:c r="N238" s="32" t="str">
        <x:f>IF(Match_Data!AA238="","",1/Match_Data!AA238)</x:f>
      </x:c>
      <x:c r="O238" s="32" t="str">
        <x:f>IF(OR(M238="",N238=""),"",N238-M238)</x:f>
      </x:c>
      <x:c r="P238" t="str">
        <x:f>IF(Match_Data!J238="","",IF(Match_Data!J238="OVER",1,0))</x:f>
      </x:c>
    </x:row>
    <x:row r="239">
      <x:c r="A239" t="n">
        <x:f>Match_Data!A239</x:f>
        <x:v>0</x:v>
      </x:c>
      <x:c r="B239" s="28" t="n">
        <x:f>Match_Data!B239</x:f>
        <x:v>0</x:v>
      </x:c>
      <x:c r="C239" t="n">
        <x:f>Match_Data!C239</x:f>
        <x:v>0</x:v>
      </x:c>
      <x:c r="D239" t="n">
        <x:f>Match_Data!E239</x:f>
        <x:v>0</x:v>
      </x:c>
      <x:c r="E239" t="n">
        <x:f>Match_Data!F239</x:f>
        <x:v>0</x:v>
      </x:c>
      <x:c r="F239" t="n">
        <x:f>Match_Data!AC239</x:f>
        <x:v>0</x:v>
      </x:c>
      <x:c r="G239" t="str">
        <x:f>IF(OR(Match_Data!K239="",Match_Data!L239=""),"",AVERAGE(Match_Data!K239:L239))</x:f>
      </x:c>
      <x:c r="H239" t="str">
        <x:f>IF(OR(Match_Data!M239="",Match_Data!N239=""),"",AVERAGE(Match_Data!M239:N239))</x:f>
      </x:c>
      <x:c r="I239" t="str">
        <x:f>IF(OR(Match_Data!O239="",Match_Data!Q239=""),"",Match_Data!O239+Match_Data!Q239)</x:f>
      </x:c>
      <x:c r="J239" t="str">
        <x:f>IF(OR(Match_Data!P239="",Match_Data!R239=""),"",Match_Data!P239+Match_Data!R239)</x:f>
      </x:c>
      <x:c r="K239" t="str">
        <x:f>IF(OR(Match_Data!S239="",Match_Data!T239=""),"",Match_Data!S239+Match_Data!T239)</x:f>
      </x:c>
      <x:c r="L239" t="str">
        <x:f>IF(OR(Match_Data!U239="",Match_Data!V239=""),"",Match_Data!U239-Match_Data!V239)</x:f>
      </x:c>
      <x:c r="M239" s="32" t="str">
        <x:f>IF(Match_Data!Y239="","",1/Match_Data!Y239)</x:f>
      </x:c>
      <x:c r="N239" s="32" t="str">
        <x:f>IF(Match_Data!AA239="","",1/Match_Data!AA239)</x:f>
      </x:c>
      <x:c r="O239" s="32" t="str">
        <x:f>IF(OR(M239="",N239=""),"",N239-M239)</x:f>
      </x:c>
      <x:c r="P239" t="str">
        <x:f>IF(Match_Data!J239="","",IF(Match_Data!J239="OVER",1,0))</x:f>
      </x:c>
    </x:row>
    <x:row r="240">
      <x:c r="A240" t="n">
        <x:f>Match_Data!A240</x:f>
        <x:v>0</x:v>
      </x:c>
      <x:c r="B240" s="28" t="n">
        <x:f>Match_Data!B240</x:f>
        <x:v>0</x:v>
      </x:c>
      <x:c r="C240" t="n">
        <x:f>Match_Data!C240</x:f>
        <x:v>0</x:v>
      </x:c>
      <x:c r="D240" t="n">
        <x:f>Match_Data!E240</x:f>
        <x:v>0</x:v>
      </x:c>
      <x:c r="E240" t="n">
        <x:f>Match_Data!F240</x:f>
        <x:v>0</x:v>
      </x:c>
      <x:c r="F240" t="n">
        <x:f>Match_Data!AC240</x:f>
        <x:v>0</x:v>
      </x:c>
      <x:c r="G240" t="str">
        <x:f>IF(OR(Match_Data!K240="",Match_Data!L240=""),"",AVERAGE(Match_Data!K240:L240))</x:f>
      </x:c>
      <x:c r="H240" t="str">
        <x:f>IF(OR(Match_Data!M240="",Match_Data!N240=""),"",AVERAGE(Match_Data!M240:N240))</x:f>
      </x:c>
      <x:c r="I240" t="str">
        <x:f>IF(OR(Match_Data!O240="",Match_Data!Q240=""),"",Match_Data!O240+Match_Data!Q240)</x:f>
      </x:c>
      <x:c r="J240" t="str">
        <x:f>IF(OR(Match_Data!P240="",Match_Data!R240=""),"",Match_Data!P240+Match_Data!R240)</x:f>
      </x:c>
      <x:c r="K240" t="str">
        <x:f>IF(OR(Match_Data!S240="",Match_Data!T240=""),"",Match_Data!S240+Match_Data!T240)</x:f>
      </x:c>
      <x:c r="L240" t="str">
        <x:f>IF(OR(Match_Data!U240="",Match_Data!V240=""),"",Match_Data!U240-Match_Data!V240)</x:f>
      </x:c>
      <x:c r="M240" s="32" t="str">
        <x:f>IF(Match_Data!Y240="","",1/Match_Data!Y240)</x:f>
      </x:c>
      <x:c r="N240" s="32" t="str">
        <x:f>IF(Match_Data!AA240="","",1/Match_Data!AA240)</x:f>
      </x:c>
      <x:c r="O240" s="32" t="str">
        <x:f>IF(OR(M240="",N240=""),"",N240-M240)</x:f>
      </x:c>
      <x:c r="P240" t="str">
        <x:f>IF(Match_Data!J240="","",IF(Match_Data!J240="OVER",1,0))</x:f>
      </x:c>
    </x:row>
    <x:row r="241">
      <x:c r="A241" t="n">
        <x:f>Match_Data!A241</x:f>
        <x:v>0</x:v>
      </x:c>
      <x:c r="B241" s="28" t="n">
        <x:f>Match_Data!B241</x:f>
        <x:v>0</x:v>
      </x:c>
      <x:c r="C241" t="n">
        <x:f>Match_Data!C241</x:f>
        <x:v>0</x:v>
      </x:c>
      <x:c r="D241" t="n">
        <x:f>Match_Data!E241</x:f>
        <x:v>0</x:v>
      </x:c>
      <x:c r="E241" t="n">
        <x:f>Match_Data!F241</x:f>
        <x:v>0</x:v>
      </x:c>
      <x:c r="F241" t="n">
        <x:f>Match_Data!AC241</x:f>
        <x:v>0</x:v>
      </x:c>
      <x:c r="G241" t="str">
        <x:f>IF(OR(Match_Data!K241="",Match_Data!L241=""),"",AVERAGE(Match_Data!K241:L241))</x:f>
      </x:c>
      <x:c r="H241" t="str">
        <x:f>IF(OR(Match_Data!M241="",Match_Data!N241=""),"",AVERAGE(Match_Data!M241:N241))</x:f>
      </x:c>
      <x:c r="I241" t="str">
        <x:f>IF(OR(Match_Data!O241="",Match_Data!Q241=""),"",Match_Data!O241+Match_Data!Q241)</x:f>
      </x:c>
      <x:c r="J241" t="str">
        <x:f>IF(OR(Match_Data!P241="",Match_Data!R241=""),"",Match_Data!P241+Match_Data!R241)</x:f>
      </x:c>
      <x:c r="K241" t="str">
        <x:f>IF(OR(Match_Data!S241="",Match_Data!T241=""),"",Match_Data!S241+Match_Data!T241)</x:f>
      </x:c>
      <x:c r="L241" t="str">
        <x:f>IF(OR(Match_Data!U241="",Match_Data!V241=""),"",Match_Data!U241-Match_Data!V241)</x:f>
      </x:c>
      <x:c r="M241" s="32" t="str">
        <x:f>IF(Match_Data!Y241="","",1/Match_Data!Y241)</x:f>
      </x:c>
      <x:c r="N241" s="32" t="str">
        <x:f>IF(Match_Data!AA241="","",1/Match_Data!AA241)</x:f>
      </x:c>
      <x:c r="O241" s="32" t="str">
        <x:f>IF(OR(M241="",N241=""),"",N241-M241)</x:f>
      </x:c>
      <x:c r="P241" t="str">
        <x:f>IF(Match_Data!J241="","",IF(Match_Data!J241="OVER",1,0))</x:f>
      </x:c>
    </x:row>
    <x:row r="242">
      <x:c r="A242" t="n">
        <x:f>Match_Data!A242</x:f>
        <x:v>0</x:v>
      </x:c>
      <x:c r="B242" s="28" t="n">
        <x:f>Match_Data!B242</x:f>
        <x:v>0</x:v>
      </x:c>
      <x:c r="C242" t="n">
        <x:f>Match_Data!C242</x:f>
        <x:v>0</x:v>
      </x:c>
      <x:c r="D242" t="n">
        <x:f>Match_Data!E242</x:f>
        <x:v>0</x:v>
      </x:c>
      <x:c r="E242" t="n">
        <x:f>Match_Data!F242</x:f>
        <x:v>0</x:v>
      </x:c>
      <x:c r="F242" t="n">
        <x:f>Match_Data!AC242</x:f>
        <x:v>0</x:v>
      </x:c>
      <x:c r="G242" t="str">
        <x:f>IF(OR(Match_Data!K242="",Match_Data!L242=""),"",AVERAGE(Match_Data!K242:L242))</x:f>
      </x:c>
      <x:c r="H242" t="str">
        <x:f>IF(OR(Match_Data!M242="",Match_Data!N242=""),"",AVERAGE(Match_Data!M242:N242))</x:f>
      </x:c>
      <x:c r="I242" t="str">
        <x:f>IF(OR(Match_Data!O242="",Match_Data!Q242=""),"",Match_Data!O242+Match_Data!Q242)</x:f>
      </x:c>
      <x:c r="J242" t="str">
        <x:f>IF(OR(Match_Data!P242="",Match_Data!R242=""),"",Match_Data!P242+Match_Data!R242)</x:f>
      </x:c>
      <x:c r="K242" t="str">
        <x:f>IF(OR(Match_Data!S242="",Match_Data!T242=""),"",Match_Data!S242+Match_Data!T242)</x:f>
      </x:c>
      <x:c r="L242" t="str">
        <x:f>IF(OR(Match_Data!U242="",Match_Data!V242=""),"",Match_Data!U242-Match_Data!V242)</x:f>
      </x:c>
      <x:c r="M242" s="32" t="str">
        <x:f>IF(Match_Data!Y242="","",1/Match_Data!Y242)</x:f>
      </x:c>
      <x:c r="N242" s="32" t="str">
        <x:f>IF(Match_Data!AA242="","",1/Match_Data!AA242)</x:f>
      </x:c>
      <x:c r="O242" s="32" t="str">
        <x:f>IF(OR(M242="",N242=""),"",N242-M242)</x:f>
      </x:c>
      <x:c r="P242" t="str">
        <x:f>IF(Match_Data!J242="","",IF(Match_Data!J242="OVER",1,0))</x:f>
      </x:c>
    </x:row>
    <x:row r="243">
      <x:c r="A243" t="n">
        <x:f>Match_Data!A243</x:f>
        <x:v>0</x:v>
      </x:c>
      <x:c r="B243" s="28" t="n">
        <x:f>Match_Data!B243</x:f>
        <x:v>0</x:v>
      </x:c>
      <x:c r="C243" t="n">
        <x:f>Match_Data!C243</x:f>
        <x:v>0</x:v>
      </x:c>
      <x:c r="D243" t="n">
        <x:f>Match_Data!E243</x:f>
        <x:v>0</x:v>
      </x:c>
      <x:c r="E243" t="n">
        <x:f>Match_Data!F243</x:f>
        <x:v>0</x:v>
      </x:c>
      <x:c r="F243" t="n">
        <x:f>Match_Data!AC243</x:f>
        <x:v>0</x:v>
      </x:c>
      <x:c r="G243" t="str">
        <x:f>IF(OR(Match_Data!K243="",Match_Data!L243=""),"",AVERAGE(Match_Data!K243:L243))</x:f>
      </x:c>
      <x:c r="H243" t="str">
        <x:f>IF(OR(Match_Data!M243="",Match_Data!N243=""),"",AVERAGE(Match_Data!M243:N243))</x:f>
      </x:c>
      <x:c r="I243" t="str">
        <x:f>IF(OR(Match_Data!O243="",Match_Data!Q243=""),"",Match_Data!O243+Match_Data!Q243)</x:f>
      </x:c>
      <x:c r="J243" t="str">
        <x:f>IF(OR(Match_Data!P243="",Match_Data!R243=""),"",Match_Data!P243+Match_Data!R243)</x:f>
      </x:c>
      <x:c r="K243" t="str">
        <x:f>IF(OR(Match_Data!S243="",Match_Data!T243=""),"",Match_Data!S243+Match_Data!T243)</x:f>
      </x:c>
      <x:c r="L243" t="str">
        <x:f>IF(OR(Match_Data!U243="",Match_Data!V243=""),"",Match_Data!U243-Match_Data!V243)</x:f>
      </x:c>
      <x:c r="M243" s="32" t="str">
        <x:f>IF(Match_Data!Y243="","",1/Match_Data!Y243)</x:f>
      </x:c>
      <x:c r="N243" s="32" t="str">
        <x:f>IF(Match_Data!AA243="","",1/Match_Data!AA243)</x:f>
      </x:c>
      <x:c r="O243" s="32" t="str">
        <x:f>IF(OR(M243="",N243=""),"",N243-M243)</x:f>
      </x:c>
      <x:c r="P243" t="str">
        <x:f>IF(Match_Data!J243="","",IF(Match_Data!J243="OVER",1,0))</x:f>
      </x:c>
    </x:row>
    <x:row r="244">
      <x:c r="A244" t="n">
        <x:f>Match_Data!A244</x:f>
        <x:v>0</x:v>
      </x:c>
      <x:c r="B244" s="28" t="n">
        <x:f>Match_Data!B244</x:f>
        <x:v>0</x:v>
      </x:c>
      <x:c r="C244" t="n">
        <x:f>Match_Data!C244</x:f>
        <x:v>0</x:v>
      </x:c>
      <x:c r="D244" t="n">
        <x:f>Match_Data!E244</x:f>
        <x:v>0</x:v>
      </x:c>
      <x:c r="E244" t="n">
        <x:f>Match_Data!F244</x:f>
        <x:v>0</x:v>
      </x:c>
      <x:c r="F244" t="n">
        <x:f>Match_Data!AC244</x:f>
        <x:v>0</x:v>
      </x:c>
      <x:c r="G244" t="str">
        <x:f>IF(OR(Match_Data!K244="",Match_Data!L244=""),"",AVERAGE(Match_Data!K244:L244))</x:f>
      </x:c>
      <x:c r="H244" t="str">
        <x:f>IF(OR(Match_Data!M244="",Match_Data!N244=""),"",AVERAGE(Match_Data!M244:N244))</x:f>
      </x:c>
      <x:c r="I244" t="str">
        <x:f>IF(OR(Match_Data!O244="",Match_Data!Q244=""),"",Match_Data!O244+Match_Data!Q244)</x:f>
      </x:c>
      <x:c r="J244" t="str">
        <x:f>IF(OR(Match_Data!P244="",Match_Data!R244=""),"",Match_Data!P244+Match_Data!R244)</x:f>
      </x:c>
      <x:c r="K244" t="str">
        <x:f>IF(OR(Match_Data!S244="",Match_Data!T244=""),"",Match_Data!S244+Match_Data!T244)</x:f>
      </x:c>
      <x:c r="L244" t="str">
        <x:f>IF(OR(Match_Data!U244="",Match_Data!V244=""),"",Match_Data!U244-Match_Data!V244)</x:f>
      </x:c>
      <x:c r="M244" s="32" t="str">
        <x:f>IF(Match_Data!Y244="","",1/Match_Data!Y244)</x:f>
      </x:c>
      <x:c r="N244" s="32" t="str">
        <x:f>IF(Match_Data!AA244="","",1/Match_Data!AA244)</x:f>
      </x:c>
      <x:c r="O244" s="32" t="str">
        <x:f>IF(OR(M244="",N244=""),"",N244-M244)</x:f>
      </x:c>
      <x:c r="P244" t="str">
        <x:f>IF(Match_Data!J244="","",IF(Match_Data!J244="OVER",1,0))</x:f>
      </x:c>
    </x:row>
    <x:row r="245">
      <x:c r="A245" t="n">
        <x:f>Match_Data!A245</x:f>
        <x:v>0</x:v>
      </x:c>
      <x:c r="B245" s="28" t="n">
        <x:f>Match_Data!B245</x:f>
        <x:v>0</x:v>
      </x:c>
      <x:c r="C245" t="n">
        <x:f>Match_Data!C245</x:f>
        <x:v>0</x:v>
      </x:c>
      <x:c r="D245" t="n">
        <x:f>Match_Data!E245</x:f>
        <x:v>0</x:v>
      </x:c>
      <x:c r="E245" t="n">
        <x:f>Match_Data!F245</x:f>
        <x:v>0</x:v>
      </x:c>
      <x:c r="F245" t="n">
        <x:f>Match_Data!AC245</x:f>
        <x:v>0</x:v>
      </x:c>
      <x:c r="G245" t="str">
        <x:f>IF(OR(Match_Data!K245="",Match_Data!L245=""),"",AVERAGE(Match_Data!K245:L245))</x:f>
      </x:c>
      <x:c r="H245" t="str">
        <x:f>IF(OR(Match_Data!M245="",Match_Data!N245=""),"",AVERAGE(Match_Data!M245:N245))</x:f>
      </x:c>
      <x:c r="I245" t="str">
        <x:f>IF(OR(Match_Data!O245="",Match_Data!Q245=""),"",Match_Data!O245+Match_Data!Q245)</x:f>
      </x:c>
      <x:c r="J245" t="str">
        <x:f>IF(OR(Match_Data!P245="",Match_Data!R245=""),"",Match_Data!P245+Match_Data!R245)</x:f>
      </x:c>
      <x:c r="K245" t="str">
        <x:f>IF(OR(Match_Data!S245="",Match_Data!T245=""),"",Match_Data!S245+Match_Data!T245)</x:f>
      </x:c>
      <x:c r="L245" t="str">
        <x:f>IF(OR(Match_Data!U245="",Match_Data!V245=""),"",Match_Data!U245-Match_Data!V245)</x:f>
      </x:c>
      <x:c r="M245" s="32" t="str">
        <x:f>IF(Match_Data!Y245="","",1/Match_Data!Y245)</x:f>
      </x:c>
      <x:c r="N245" s="32" t="str">
        <x:f>IF(Match_Data!AA245="","",1/Match_Data!AA245)</x:f>
      </x:c>
      <x:c r="O245" s="32" t="str">
        <x:f>IF(OR(M245="",N245=""),"",N245-M245)</x:f>
      </x:c>
      <x:c r="P245" t="str">
        <x:f>IF(Match_Data!J245="","",IF(Match_Data!J245="OVER",1,0))</x:f>
      </x:c>
    </x:row>
    <x:row r="246">
      <x:c r="A246" t="n">
        <x:f>Match_Data!A246</x:f>
        <x:v>0</x:v>
      </x:c>
      <x:c r="B246" s="28" t="n">
        <x:f>Match_Data!B246</x:f>
        <x:v>0</x:v>
      </x:c>
      <x:c r="C246" t="n">
        <x:f>Match_Data!C246</x:f>
        <x:v>0</x:v>
      </x:c>
      <x:c r="D246" t="n">
        <x:f>Match_Data!E246</x:f>
        <x:v>0</x:v>
      </x:c>
      <x:c r="E246" t="n">
        <x:f>Match_Data!F246</x:f>
        <x:v>0</x:v>
      </x:c>
      <x:c r="F246" t="n">
        <x:f>Match_Data!AC246</x:f>
        <x:v>0</x:v>
      </x:c>
      <x:c r="G246" t="str">
        <x:f>IF(OR(Match_Data!K246="",Match_Data!L246=""),"",AVERAGE(Match_Data!K246:L246))</x:f>
      </x:c>
      <x:c r="H246" t="str">
        <x:f>IF(OR(Match_Data!M246="",Match_Data!N246=""),"",AVERAGE(Match_Data!M246:N246))</x:f>
      </x:c>
      <x:c r="I246" t="str">
        <x:f>IF(OR(Match_Data!O246="",Match_Data!Q246=""),"",Match_Data!O246+Match_Data!Q246)</x:f>
      </x:c>
      <x:c r="J246" t="str">
        <x:f>IF(OR(Match_Data!P246="",Match_Data!R246=""),"",Match_Data!P246+Match_Data!R246)</x:f>
      </x:c>
      <x:c r="K246" t="str">
        <x:f>IF(OR(Match_Data!S246="",Match_Data!T246=""),"",Match_Data!S246+Match_Data!T246)</x:f>
      </x:c>
      <x:c r="L246" t="str">
        <x:f>IF(OR(Match_Data!U246="",Match_Data!V246=""),"",Match_Data!U246-Match_Data!V246)</x:f>
      </x:c>
      <x:c r="M246" s="32" t="str">
        <x:f>IF(Match_Data!Y246="","",1/Match_Data!Y246)</x:f>
      </x:c>
      <x:c r="N246" s="32" t="str">
        <x:f>IF(Match_Data!AA246="","",1/Match_Data!AA246)</x:f>
      </x:c>
      <x:c r="O246" s="32" t="str">
        <x:f>IF(OR(M246="",N246=""),"",N246-M246)</x:f>
      </x:c>
      <x:c r="P246" t="str">
        <x:f>IF(Match_Data!J246="","",IF(Match_Data!J246="OVER",1,0))</x:f>
      </x:c>
    </x:row>
    <x:row r="247">
      <x:c r="A247" t="n">
        <x:f>Match_Data!A247</x:f>
        <x:v>0</x:v>
      </x:c>
      <x:c r="B247" s="28" t="n">
        <x:f>Match_Data!B247</x:f>
        <x:v>0</x:v>
      </x:c>
      <x:c r="C247" t="n">
        <x:f>Match_Data!C247</x:f>
        <x:v>0</x:v>
      </x:c>
      <x:c r="D247" t="n">
        <x:f>Match_Data!E247</x:f>
        <x:v>0</x:v>
      </x:c>
      <x:c r="E247" t="n">
        <x:f>Match_Data!F247</x:f>
        <x:v>0</x:v>
      </x:c>
      <x:c r="F247" t="n">
        <x:f>Match_Data!AC247</x:f>
        <x:v>0</x:v>
      </x:c>
      <x:c r="G247" t="str">
        <x:f>IF(OR(Match_Data!K247="",Match_Data!L247=""),"",AVERAGE(Match_Data!K247:L247))</x:f>
      </x:c>
      <x:c r="H247" t="str">
        <x:f>IF(OR(Match_Data!M247="",Match_Data!N247=""),"",AVERAGE(Match_Data!M247:N247))</x:f>
      </x:c>
      <x:c r="I247" t="str">
        <x:f>IF(OR(Match_Data!O247="",Match_Data!Q247=""),"",Match_Data!O247+Match_Data!Q247)</x:f>
      </x:c>
      <x:c r="J247" t="str">
        <x:f>IF(OR(Match_Data!P247="",Match_Data!R247=""),"",Match_Data!P247+Match_Data!R247)</x:f>
      </x:c>
      <x:c r="K247" t="str">
        <x:f>IF(OR(Match_Data!S247="",Match_Data!T247=""),"",Match_Data!S247+Match_Data!T247)</x:f>
      </x:c>
      <x:c r="L247" t="str">
        <x:f>IF(OR(Match_Data!U247="",Match_Data!V247=""),"",Match_Data!U247-Match_Data!V247)</x:f>
      </x:c>
      <x:c r="M247" s="32" t="str">
        <x:f>IF(Match_Data!Y247="","",1/Match_Data!Y247)</x:f>
      </x:c>
      <x:c r="N247" s="32" t="str">
        <x:f>IF(Match_Data!AA247="","",1/Match_Data!AA247)</x:f>
      </x:c>
      <x:c r="O247" s="32" t="str">
        <x:f>IF(OR(M247="",N247=""),"",N247-M247)</x:f>
      </x:c>
      <x:c r="P247" t="str">
        <x:f>IF(Match_Data!J247="","",IF(Match_Data!J247="OVER",1,0))</x:f>
      </x:c>
    </x:row>
    <x:row r="248">
      <x:c r="A248" t="n">
        <x:f>Match_Data!A248</x:f>
        <x:v>0</x:v>
      </x:c>
      <x:c r="B248" s="28" t="n">
        <x:f>Match_Data!B248</x:f>
        <x:v>0</x:v>
      </x:c>
      <x:c r="C248" t="n">
        <x:f>Match_Data!C248</x:f>
        <x:v>0</x:v>
      </x:c>
      <x:c r="D248" t="n">
        <x:f>Match_Data!E248</x:f>
        <x:v>0</x:v>
      </x:c>
      <x:c r="E248" t="n">
        <x:f>Match_Data!F248</x:f>
        <x:v>0</x:v>
      </x:c>
      <x:c r="F248" t="n">
        <x:f>Match_Data!AC248</x:f>
        <x:v>0</x:v>
      </x:c>
      <x:c r="G248" t="str">
        <x:f>IF(OR(Match_Data!K248="",Match_Data!L248=""),"",AVERAGE(Match_Data!K248:L248))</x:f>
      </x:c>
      <x:c r="H248" t="str">
        <x:f>IF(OR(Match_Data!M248="",Match_Data!N248=""),"",AVERAGE(Match_Data!M248:N248))</x:f>
      </x:c>
      <x:c r="I248" t="str">
        <x:f>IF(OR(Match_Data!O248="",Match_Data!Q248=""),"",Match_Data!O248+Match_Data!Q248)</x:f>
      </x:c>
      <x:c r="J248" t="str">
        <x:f>IF(OR(Match_Data!P248="",Match_Data!R248=""),"",Match_Data!P248+Match_Data!R248)</x:f>
      </x:c>
      <x:c r="K248" t="str">
        <x:f>IF(OR(Match_Data!S248="",Match_Data!T248=""),"",Match_Data!S248+Match_Data!T248)</x:f>
      </x:c>
      <x:c r="L248" t="str">
        <x:f>IF(OR(Match_Data!U248="",Match_Data!V248=""),"",Match_Data!U248-Match_Data!V248)</x:f>
      </x:c>
      <x:c r="M248" s="32" t="str">
        <x:f>IF(Match_Data!Y248="","",1/Match_Data!Y248)</x:f>
      </x:c>
      <x:c r="N248" s="32" t="str">
        <x:f>IF(Match_Data!AA248="","",1/Match_Data!AA248)</x:f>
      </x:c>
      <x:c r="O248" s="32" t="str">
        <x:f>IF(OR(M248="",N248=""),"",N248-M248)</x:f>
      </x:c>
      <x:c r="P248" t="str">
        <x:f>IF(Match_Data!J248="","",IF(Match_Data!J248="OVER",1,0))</x:f>
      </x:c>
    </x:row>
    <x:row r="249">
      <x:c r="A249" t="n">
        <x:f>Match_Data!A249</x:f>
        <x:v>0</x:v>
      </x:c>
      <x:c r="B249" s="28" t="n">
        <x:f>Match_Data!B249</x:f>
        <x:v>0</x:v>
      </x:c>
      <x:c r="C249" t="n">
        <x:f>Match_Data!C249</x:f>
        <x:v>0</x:v>
      </x:c>
      <x:c r="D249" t="n">
        <x:f>Match_Data!E249</x:f>
        <x:v>0</x:v>
      </x:c>
      <x:c r="E249" t="n">
        <x:f>Match_Data!F249</x:f>
        <x:v>0</x:v>
      </x:c>
      <x:c r="F249" t="n">
        <x:f>Match_Data!AC249</x:f>
        <x:v>0</x:v>
      </x:c>
      <x:c r="G249" t="str">
        <x:f>IF(OR(Match_Data!K249="",Match_Data!L249=""),"",AVERAGE(Match_Data!K249:L249))</x:f>
      </x:c>
      <x:c r="H249" t="str">
        <x:f>IF(OR(Match_Data!M249="",Match_Data!N249=""),"",AVERAGE(Match_Data!M249:N249))</x:f>
      </x:c>
      <x:c r="I249" t="str">
        <x:f>IF(OR(Match_Data!O249="",Match_Data!Q249=""),"",Match_Data!O249+Match_Data!Q249)</x:f>
      </x:c>
      <x:c r="J249" t="str">
        <x:f>IF(OR(Match_Data!P249="",Match_Data!R249=""),"",Match_Data!P249+Match_Data!R249)</x:f>
      </x:c>
      <x:c r="K249" t="str">
        <x:f>IF(OR(Match_Data!S249="",Match_Data!T249=""),"",Match_Data!S249+Match_Data!T249)</x:f>
      </x:c>
      <x:c r="L249" t="str">
        <x:f>IF(OR(Match_Data!U249="",Match_Data!V249=""),"",Match_Data!U249-Match_Data!V249)</x:f>
      </x:c>
      <x:c r="M249" s="32" t="str">
        <x:f>IF(Match_Data!Y249="","",1/Match_Data!Y249)</x:f>
      </x:c>
      <x:c r="N249" s="32" t="str">
        <x:f>IF(Match_Data!AA249="","",1/Match_Data!AA249)</x:f>
      </x:c>
      <x:c r="O249" s="32" t="str">
        <x:f>IF(OR(M249="",N249=""),"",N249-M249)</x:f>
      </x:c>
      <x:c r="P249" t="str">
        <x:f>IF(Match_Data!J249="","",IF(Match_Data!J249="OVER",1,0))</x:f>
      </x:c>
    </x:row>
    <x:row r="250">
      <x:c r="A250" t="n">
        <x:f>Match_Data!A250</x:f>
        <x:v>0</x:v>
      </x:c>
      <x:c r="B250" s="28" t="n">
        <x:f>Match_Data!B250</x:f>
        <x:v>0</x:v>
      </x:c>
      <x:c r="C250" t="n">
        <x:f>Match_Data!C250</x:f>
        <x:v>0</x:v>
      </x:c>
      <x:c r="D250" t="n">
        <x:f>Match_Data!E250</x:f>
        <x:v>0</x:v>
      </x:c>
      <x:c r="E250" t="n">
        <x:f>Match_Data!F250</x:f>
        <x:v>0</x:v>
      </x:c>
      <x:c r="F250" t="n">
        <x:f>Match_Data!AC250</x:f>
        <x:v>0</x:v>
      </x:c>
      <x:c r="G250" t="str">
        <x:f>IF(OR(Match_Data!K250="",Match_Data!L250=""),"",AVERAGE(Match_Data!K250:L250))</x:f>
      </x:c>
      <x:c r="H250" t="str">
        <x:f>IF(OR(Match_Data!M250="",Match_Data!N250=""),"",AVERAGE(Match_Data!M250:N250))</x:f>
      </x:c>
      <x:c r="I250" t="str">
        <x:f>IF(OR(Match_Data!O250="",Match_Data!Q250=""),"",Match_Data!O250+Match_Data!Q250)</x:f>
      </x:c>
      <x:c r="J250" t="str">
        <x:f>IF(OR(Match_Data!P250="",Match_Data!R250=""),"",Match_Data!P250+Match_Data!R250)</x:f>
      </x:c>
      <x:c r="K250" t="str">
        <x:f>IF(OR(Match_Data!S250="",Match_Data!T250=""),"",Match_Data!S250+Match_Data!T250)</x:f>
      </x:c>
      <x:c r="L250" t="str">
        <x:f>IF(OR(Match_Data!U250="",Match_Data!V250=""),"",Match_Data!U250-Match_Data!V250)</x:f>
      </x:c>
      <x:c r="M250" s="32" t="str">
        <x:f>IF(Match_Data!Y250="","",1/Match_Data!Y250)</x:f>
      </x:c>
      <x:c r="N250" s="32" t="str">
        <x:f>IF(Match_Data!AA250="","",1/Match_Data!AA250)</x:f>
      </x:c>
      <x:c r="O250" s="32" t="str">
        <x:f>IF(OR(M250="",N250=""),"",N250-M250)</x:f>
      </x:c>
      <x:c r="P250" t="str">
        <x:f>IF(Match_Data!J250="","",IF(Match_Data!J250="OVER",1,0))</x:f>
      </x:c>
    </x:row>
    <x:row r="251">
      <x:c r="A251" t="n">
        <x:f>Match_Data!A251</x:f>
        <x:v>0</x:v>
      </x:c>
      <x:c r="B251" s="28" t="n">
        <x:f>Match_Data!B251</x:f>
        <x:v>0</x:v>
      </x:c>
      <x:c r="C251" t="n">
        <x:f>Match_Data!C251</x:f>
        <x:v>0</x:v>
      </x:c>
      <x:c r="D251" t="n">
        <x:f>Match_Data!E251</x:f>
        <x:v>0</x:v>
      </x:c>
      <x:c r="E251" t="n">
        <x:f>Match_Data!F251</x:f>
        <x:v>0</x:v>
      </x:c>
      <x:c r="F251" t="n">
        <x:f>Match_Data!AC251</x:f>
        <x:v>0</x:v>
      </x:c>
      <x:c r="G251" t="str">
        <x:f>IF(OR(Match_Data!K251="",Match_Data!L251=""),"",AVERAGE(Match_Data!K251:L251))</x:f>
      </x:c>
      <x:c r="H251" t="str">
        <x:f>IF(OR(Match_Data!M251="",Match_Data!N251=""),"",AVERAGE(Match_Data!M251:N251))</x:f>
      </x:c>
      <x:c r="I251" t="str">
        <x:f>IF(OR(Match_Data!O251="",Match_Data!Q251=""),"",Match_Data!O251+Match_Data!Q251)</x:f>
      </x:c>
      <x:c r="J251" t="str">
        <x:f>IF(OR(Match_Data!P251="",Match_Data!R251=""),"",Match_Data!P251+Match_Data!R251)</x:f>
      </x:c>
      <x:c r="K251" t="str">
        <x:f>IF(OR(Match_Data!S251="",Match_Data!T251=""),"",Match_Data!S251+Match_Data!T251)</x:f>
      </x:c>
      <x:c r="L251" t="str">
        <x:f>IF(OR(Match_Data!U251="",Match_Data!V251=""),"",Match_Data!U251-Match_Data!V251)</x:f>
      </x:c>
      <x:c r="M251" s="32" t="str">
        <x:f>IF(Match_Data!Y251="","",1/Match_Data!Y251)</x:f>
      </x:c>
      <x:c r="N251" s="32" t="str">
        <x:f>IF(Match_Data!AA251="","",1/Match_Data!AA251)</x:f>
      </x:c>
      <x:c r="O251" s="32" t="str">
        <x:f>IF(OR(M251="",N251=""),"",N251-M251)</x:f>
      </x:c>
      <x:c r="P251" t="str">
        <x:f>IF(Match_Data!J251="","",IF(Match_Data!J251="OVER",1,0))</x:f>
      </x:c>
    </x:row>
    <x:row r="252">
      <x:c r="A252" t="n">
        <x:f>Match_Data!A252</x:f>
        <x:v>0</x:v>
      </x:c>
      <x:c r="B252" s="28" t="n">
        <x:f>Match_Data!B252</x:f>
        <x:v>0</x:v>
      </x:c>
      <x:c r="C252" t="n">
        <x:f>Match_Data!C252</x:f>
        <x:v>0</x:v>
      </x:c>
      <x:c r="D252" t="n">
        <x:f>Match_Data!E252</x:f>
        <x:v>0</x:v>
      </x:c>
      <x:c r="E252" t="n">
        <x:f>Match_Data!F252</x:f>
        <x:v>0</x:v>
      </x:c>
      <x:c r="F252" t="n">
        <x:f>Match_Data!AC252</x:f>
        <x:v>0</x:v>
      </x:c>
      <x:c r="G252" t="str">
        <x:f>IF(OR(Match_Data!K252="",Match_Data!L252=""),"",AVERAGE(Match_Data!K252:L252))</x:f>
      </x:c>
      <x:c r="H252" t="str">
        <x:f>IF(OR(Match_Data!M252="",Match_Data!N252=""),"",AVERAGE(Match_Data!M252:N252))</x:f>
      </x:c>
      <x:c r="I252" t="str">
        <x:f>IF(OR(Match_Data!O252="",Match_Data!Q252=""),"",Match_Data!O252+Match_Data!Q252)</x:f>
      </x:c>
      <x:c r="J252" t="str">
        <x:f>IF(OR(Match_Data!P252="",Match_Data!R252=""),"",Match_Data!P252+Match_Data!R252)</x:f>
      </x:c>
      <x:c r="K252" t="str">
        <x:f>IF(OR(Match_Data!S252="",Match_Data!T252=""),"",Match_Data!S252+Match_Data!T252)</x:f>
      </x:c>
      <x:c r="L252" t="str">
        <x:f>IF(OR(Match_Data!U252="",Match_Data!V252=""),"",Match_Data!U252-Match_Data!V252)</x:f>
      </x:c>
      <x:c r="M252" s="32" t="str">
        <x:f>IF(Match_Data!Y252="","",1/Match_Data!Y252)</x:f>
      </x:c>
      <x:c r="N252" s="32" t="str">
        <x:f>IF(Match_Data!AA252="","",1/Match_Data!AA252)</x:f>
      </x:c>
      <x:c r="O252" s="32" t="str">
        <x:f>IF(OR(M252="",N252=""),"",N252-M252)</x:f>
      </x:c>
      <x:c r="P252" t="str">
        <x:f>IF(Match_Data!J252="","",IF(Match_Data!J252="OVER",1,0))</x:f>
      </x:c>
    </x:row>
    <x:row r="253">
      <x:c r="A253" t="n">
        <x:f>Match_Data!A253</x:f>
        <x:v>0</x:v>
      </x:c>
      <x:c r="B253" s="28" t="n">
        <x:f>Match_Data!B253</x:f>
        <x:v>0</x:v>
      </x:c>
      <x:c r="C253" t="n">
        <x:f>Match_Data!C253</x:f>
        <x:v>0</x:v>
      </x:c>
      <x:c r="D253" t="n">
        <x:f>Match_Data!E253</x:f>
        <x:v>0</x:v>
      </x:c>
      <x:c r="E253" t="n">
        <x:f>Match_Data!F253</x:f>
        <x:v>0</x:v>
      </x:c>
      <x:c r="F253" t="n">
        <x:f>Match_Data!AC253</x:f>
        <x:v>0</x:v>
      </x:c>
      <x:c r="G253" t="str">
        <x:f>IF(OR(Match_Data!K253="",Match_Data!L253=""),"",AVERAGE(Match_Data!K253:L253))</x:f>
      </x:c>
      <x:c r="H253" t="str">
        <x:f>IF(OR(Match_Data!M253="",Match_Data!N253=""),"",AVERAGE(Match_Data!M253:N253))</x:f>
      </x:c>
      <x:c r="I253" t="str">
        <x:f>IF(OR(Match_Data!O253="",Match_Data!Q253=""),"",Match_Data!O253+Match_Data!Q253)</x:f>
      </x:c>
      <x:c r="J253" t="str">
        <x:f>IF(OR(Match_Data!P253="",Match_Data!R253=""),"",Match_Data!P253+Match_Data!R253)</x:f>
      </x:c>
      <x:c r="K253" t="str">
        <x:f>IF(OR(Match_Data!S253="",Match_Data!T253=""),"",Match_Data!S253+Match_Data!T253)</x:f>
      </x:c>
      <x:c r="L253" t="str">
        <x:f>IF(OR(Match_Data!U253="",Match_Data!V253=""),"",Match_Data!U253-Match_Data!V253)</x:f>
      </x:c>
      <x:c r="M253" s="32" t="str">
        <x:f>IF(Match_Data!Y253="","",1/Match_Data!Y253)</x:f>
      </x:c>
      <x:c r="N253" s="32" t="str">
        <x:f>IF(Match_Data!AA253="","",1/Match_Data!AA253)</x:f>
      </x:c>
      <x:c r="O253" s="32" t="str">
        <x:f>IF(OR(M253="",N253=""),"",N253-M253)</x:f>
      </x:c>
      <x:c r="P253" t="str">
        <x:f>IF(Match_Data!J253="","",IF(Match_Data!J253="OVER",1,0))</x:f>
      </x:c>
    </x:row>
    <x:row r="254">
      <x:c r="A254" t="n">
        <x:f>Match_Data!A254</x:f>
        <x:v>0</x:v>
      </x:c>
      <x:c r="B254" s="28" t="n">
        <x:f>Match_Data!B254</x:f>
        <x:v>0</x:v>
      </x:c>
      <x:c r="C254" t="n">
        <x:f>Match_Data!C254</x:f>
        <x:v>0</x:v>
      </x:c>
      <x:c r="D254" t="n">
        <x:f>Match_Data!E254</x:f>
        <x:v>0</x:v>
      </x:c>
      <x:c r="E254" t="n">
        <x:f>Match_Data!F254</x:f>
        <x:v>0</x:v>
      </x:c>
      <x:c r="F254" t="n">
        <x:f>Match_Data!AC254</x:f>
        <x:v>0</x:v>
      </x:c>
      <x:c r="G254" t="str">
        <x:f>IF(OR(Match_Data!K254="",Match_Data!L254=""),"",AVERAGE(Match_Data!K254:L254))</x:f>
      </x:c>
      <x:c r="H254" t="str">
        <x:f>IF(OR(Match_Data!M254="",Match_Data!N254=""),"",AVERAGE(Match_Data!M254:N254))</x:f>
      </x:c>
      <x:c r="I254" t="str">
        <x:f>IF(OR(Match_Data!O254="",Match_Data!Q254=""),"",Match_Data!O254+Match_Data!Q254)</x:f>
      </x:c>
      <x:c r="J254" t="str">
        <x:f>IF(OR(Match_Data!P254="",Match_Data!R254=""),"",Match_Data!P254+Match_Data!R254)</x:f>
      </x:c>
      <x:c r="K254" t="str">
        <x:f>IF(OR(Match_Data!S254="",Match_Data!T254=""),"",Match_Data!S254+Match_Data!T254)</x:f>
      </x:c>
      <x:c r="L254" t="str">
        <x:f>IF(OR(Match_Data!U254="",Match_Data!V254=""),"",Match_Data!U254-Match_Data!V254)</x:f>
      </x:c>
      <x:c r="M254" s="32" t="str">
        <x:f>IF(Match_Data!Y254="","",1/Match_Data!Y254)</x:f>
      </x:c>
      <x:c r="N254" s="32" t="str">
        <x:f>IF(Match_Data!AA254="","",1/Match_Data!AA254)</x:f>
      </x:c>
      <x:c r="O254" s="32" t="str">
        <x:f>IF(OR(M254="",N254=""),"",N254-M254)</x:f>
      </x:c>
      <x:c r="P254" t="str">
        <x:f>IF(Match_Data!J254="","",IF(Match_Data!J254="OVER",1,0))</x:f>
      </x:c>
    </x:row>
    <x:row r="255">
      <x:c r="A255" t="n">
        <x:f>Match_Data!A255</x:f>
        <x:v>0</x:v>
      </x:c>
      <x:c r="B255" s="28" t="n">
        <x:f>Match_Data!B255</x:f>
        <x:v>0</x:v>
      </x:c>
      <x:c r="C255" t="n">
        <x:f>Match_Data!C255</x:f>
        <x:v>0</x:v>
      </x:c>
      <x:c r="D255" t="n">
        <x:f>Match_Data!E255</x:f>
        <x:v>0</x:v>
      </x:c>
      <x:c r="E255" t="n">
        <x:f>Match_Data!F255</x:f>
        <x:v>0</x:v>
      </x:c>
      <x:c r="F255" t="n">
        <x:f>Match_Data!AC255</x:f>
        <x:v>0</x:v>
      </x:c>
      <x:c r="G255" t="str">
        <x:f>IF(OR(Match_Data!K255="",Match_Data!L255=""),"",AVERAGE(Match_Data!K255:L255))</x:f>
      </x:c>
      <x:c r="H255" t="str">
        <x:f>IF(OR(Match_Data!M255="",Match_Data!N255=""),"",AVERAGE(Match_Data!M255:N255))</x:f>
      </x:c>
      <x:c r="I255" t="str">
        <x:f>IF(OR(Match_Data!O255="",Match_Data!Q255=""),"",Match_Data!O255+Match_Data!Q255)</x:f>
      </x:c>
      <x:c r="J255" t="str">
        <x:f>IF(OR(Match_Data!P255="",Match_Data!R255=""),"",Match_Data!P255+Match_Data!R255)</x:f>
      </x:c>
      <x:c r="K255" t="str">
        <x:f>IF(OR(Match_Data!S255="",Match_Data!T255=""),"",Match_Data!S255+Match_Data!T255)</x:f>
      </x:c>
      <x:c r="L255" t="str">
        <x:f>IF(OR(Match_Data!U255="",Match_Data!V255=""),"",Match_Data!U255-Match_Data!V255)</x:f>
      </x:c>
      <x:c r="M255" s="32" t="str">
        <x:f>IF(Match_Data!Y255="","",1/Match_Data!Y255)</x:f>
      </x:c>
      <x:c r="N255" s="32" t="str">
        <x:f>IF(Match_Data!AA255="","",1/Match_Data!AA255)</x:f>
      </x:c>
      <x:c r="O255" s="32" t="str">
        <x:f>IF(OR(M255="",N255=""),"",N255-M255)</x:f>
      </x:c>
      <x:c r="P255" t="str">
        <x:f>IF(Match_Data!J255="","",IF(Match_Data!J255="OVER",1,0))</x:f>
      </x:c>
    </x:row>
    <x:row r="256">
      <x:c r="A256" t="n">
        <x:f>Match_Data!A256</x:f>
        <x:v>0</x:v>
      </x:c>
      <x:c r="B256" s="28" t="n">
        <x:f>Match_Data!B256</x:f>
        <x:v>0</x:v>
      </x:c>
      <x:c r="C256" t="n">
        <x:f>Match_Data!C256</x:f>
        <x:v>0</x:v>
      </x:c>
      <x:c r="D256" t="n">
        <x:f>Match_Data!E256</x:f>
        <x:v>0</x:v>
      </x:c>
      <x:c r="E256" t="n">
        <x:f>Match_Data!F256</x:f>
        <x:v>0</x:v>
      </x:c>
      <x:c r="F256" t="n">
        <x:f>Match_Data!AC256</x:f>
        <x:v>0</x:v>
      </x:c>
      <x:c r="G256" t="str">
        <x:f>IF(OR(Match_Data!K256="",Match_Data!L256=""),"",AVERAGE(Match_Data!K256:L256))</x:f>
      </x:c>
      <x:c r="H256" t="str">
        <x:f>IF(OR(Match_Data!M256="",Match_Data!N256=""),"",AVERAGE(Match_Data!M256:N256))</x:f>
      </x:c>
      <x:c r="I256" t="str">
        <x:f>IF(OR(Match_Data!O256="",Match_Data!Q256=""),"",Match_Data!O256+Match_Data!Q256)</x:f>
      </x:c>
      <x:c r="J256" t="str">
        <x:f>IF(OR(Match_Data!P256="",Match_Data!R256=""),"",Match_Data!P256+Match_Data!R256)</x:f>
      </x:c>
      <x:c r="K256" t="str">
        <x:f>IF(OR(Match_Data!S256="",Match_Data!T256=""),"",Match_Data!S256+Match_Data!T256)</x:f>
      </x:c>
      <x:c r="L256" t="str">
        <x:f>IF(OR(Match_Data!U256="",Match_Data!V256=""),"",Match_Data!U256-Match_Data!V256)</x:f>
      </x:c>
      <x:c r="M256" s="32" t="str">
        <x:f>IF(Match_Data!Y256="","",1/Match_Data!Y256)</x:f>
      </x:c>
      <x:c r="N256" s="32" t="str">
        <x:f>IF(Match_Data!AA256="","",1/Match_Data!AA256)</x:f>
      </x:c>
      <x:c r="O256" s="32" t="str">
        <x:f>IF(OR(M256="",N256=""),"",N256-M256)</x:f>
      </x:c>
      <x:c r="P256" t="str">
        <x:f>IF(Match_Data!J256="","",IF(Match_Data!J256="OVER",1,0))</x:f>
      </x:c>
    </x:row>
    <x:row r="257">
      <x:c r="A257" t="n">
        <x:f>Match_Data!A257</x:f>
        <x:v>0</x:v>
      </x:c>
      <x:c r="B257" s="28" t="n">
        <x:f>Match_Data!B257</x:f>
        <x:v>0</x:v>
      </x:c>
      <x:c r="C257" t="n">
        <x:f>Match_Data!C257</x:f>
        <x:v>0</x:v>
      </x:c>
      <x:c r="D257" t="n">
        <x:f>Match_Data!E257</x:f>
        <x:v>0</x:v>
      </x:c>
      <x:c r="E257" t="n">
        <x:f>Match_Data!F257</x:f>
        <x:v>0</x:v>
      </x:c>
      <x:c r="F257" t="n">
        <x:f>Match_Data!AC257</x:f>
        <x:v>0</x:v>
      </x:c>
      <x:c r="G257" t="str">
        <x:f>IF(OR(Match_Data!K257="",Match_Data!L257=""),"",AVERAGE(Match_Data!K257:L257))</x:f>
      </x:c>
      <x:c r="H257" t="str">
        <x:f>IF(OR(Match_Data!M257="",Match_Data!N257=""),"",AVERAGE(Match_Data!M257:N257))</x:f>
      </x:c>
      <x:c r="I257" t="str">
        <x:f>IF(OR(Match_Data!O257="",Match_Data!Q257=""),"",Match_Data!O257+Match_Data!Q257)</x:f>
      </x:c>
      <x:c r="J257" t="str">
        <x:f>IF(OR(Match_Data!P257="",Match_Data!R257=""),"",Match_Data!P257+Match_Data!R257)</x:f>
      </x:c>
      <x:c r="K257" t="str">
        <x:f>IF(OR(Match_Data!S257="",Match_Data!T257=""),"",Match_Data!S257+Match_Data!T257)</x:f>
      </x:c>
      <x:c r="L257" t="str">
        <x:f>IF(OR(Match_Data!U257="",Match_Data!V257=""),"",Match_Data!U257-Match_Data!V257)</x:f>
      </x:c>
      <x:c r="M257" s="32" t="str">
        <x:f>IF(Match_Data!Y257="","",1/Match_Data!Y257)</x:f>
      </x:c>
      <x:c r="N257" s="32" t="str">
        <x:f>IF(Match_Data!AA257="","",1/Match_Data!AA257)</x:f>
      </x:c>
      <x:c r="O257" s="32" t="str">
        <x:f>IF(OR(M257="",N257=""),"",N257-M257)</x:f>
      </x:c>
      <x:c r="P257" t="str">
        <x:f>IF(Match_Data!J257="","",IF(Match_Data!J257="OVER",1,0))</x:f>
      </x:c>
    </x:row>
    <x:row r="258">
      <x:c r="A258" t="n">
        <x:f>Match_Data!A258</x:f>
        <x:v>0</x:v>
      </x:c>
      <x:c r="B258" s="28" t="n">
        <x:f>Match_Data!B258</x:f>
        <x:v>0</x:v>
      </x:c>
      <x:c r="C258" t="n">
        <x:f>Match_Data!C258</x:f>
        <x:v>0</x:v>
      </x:c>
      <x:c r="D258" t="n">
        <x:f>Match_Data!E258</x:f>
        <x:v>0</x:v>
      </x:c>
      <x:c r="E258" t="n">
        <x:f>Match_Data!F258</x:f>
        <x:v>0</x:v>
      </x:c>
      <x:c r="F258" t="n">
        <x:f>Match_Data!AC258</x:f>
        <x:v>0</x:v>
      </x:c>
      <x:c r="G258" t="str">
        <x:f>IF(OR(Match_Data!K258="",Match_Data!L258=""),"",AVERAGE(Match_Data!K258:L258))</x:f>
      </x:c>
      <x:c r="H258" t="str">
        <x:f>IF(OR(Match_Data!M258="",Match_Data!N258=""),"",AVERAGE(Match_Data!M258:N258))</x:f>
      </x:c>
      <x:c r="I258" t="str">
        <x:f>IF(OR(Match_Data!O258="",Match_Data!Q258=""),"",Match_Data!O258+Match_Data!Q258)</x:f>
      </x:c>
      <x:c r="J258" t="str">
        <x:f>IF(OR(Match_Data!P258="",Match_Data!R258=""),"",Match_Data!P258+Match_Data!R258)</x:f>
      </x:c>
      <x:c r="K258" t="str">
        <x:f>IF(OR(Match_Data!S258="",Match_Data!T258=""),"",Match_Data!S258+Match_Data!T258)</x:f>
      </x:c>
      <x:c r="L258" t="str">
        <x:f>IF(OR(Match_Data!U258="",Match_Data!V258=""),"",Match_Data!U258-Match_Data!V258)</x:f>
      </x:c>
      <x:c r="M258" s="32" t="str">
        <x:f>IF(Match_Data!Y258="","",1/Match_Data!Y258)</x:f>
      </x:c>
      <x:c r="N258" s="32" t="str">
        <x:f>IF(Match_Data!AA258="","",1/Match_Data!AA258)</x:f>
      </x:c>
      <x:c r="O258" s="32" t="str">
        <x:f>IF(OR(M258="",N258=""),"",N258-M258)</x:f>
      </x:c>
      <x:c r="P258" t="str">
        <x:f>IF(Match_Data!J258="","",IF(Match_Data!J258="OVER",1,0))</x:f>
      </x:c>
    </x:row>
    <x:row r="259">
      <x:c r="A259" t="n">
        <x:f>Match_Data!A259</x:f>
        <x:v>0</x:v>
      </x:c>
      <x:c r="B259" s="28" t="n">
        <x:f>Match_Data!B259</x:f>
        <x:v>0</x:v>
      </x:c>
      <x:c r="C259" t="n">
        <x:f>Match_Data!C259</x:f>
        <x:v>0</x:v>
      </x:c>
      <x:c r="D259" t="n">
        <x:f>Match_Data!E259</x:f>
        <x:v>0</x:v>
      </x:c>
      <x:c r="E259" t="n">
        <x:f>Match_Data!F259</x:f>
        <x:v>0</x:v>
      </x:c>
      <x:c r="F259" t="n">
        <x:f>Match_Data!AC259</x:f>
        <x:v>0</x:v>
      </x:c>
      <x:c r="G259" t="str">
        <x:f>IF(OR(Match_Data!K259="",Match_Data!L259=""),"",AVERAGE(Match_Data!K259:L259))</x:f>
      </x:c>
      <x:c r="H259" t="str">
        <x:f>IF(OR(Match_Data!M259="",Match_Data!N259=""),"",AVERAGE(Match_Data!M259:N259))</x:f>
      </x:c>
      <x:c r="I259" t="str">
        <x:f>IF(OR(Match_Data!O259="",Match_Data!Q259=""),"",Match_Data!O259+Match_Data!Q259)</x:f>
      </x:c>
      <x:c r="J259" t="str">
        <x:f>IF(OR(Match_Data!P259="",Match_Data!R259=""),"",Match_Data!P259+Match_Data!R259)</x:f>
      </x:c>
      <x:c r="K259" t="str">
        <x:f>IF(OR(Match_Data!S259="",Match_Data!T259=""),"",Match_Data!S259+Match_Data!T259)</x:f>
      </x:c>
      <x:c r="L259" t="str">
        <x:f>IF(OR(Match_Data!U259="",Match_Data!V259=""),"",Match_Data!U259-Match_Data!V259)</x:f>
      </x:c>
      <x:c r="M259" s="32" t="str">
        <x:f>IF(Match_Data!Y259="","",1/Match_Data!Y259)</x:f>
      </x:c>
      <x:c r="N259" s="32" t="str">
        <x:f>IF(Match_Data!AA259="","",1/Match_Data!AA259)</x:f>
      </x:c>
      <x:c r="O259" s="32" t="str">
        <x:f>IF(OR(M259="",N259=""),"",N259-M259)</x:f>
      </x:c>
      <x:c r="P259" t="str">
        <x:f>IF(Match_Data!J259="","",IF(Match_Data!J259="OVER",1,0))</x:f>
      </x:c>
    </x:row>
    <x:row r="260">
      <x:c r="A260" t="n">
        <x:f>Match_Data!A260</x:f>
        <x:v>0</x:v>
      </x:c>
      <x:c r="B260" s="28" t="n">
        <x:f>Match_Data!B260</x:f>
        <x:v>0</x:v>
      </x:c>
      <x:c r="C260" t="n">
        <x:f>Match_Data!C260</x:f>
        <x:v>0</x:v>
      </x:c>
      <x:c r="D260" t="n">
        <x:f>Match_Data!E260</x:f>
        <x:v>0</x:v>
      </x:c>
      <x:c r="E260" t="n">
        <x:f>Match_Data!F260</x:f>
        <x:v>0</x:v>
      </x:c>
      <x:c r="F260" t="n">
        <x:f>Match_Data!AC260</x:f>
        <x:v>0</x:v>
      </x:c>
      <x:c r="G260" t="str">
        <x:f>IF(OR(Match_Data!K260="",Match_Data!L260=""),"",AVERAGE(Match_Data!K260:L260))</x:f>
      </x:c>
      <x:c r="H260" t="str">
        <x:f>IF(OR(Match_Data!M260="",Match_Data!N260=""),"",AVERAGE(Match_Data!M260:N260))</x:f>
      </x:c>
      <x:c r="I260" t="str">
        <x:f>IF(OR(Match_Data!O260="",Match_Data!Q260=""),"",Match_Data!O260+Match_Data!Q260)</x:f>
      </x:c>
      <x:c r="J260" t="str">
        <x:f>IF(OR(Match_Data!P260="",Match_Data!R260=""),"",Match_Data!P260+Match_Data!R260)</x:f>
      </x:c>
      <x:c r="K260" t="str">
        <x:f>IF(OR(Match_Data!S260="",Match_Data!T260=""),"",Match_Data!S260+Match_Data!T260)</x:f>
      </x:c>
      <x:c r="L260" t="str">
        <x:f>IF(OR(Match_Data!U260="",Match_Data!V260=""),"",Match_Data!U260-Match_Data!V260)</x:f>
      </x:c>
      <x:c r="M260" s="32" t="str">
        <x:f>IF(Match_Data!Y260="","",1/Match_Data!Y260)</x:f>
      </x:c>
      <x:c r="N260" s="32" t="str">
        <x:f>IF(Match_Data!AA260="","",1/Match_Data!AA260)</x:f>
      </x:c>
      <x:c r="O260" s="32" t="str">
        <x:f>IF(OR(M260="",N260=""),"",N260-M260)</x:f>
      </x:c>
      <x:c r="P260" t="str">
        <x:f>IF(Match_Data!J260="","",IF(Match_Data!J260="OVER",1,0))</x:f>
      </x:c>
    </x:row>
    <x:row r="261">
      <x:c r="A261" t="n">
        <x:f>Match_Data!A261</x:f>
        <x:v>0</x:v>
      </x:c>
      <x:c r="B261" s="28" t="n">
        <x:f>Match_Data!B261</x:f>
        <x:v>0</x:v>
      </x:c>
      <x:c r="C261" t="n">
        <x:f>Match_Data!C261</x:f>
        <x:v>0</x:v>
      </x:c>
      <x:c r="D261" t="n">
        <x:f>Match_Data!E261</x:f>
        <x:v>0</x:v>
      </x:c>
      <x:c r="E261" t="n">
        <x:f>Match_Data!F261</x:f>
        <x:v>0</x:v>
      </x:c>
      <x:c r="F261" t="n">
        <x:f>Match_Data!AC261</x:f>
        <x:v>0</x:v>
      </x:c>
      <x:c r="G261" t="str">
        <x:f>IF(OR(Match_Data!K261="",Match_Data!L261=""),"",AVERAGE(Match_Data!K261:L261))</x:f>
      </x:c>
      <x:c r="H261" t="str">
        <x:f>IF(OR(Match_Data!M261="",Match_Data!N261=""),"",AVERAGE(Match_Data!M261:N261))</x:f>
      </x:c>
      <x:c r="I261" t="str">
        <x:f>IF(OR(Match_Data!O261="",Match_Data!Q261=""),"",Match_Data!O261+Match_Data!Q261)</x:f>
      </x:c>
      <x:c r="J261" t="str">
        <x:f>IF(OR(Match_Data!P261="",Match_Data!R261=""),"",Match_Data!P261+Match_Data!R261)</x:f>
      </x:c>
      <x:c r="K261" t="str">
        <x:f>IF(OR(Match_Data!S261="",Match_Data!T261=""),"",Match_Data!S261+Match_Data!T261)</x:f>
      </x:c>
      <x:c r="L261" t="str">
        <x:f>IF(OR(Match_Data!U261="",Match_Data!V261=""),"",Match_Data!U261-Match_Data!V261)</x:f>
      </x:c>
      <x:c r="M261" s="32" t="str">
        <x:f>IF(Match_Data!Y261="","",1/Match_Data!Y261)</x:f>
      </x:c>
      <x:c r="N261" s="32" t="str">
        <x:f>IF(Match_Data!AA261="","",1/Match_Data!AA261)</x:f>
      </x:c>
      <x:c r="O261" s="32" t="str">
        <x:f>IF(OR(M261="",N261=""),"",N261-M261)</x:f>
      </x:c>
      <x:c r="P261" t="str">
        <x:f>IF(Match_Data!J261="","",IF(Match_Data!J261="OVER",1,0))</x:f>
      </x:c>
    </x:row>
    <x:row r="262">
      <x:c r="A262" t="n">
        <x:f>Match_Data!A262</x:f>
        <x:v>0</x:v>
      </x:c>
      <x:c r="B262" s="28" t="n">
        <x:f>Match_Data!B262</x:f>
        <x:v>0</x:v>
      </x:c>
      <x:c r="C262" t="n">
        <x:f>Match_Data!C262</x:f>
        <x:v>0</x:v>
      </x:c>
      <x:c r="D262" t="n">
        <x:f>Match_Data!E262</x:f>
        <x:v>0</x:v>
      </x:c>
      <x:c r="E262" t="n">
        <x:f>Match_Data!F262</x:f>
        <x:v>0</x:v>
      </x:c>
      <x:c r="F262" t="n">
        <x:f>Match_Data!AC262</x:f>
        <x:v>0</x:v>
      </x:c>
      <x:c r="G262" t="str">
        <x:f>IF(OR(Match_Data!K262="",Match_Data!L262=""),"",AVERAGE(Match_Data!K262:L262))</x:f>
      </x:c>
      <x:c r="H262" t="str">
        <x:f>IF(OR(Match_Data!M262="",Match_Data!N262=""),"",AVERAGE(Match_Data!M262:N262))</x:f>
      </x:c>
      <x:c r="I262" t="str">
        <x:f>IF(OR(Match_Data!O262="",Match_Data!Q262=""),"",Match_Data!O262+Match_Data!Q262)</x:f>
      </x:c>
      <x:c r="J262" t="str">
        <x:f>IF(OR(Match_Data!P262="",Match_Data!R262=""),"",Match_Data!P262+Match_Data!R262)</x:f>
      </x:c>
      <x:c r="K262" t="str">
        <x:f>IF(OR(Match_Data!S262="",Match_Data!T262=""),"",Match_Data!S262+Match_Data!T262)</x:f>
      </x:c>
      <x:c r="L262" t="str">
        <x:f>IF(OR(Match_Data!U262="",Match_Data!V262=""),"",Match_Data!U262-Match_Data!V262)</x:f>
      </x:c>
      <x:c r="M262" s="32" t="str">
        <x:f>IF(Match_Data!Y262="","",1/Match_Data!Y262)</x:f>
      </x:c>
      <x:c r="N262" s="32" t="str">
        <x:f>IF(Match_Data!AA262="","",1/Match_Data!AA262)</x:f>
      </x:c>
      <x:c r="O262" s="32" t="str">
        <x:f>IF(OR(M262="",N262=""),"",N262-M262)</x:f>
      </x:c>
      <x:c r="P262" t="str">
        <x:f>IF(Match_Data!J262="","",IF(Match_Data!J262="OVER",1,0))</x:f>
      </x:c>
    </x:row>
    <x:row r="263">
      <x:c r="A263" t="n">
        <x:f>Match_Data!A263</x:f>
        <x:v>0</x:v>
      </x:c>
      <x:c r="B263" s="28" t="n">
        <x:f>Match_Data!B263</x:f>
        <x:v>0</x:v>
      </x:c>
      <x:c r="C263" t="n">
        <x:f>Match_Data!C263</x:f>
        <x:v>0</x:v>
      </x:c>
      <x:c r="D263" t="n">
        <x:f>Match_Data!E263</x:f>
        <x:v>0</x:v>
      </x:c>
      <x:c r="E263" t="n">
        <x:f>Match_Data!F263</x:f>
        <x:v>0</x:v>
      </x:c>
      <x:c r="F263" t="n">
        <x:f>Match_Data!AC263</x:f>
        <x:v>0</x:v>
      </x:c>
      <x:c r="G263" t="str">
        <x:f>IF(OR(Match_Data!K263="",Match_Data!L263=""),"",AVERAGE(Match_Data!K263:L263))</x:f>
      </x:c>
      <x:c r="H263" t="str">
        <x:f>IF(OR(Match_Data!M263="",Match_Data!N263=""),"",AVERAGE(Match_Data!M263:N263))</x:f>
      </x:c>
      <x:c r="I263" t="str">
        <x:f>IF(OR(Match_Data!O263="",Match_Data!Q263=""),"",Match_Data!O263+Match_Data!Q263)</x:f>
      </x:c>
      <x:c r="J263" t="str">
        <x:f>IF(OR(Match_Data!P263="",Match_Data!R263=""),"",Match_Data!P263+Match_Data!R263)</x:f>
      </x:c>
      <x:c r="K263" t="str">
        <x:f>IF(OR(Match_Data!S263="",Match_Data!T263=""),"",Match_Data!S263+Match_Data!T263)</x:f>
      </x:c>
      <x:c r="L263" t="str">
        <x:f>IF(OR(Match_Data!U263="",Match_Data!V263=""),"",Match_Data!U263-Match_Data!V263)</x:f>
      </x:c>
      <x:c r="M263" s="32" t="str">
        <x:f>IF(Match_Data!Y263="","",1/Match_Data!Y263)</x:f>
      </x:c>
      <x:c r="N263" s="32" t="str">
        <x:f>IF(Match_Data!AA263="","",1/Match_Data!AA263)</x:f>
      </x:c>
      <x:c r="O263" s="32" t="str">
        <x:f>IF(OR(M263="",N263=""),"",N263-M263)</x:f>
      </x:c>
      <x:c r="P263" t="str">
        <x:f>IF(Match_Data!J263="","",IF(Match_Data!J263="OVER",1,0))</x:f>
      </x:c>
    </x:row>
    <x:row r="264">
      <x:c r="A264" t="n">
        <x:f>Match_Data!A264</x:f>
        <x:v>0</x:v>
      </x:c>
      <x:c r="B264" s="28" t="n">
        <x:f>Match_Data!B264</x:f>
        <x:v>0</x:v>
      </x:c>
      <x:c r="C264" t="n">
        <x:f>Match_Data!C264</x:f>
        <x:v>0</x:v>
      </x:c>
      <x:c r="D264" t="n">
        <x:f>Match_Data!E264</x:f>
        <x:v>0</x:v>
      </x:c>
      <x:c r="E264" t="n">
        <x:f>Match_Data!F264</x:f>
        <x:v>0</x:v>
      </x:c>
      <x:c r="F264" t="n">
        <x:f>Match_Data!AC264</x:f>
        <x:v>0</x:v>
      </x:c>
      <x:c r="G264" t="str">
        <x:f>IF(OR(Match_Data!K264="",Match_Data!L264=""),"",AVERAGE(Match_Data!K264:L264))</x:f>
      </x:c>
      <x:c r="H264" t="str">
        <x:f>IF(OR(Match_Data!M264="",Match_Data!N264=""),"",AVERAGE(Match_Data!M264:N264))</x:f>
      </x:c>
      <x:c r="I264" t="str">
        <x:f>IF(OR(Match_Data!O264="",Match_Data!Q264=""),"",Match_Data!O264+Match_Data!Q264)</x:f>
      </x:c>
      <x:c r="J264" t="str">
        <x:f>IF(OR(Match_Data!P264="",Match_Data!R264=""),"",Match_Data!P264+Match_Data!R264)</x:f>
      </x:c>
      <x:c r="K264" t="str">
        <x:f>IF(OR(Match_Data!S264="",Match_Data!T264=""),"",Match_Data!S264+Match_Data!T264)</x:f>
      </x:c>
      <x:c r="L264" t="str">
        <x:f>IF(OR(Match_Data!U264="",Match_Data!V264=""),"",Match_Data!U264-Match_Data!V264)</x:f>
      </x:c>
      <x:c r="M264" s="32" t="str">
        <x:f>IF(Match_Data!Y264="","",1/Match_Data!Y264)</x:f>
      </x:c>
      <x:c r="N264" s="32" t="str">
        <x:f>IF(Match_Data!AA264="","",1/Match_Data!AA264)</x:f>
      </x:c>
      <x:c r="O264" s="32" t="str">
        <x:f>IF(OR(M264="",N264=""),"",N264-M264)</x:f>
      </x:c>
      <x:c r="P264" t="str">
        <x:f>IF(Match_Data!J264="","",IF(Match_Data!J264="OVER",1,0))</x:f>
      </x:c>
    </x:row>
    <x:row r="265">
      <x:c r="A265" t="n">
        <x:f>Match_Data!A265</x:f>
        <x:v>0</x:v>
      </x:c>
      <x:c r="B265" s="28" t="n">
        <x:f>Match_Data!B265</x:f>
        <x:v>0</x:v>
      </x:c>
      <x:c r="C265" t="n">
        <x:f>Match_Data!C265</x:f>
        <x:v>0</x:v>
      </x:c>
      <x:c r="D265" t="n">
        <x:f>Match_Data!E265</x:f>
        <x:v>0</x:v>
      </x:c>
      <x:c r="E265" t="n">
        <x:f>Match_Data!F265</x:f>
        <x:v>0</x:v>
      </x:c>
      <x:c r="F265" t="n">
        <x:f>Match_Data!AC265</x:f>
        <x:v>0</x:v>
      </x:c>
      <x:c r="G265" t="str">
        <x:f>IF(OR(Match_Data!K265="",Match_Data!L265=""),"",AVERAGE(Match_Data!K265:L265))</x:f>
      </x:c>
      <x:c r="H265" t="str">
        <x:f>IF(OR(Match_Data!M265="",Match_Data!N265=""),"",AVERAGE(Match_Data!M265:N265))</x:f>
      </x:c>
      <x:c r="I265" t="str">
        <x:f>IF(OR(Match_Data!O265="",Match_Data!Q265=""),"",Match_Data!O265+Match_Data!Q265)</x:f>
      </x:c>
      <x:c r="J265" t="str">
        <x:f>IF(OR(Match_Data!P265="",Match_Data!R265=""),"",Match_Data!P265+Match_Data!R265)</x:f>
      </x:c>
      <x:c r="K265" t="str">
        <x:f>IF(OR(Match_Data!S265="",Match_Data!T265=""),"",Match_Data!S265+Match_Data!T265)</x:f>
      </x:c>
      <x:c r="L265" t="str">
        <x:f>IF(OR(Match_Data!U265="",Match_Data!V265=""),"",Match_Data!U265-Match_Data!V265)</x:f>
      </x:c>
      <x:c r="M265" s="32" t="str">
        <x:f>IF(Match_Data!Y265="","",1/Match_Data!Y265)</x:f>
      </x:c>
      <x:c r="N265" s="32" t="str">
        <x:f>IF(Match_Data!AA265="","",1/Match_Data!AA265)</x:f>
      </x:c>
      <x:c r="O265" s="32" t="str">
        <x:f>IF(OR(M265="",N265=""),"",N265-M265)</x:f>
      </x:c>
      <x:c r="P265" t="str">
        <x:f>IF(Match_Data!J265="","",IF(Match_Data!J265="OVER",1,0))</x:f>
      </x:c>
    </x:row>
    <x:row r="266">
      <x:c r="A266" t="n">
        <x:f>Match_Data!A266</x:f>
        <x:v>0</x:v>
      </x:c>
      <x:c r="B266" s="28" t="n">
        <x:f>Match_Data!B266</x:f>
        <x:v>0</x:v>
      </x:c>
      <x:c r="C266" t="n">
        <x:f>Match_Data!C266</x:f>
        <x:v>0</x:v>
      </x:c>
      <x:c r="D266" t="n">
        <x:f>Match_Data!E266</x:f>
        <x:v>0</x:v>
      </x:c>
      <x:c r="E266" t="n">
        <x:f>Match_Data!F266</x:f>
        <x:v>0</x:v>
      </x:c>
      <x:c r="F266" t="n">
        <x:f>Match_Data!AC266</x:f>
        <x:v>0</x:v>
      </x:c>
      <x:c r="G266" t="str">
        <x:f>IF(OR(Match_Data!K266="",Match_Data!L266=""),"",AVERAGE(Match_Data!K266:L266))</x:f>
      </x:c>
      <x:c r="H266" t="str">
        <x:f>IF(OR(Match_Data!M266="",Match_Data!N266=""),"",AVERAGE(Match_Data!M266:N266))</x:f>
      </x:c>
      <x:c r="I266" t="str">
        <x:f>IF(OR(Match_Data!O266="",Match_Data!Q266=""),"",Match_Data!O266+Match_Data!Q266)</x:f>
      </x:c>
      <x:c r="J266" t="str">
        <x:f>IF(OR(Match_Data!P266="",Match_Data!R266=""),"",Match_Data!P266+Match_Data!R266)</x:f>
      </x:c>
      <x:c r="K266" t="str">
        <x:f>IF(OR(Match_Data!S266="",Match_Data!T266=""),"",Match_Data!S266+Match_Data!T266)</x:f>
      </x:c>
      <x:c r="L266" t="str">
        <x:f>IF(OR(Match_Data!U266="",Match_Data!V266=""),"",Match_Data!U266-Match_Data!V266)</x:f>
      </x:c>
      <x:c r="M266" s="32" t="str">
        <x:f>IF(Match_Data!Y266="","",1/Match_Data!Y266)</x:f>
      </x:c>
      <x:c r="N266" s="32" t="str">
        <x:f>IF(Match_Data!AA266="","",1/Match_Data!AA266)</x:f>
      </x:c>
      <x:c r="O266" s="32" t="str">
        <x:f>IF(OR(M266="",N266=""),"",N266-M266)</x:f>
      </x:c>
      <x:c r="P266" t="str">
        <x:f>IF(Match_Data!J266="","",IF(Match_Data!J266="OVER",1,0))</x:f>
      </x:c>
    </x:row>
    <x:row r="267">
      <x:c r="A267" t="n">
        <x:f>Match_Data!A267</x:f>
        <x:v>0</x:v>
      </x:c>
      <x:c r="B267" s="28" t="n">
        <x:f>Match_Data!B267</x:f>
        <x:v>0</x:v>
      </x:c>
      <x:c r="C267" t="n">
        <x:f>Match_Data!C267</x:f>
        <x:v>0</x:v>
      </x:c>
      <x:c r="D267" t="n">
        <x:f>Match_Data!E267</x:f>
        <x:v>0</x:v>
      </x:c>
      <x:c r="E267" t="n">
        <x:f>Match_Data!F267</x:f>
        <x:v>0</x:v>
      </x:c>
      <x:c r="F267" t="n">
        <x:f>Match_Data!AC267</x:f>
        <x:v>0</x:v>
      </x:c>
      <x:c r="G267" t="str">
        <x:f>IF(OR(Match_Data!K267="",Match_Data!L267=""),"",AVERAGE(Match_Data!K267:L267))</x:f>
      </x:c>
      <x:c r="H267" t="str">
        <x:f>IF(OR(Match_Data!M267="",Match_Data!N267=""),"",AVERAGE(Match_Data!M267:N267))</x:f>
      </x:c>
      <x:c r="I267" t="str">
        <x:f>IF(OR(Match_Data!O267="",Match_Data!Q267=""),"",Match_Data!O267+Match_Data!Q267)</x:f>
      </x:c>
      <x:c r="J267" t="str">
        <x:f>IF(OR(Match_Data!P267="",Match_Data!R267=""),"",Match_Data!P267+Match_Data!R267)</x:f>
      </x:c>
      <x:c r="K267" t="str">
        <x:f>IF(OR(Match_Data!S267="",Match_Data!T267=""),"",Match_Data!S267+Match_Data!T267)</x:f>
      </x:c>
      <x:c r="L267" t="str">
        <x:f>IF(OR(Match_Data!U267="",Match_Data!V267=""),"",Match_Data!U267-Match_Data!V267)</x:f>
      </x:c>
      <x:c r="M267" s="32" t="str">
        <x:f>IF(Match_Data!Y267="","",1/Match_Data!Y267)</x:f>
      </x:c>
      <x:c r="N267" s="32" t="str">
        <x:f>IF(Match_Data!AA267="","",1/Match_Data!AA267)</x:f>
      </x:c>
      <x:c r="O267" s="32" t="str">
        <x:f>IF(OR(M267="",N267=""),"",N267-M267)</x:f>
      </x:c>
      <x:c r="P267" t="str">
        <x:f>IF(Match_Data!J267="","",IF(Match_Data!J267="OVER",1,0))</x:f>
      </x:c>
    </x:row>
    <x:row r="268">
      <x:c r="A268" t="n">
        <x:f>Match_Data!A268</x:f>
        <x:v>0</x:v>
      </x:c>
      <x:c r="B268" s="28" t="n">
        <x:f>Match_Data!B268</x:f>
        <x:v>0</x:v>
      </x:c>
      <x:c r="C268" t="n">
        <x:f>Match_Data!C268</x:f>
        <x:v>0</x:v>
      </x:c>
      <x:c r="D268" t="n">
        <x:f>Match_Data!E268</x:f>
        <x:v>0</x:v>
      </x:c>
      <x:c r="E268" t="n">
        <x:f>Match_Data!F268</x:f>
        <x:v>0</x:v>
      </x:c>
      <x:c r="F268" t="n">
        <x:f>Match_Data!AC268</x:f>
        <x:v>0</x:v>
      </x:c>
      <x:c r="G268" t="str">
        <x:f>IF(OR(Match_Data!K268="",Match_Data!L268=""),"",AVERAGE(Match_Data!K268:L268))</x:f>
      </x:c>
      <x:c r="H268" t="str">
        <x:f>IF(OR(Match_Data!M268="",Match_Data!N268=""),"",AVERAGE(Match_Data!M268:N268))</x:f>
      </x:c>
      <x:c r="I268" t="str">
        <x:f>IF(OR(Match_Data!O268="",Match_Data!Q268=""),"",Match_Data!O268+Match_Data!Q268)</x:f>
      </x:c>
      <x:c r="J268" t="str">
        <x:f>IF(OR(Match_Data!P268="",Match_Data!R268=""),"",Match_Data!P268+Match_Data!R268)</x:f>
      </x:c>
      <x:c r="K268" t="str">
        <x:f>IF(OR(Match_Data!S268="",Match_Data!T268=""),"",Match_Data!S268+Match_Data!T268)</x:f>
      </x:c>
      <x:c r="L268" t="str">
        <x:f>IF(OR(Match_Data!U268="",Match_Data!V268=""),"",Match_Data!U268-Match_Data!V268)</x:f>
      </x:c>
      <x:c r="M268" s="32" t="str">
        <x:f>IF(Match_Data!Y268="","",1/Match_Data!Y268)</x:f>
      </x:c>
      <x:c r="N268" s="32" t="str">
        <x:f>IF(Match_Data!AA268="","",1/Match_Data!AA268)</x:f>
      </x:c>
      <x:c r="O268" s="32" t="str">
        <x:f>IF(OR(M268="",N268=""),"",N268-M268)</x:f>
      </x:c>
      <x:c r="P268" t="str">
        <x:f>IF(Match_Data!J268="","",IF(Match_Data!J268="OVER",1,0))</x:f>
      </x:c>
    </x:row>
    <x:row r="269">
      <x:c r="A269" t="n">
        <x:f>Match_Data!A269</x:f>
        <x:v>0</x:v>
      </x:c>
      <x:c r="B269" s="28" t="n">
        <x:f>Match_Data!B269</x:f>
        <x:v>0</x:v>
      </x:c>
      <x:c r="C269" t="n">
        <x:f>Match_Data!C269</x:f>
        <x:v>0</x:v>
      </x:c>
      <x:c r="D269" t="n">
        <x:f>Match_Data!E269</x:f>
        <x:v>0</x:v>
      </x:c>
      <x:c r="E269" t="n">
        <x:f>Match_Data!F269</x:f>
        <x:v>0</x:v>
      </x:c>
      <x:c r="F269" t="n">
        <x:f>Match_Data!AC269</x:f>
        <x:v>0</x:v>
      </x:c>
      <x:c r="G269" t="str">
        <x:f>IF(OR(Match_Data!K269="",Match_Data!L269=""),"",AVERAGE(Match_Data!K269:L269))</x:f>
      </x:c>
      <x:c r="H269" t="str">
        <x:f>IF(OR(Match_Data!M269="",Match_Data!N269=""),"",AVERAGE(Match_Data!M269:N269))</x:f>
      </x:c>
      <x:c r="I269" t="str">
        <x:f>IF(OR(Match_Data!O269="",Match_Data!Q269=""),"",Match_Data!O269+Match_Data!Q269)</x:f>
      </x:c>
      <x:c r="J269" t="str">
        <x:f>IF(OR(Match_Data!P269="",Match_Data!R269=""),"",Match_Data!P269+Match_Data!R269)</x:f>
      </x:c>
      <x:c r="K269" t="str">
        <x:f>IF(OR(Match_Data!S269="",Match_Data!T269=""),"",Match_Data!S269+Match_Data!T269)</x:f>
      </x:c>
      <x:c r="L269" t="str">
        <x:f>IF(OR(Match_Data!U269="",Match_Data!V269=""),"",Match_Data!U269-Match_Data!V269)</x:f>
      </x:c>
      <x:c r="M269" s="32" t="str">
        <x:f>IF(Match_Data!Y269="","",1/Match_Data!Y269)</x:f>
      </x:c>
      <x:c r="N269" s="32" t="str">
        <x:f>IF(Match_Data!AA269="","",1/Match_Data!AA269)</x:f>
      </x:c>
      <x:c r="O269" s="32" t="str">
        <x:f>IF(OR(M269="",N269=""),"",N269-M269)</x:f>
      </x:c>
      <x:c r="P269" t="str">
        <x:f>IF(Match_Data!J269="","",IF(Match_Data!J269="OVER",1,0))</x:f>
      </x:c>
    </x:row>
    <x:row r="270">
      <x:c r="A270" t="n">
        <x:f>Match_Data!A270</x:f>
        <x:v>0</x:v>
      </x:c>
      <x:c r="B270" s="28" t="n">
        <x:f>Match_Data!B270</x:f>
        <x:v>0</x:v>
      </x:c>
      <x:c r="C270" t="n">
        <x:f>Match_Data!C270</x:f>
        <x:v>0</x:v>
      </x:c>
      <x:c r="D270" t="n">
        <x:f>Match_Data!E270</x:f>
        <x:v>0</x:v>
      </x:c>
      <x:c r="E270" t="n">
        <x:f>Match_Data!F270</x:f>
        <x:v>0</x:v>
      </x:c>
      <x:c r="F270" t="n">
        <x:f>Match_Data!AC270</x:f>
        <x:v>0</x:v>
      </x:c>
      <x:c r="G270" t="str">
        <x:f>IF(OR(Match_Data!K270="",Match_Data!L270=""),"",AVERAGE(Match_Data!K270:L270))</x:f>
      </x:c>
      <x:c r="H270" t="str">
        <x:f>IF(OR(Match_Data!M270="",Match_Data!N270=""),"",AVERAGE(Match_Data!M270:N270))</x:f>
      </x:c>
      <x:c r="I270" t="str">
        <x:f>IF(OR(Match_Data!O270="",Match_Data!Q270=""),"",Match_Data!O270+Match_Data!Q270)</x:f>
      </x:c>
      <x:c r="J270" t="str">
        <x:f>IF(OR(Match_Data!P270="",Match_Data!R270=""),"",Match_Data!P270+Match_Data!R270)</x:f>
      </x:c>
      <x:c r="K270" t="str">
        <x:f>IF(OR(Match_Data!S270="",Match_Data!T270=""),"",Match_Data!S270+Match_Data!T270)</x:f>
      </x:c>
      <x:c r="L270" t="str">
        <x:f>IF(OR(Match_Data!U270="",Match_Data!V270=""),"",Match_Data!U270-Match_Data!V270)</x:f>
      </x:c>
      <x:c r="M270" s="32" t="str">
        <x:f>IF(Match_Data!Y270="","",1/Match_Data!Y270)</x:f>
      </x:c>
      <x:c r="N270" s="32" t="str">
        <x:f>IF(Match_Data!AA270="","",1/Match_Data!AA270)</x:f>
      </x:c>
      <x:c r="O270" s="32" t="str">
        <x:f>IF(OR(M270="",N270=""),"",N270-M270)</x:f>
      </x:c>
      <x:c r="P270" t="str">
        <x:f>IF(Match_Data!J270="","",IF(Match_Data!J270="OVER",1,0))</x:f>
      </x:c>
    </x:row>
    <x:row r="271">
      <x:c r="A271" t="n">
        <x:f>Match_Data!A271</x:f>
        <x:v>0</x:v>
      </x:c>
      <x:c r="B271" s="28" t="n">
        <x:f>Match_Data!B271</x:f>
        <x:v>0</x:v>
      </x:c>
      <x:c r="C271" t="n">
        <x:f>Match_Data!C271</x:f>
        <x:v>0</x:v>
      </x:c>
      <x:c r="D271" t="n">
        <x:f>Match_Data!E271</x:f>
        <x:v>0</x:v>
      </x:c>
      <x:c r="E271" t="n">
        <x:f>Match_Data!F271</x:f>
        <x:v>0</x:v>
      </x:c>
      <x:c r="F271" t="n">
        <x:f>Match_Data!AC271</x:f>
        <x:v>0</x:v>
      </x:c>
      <x:c r="G271" t="str">
        <x:f>IF(OR(Match_Data!K271="",Match_Data!L271=""),"",AVERAGE(Match_Data!K271:L271))</x:f>
      </x:c>
      <x:c r="H271" t="str">
        <x:f>IF(OR(Match_Data!M271="",Match_Data!N271=""),"",AVERAGE(Match_Data!M271:N271))</x:f>
      </x:c>
      <x:c r="I271" t="str">
        <x:f>IF(OR(Match_Data!O271="",Match_Data!Q271=""),"",Match_Data!O271+Match_Data!Q271)</x:f>
      </x:c>
      <x:c r="J271" t="str">
        <x:f>IF(OR(Match_Data!P271="",Match_Data!R271=""),"",Match_Data!P271+Match_Data!R271)</x:f>
      </x:c>
      <x:c r="K271" t="str">
        <x:f>IF(OR(Match_Data!S271="",Match_Data!T271=""),"",Match_Data!S271+Match_Data!T271)</x:f>
      </x:c>
      <x:c r="L271" t="str">
        <x:f>IF(OR(Match_Data!U271="",Match_Data!V271=""),"",Match_Data!U271-Match_Data!V271)</x:f>
      </x:c>
      <x:c r="M271" s="32" t="str">
        <x:f>IF(Match_Data!Y271="","",1/Match_Data!Y271)</x:f>
      </x:c>
      <x:c r="N271" s="32" t="str">
        <x:f>IF(Match_Data!AA271="","",1/Match_Data!AA271)</x:f>
      </x:c>
      <x:c r="O271" s="32" t="str">
        <x:f>IF(OR(M271="",N271=""),"",N271-M271)</x:f>
      </x:c>
      <x:c r="P271" t="str">
        <x:f>IF(Match_Data!J271="","",IF(Match_Data!J271="OVER",1,0))</x:f>
      </x:c>
    </x:row>
    <x:row r="272">
      <x:c r="A272" t="n">
        <x:f>Match_Data!A272</x:f>
        <x:v>0</x:v>
      </x:c>
      <x:c r="B272" s="28" t="n">
        <x:f>Match_Data!B272</x:f>
        <x:v>0</x:v>
      </x:c>
      <x:c r="C272" t="n">
        <x:f>Match_Data!C272</x:f>
        <x:v>0</x:v>
      </x:c>
      <x:c r="D272" t="n">
        <x:f>Match_Data!E272</x:f>
        <x:v>0</x:v>
      </x:c>
      <x:c r="E272" t="n">
        <x:f>Match_Data!F272</x:f>
        <x:v>0</x:v>
      </x:c>
      <x:c r="F272" t="n">
        <x:f>Match_Data!AC272</x:f>
        <x:v>0</x:v>
      </x:c>
      <x:c r="G272" t="str">
        <x:f>IF(OR(Match_Data!K272="",Match_Data!L272=""),"",AVERAGE(Match_Data!K272:L272))</x:f>
      </x:c>
      <x:c r="H272" t="str">
        <x:f>IF(OR(Match_Data!M272="",Match_Data!N272=""),"",AVERAGE(Match_Data!M272:N272))</x:f>
      </x:c>
      <x:c r="I272" t="str">
        <x:f>IF(OR(Match_Data!O272="",Match_Data!Q272=""),"",Match_Data!O272+Match_Data!Q272)</x:f>
      </x:c>
      <x:c r="J272" t="str">
        <x:f>IF(OR(Match_Data!P272="",Match_Data!R272=""),"",Match_Data!P272+Match_Data!R272)</x:f>
      </x:c>
      <x:c r="K272" t="str">
        <x:f>IF(OR(Match_Data!S272="",Match_Data!T272=""),"",Match_Data!S272+Match_Data!T272)</x:f>
      </x:c>
      <x:c r="L272" t="str">
        <x:f>IF(OR(Match_Data!U272="",Match_Data!V272=""),"",Match_Data!U272-Match_Data!V272)</x:f>
      </x:c>
      <x:c r="M272" s="32" t="str">
        <x:f>IF(Match_Data!Y272="","",1/Match_Data!Y272)</x:f>
      </x:c>
      <x:c r="N272" s="32" t="str">
        <x:f>IF(Match_Data!AA272="","",1/Match_Data!AA272)</x:f>
      </x:c>
      <x:c r="O272" s="32" t="str">
        <x:f>IF(OR(M272="",N272=""),"",N272-M272)</x:f>
      </x:c>
      <x:c r="P272" t="str">
        <x:f>IF(Match_Data!J272="","",IF(Match_Data!J272="OVER",1,0))</x:f>
      </x:c>
    </x:row>
    <x:row r="273">
      <x:c r="A273" t="n">
        <x:f>Match_Data!A273</x:f>
        <x:v>0</x:v>
      </x:c>
      <x:c r="B273" s="28" t="n">
        <x:f>Match_Data!B273</x:f>
        <x:v>0</x:v>
      </x:c>
      <x:c r="C273" t="n">
        <x:f>Match_Data!C273</x:f>
        <x:v>0</x:v>
      </x:c>
      <x:c r="D273" t="n">
        <x:f>Match_Data!E273</x:f>
        <x:v>0</x:v>
      </x:c>
      <x:c r="E273" t="n">
        <x:f>Match_Data!F273</x:f>
        <x:v>0</x:v>
      </x:c>
      <x:c r="F273" t="n">
        <x:f>Match_Data!AC273</x:f>
        <x:v>0</x:v>
      </x:c>
      <x:c r="G273" t="str">
        <x:f>IF(OR(Match_Data!K273="",Match_Data!L273=""),"",AVERAGE(Match_Data!K273:L273))</x:f>
      </x:c>
      <x:c r="H273" t="str">
        <x:f>IF(OR(Match_Data!M273="",Match_Data!N273=""),"",AVERAGE(Match_Data!M273:N273))</x:f>
      </x:c>
      <x:c r="I273" t="str">
        <x:f>IF(OR(Match_Data!O273="",Match_Data!Q273=""),"",Match_Data!O273+Match_Data!Q273)</x:f>
      </x:c>
      <x:c r="J273" t="str">
        <x:f>IF(OR(Match_Data!P273="",Match_Data!R273=""),"",Match_Data!P273+Match_Data!R273)</x:f>
      </x:c>
      <x:c r="K273" t="str">
        <x:f>IF(OR(Match_Data!S273="",Match_Data!T273=""),"",Match_Data!S273+Match_Data!T273)</x:f>
      </x:c>
      <x:c r="L273" t="str">
        <x:f>IF(OR(Match_Data!U273="",Match_Data!V273=""),"",Match_Data!U273-Match_Data!V273)</x:f>
      </x:c>
      <x:c r="M273" s="32" t="str">
        <x:f>IF(Match_Data!Y273="","",1/Match_Data!Y273)</x:f>
      </x:c>
      <x:c r="N273" s="32" t="str">
        <x:f>IF(Match_Data!AA273="","",1/Match_Data!AA273)</x:f>
      </x:c>
      <x:c r="O273" s="32" t="str">
        <x:f>IF(OR(M273="",N273=""),"",N273-M273)</x:f>
      </x:c>
      <x:c r="P273" t="str">
        <x:f>IF(Match_Data!J273="","",IF(Match_Data!J273="OVER",1,0))</x:f>
      </x:c>
    </x:row>
    <x:row r="274">
      <x:c r="A274" t="n">
        <x:f>Match_Data!A274</x:f>
        <x:v>0</x:v>
      </x:c>
      <x:c r="B274" s="28" t="n">
        <x:f>Match_Data!B274</x:f>
        <x:v>0</x:v>
      </x:c>
      <x:c r="C274" t="n">
        <x:f>Match_Data!C274</x:f>
        <x:v>0</x:v>
      </x:c>
      <x:c r="D274" t="n">
        <x:f>Match_Data!E274</x:f>
        <x:v>0</x:v>
      </x:c>
      <x:c r="E274" t="n">
        <x:f>Match_Data!F274</x:f>
        <x:v>0</x:v>
      </x:c>
      <x:c r="F274" t="n">
        <x:f>Match_Data!AC274</x:f>
        <x:v>0</x:v>
      </x:c>
      <x:c r="G274" t="str">
        <x:f>IF(OR(Match_Data!K274="",Match_Data!L274=""),"",AVERAGE(Match_Data!K274:L274))</x:f>
      </x:c>
      <x:c r="H274" t="str">
        <x:f>IF(OR(Match_Data!M274="",Match_Data!N274=""),"",AVERAGE(Match_Data!M274:N274))</x:f>
      </x:c>
      <x:c r="I274" t="str">
        <x:f>IF(OR(Match_Data!O274="",Match_Data!Q274=""),"",Match_Data!O274+Match_Data!Q274)</x:f>
      </x:c>
      <x:c r="J274" t="str">
        <x:f>IF(OR(Match_Data!P274="",Match_Data!R274=""),"",Match_Data!P274+Match_Data!R274)</x:f>
      </x:c>
      <x:c r="K274" t="str">
        <x:f>IF(OR(Match_Data!S274="",Match_Data!T274=""),"",Match_Data!S274+Match_Data!T274)</x:f>
      </x:c>
      <x:c r="L274" t="str">
        <x:f>IF(OR(Match_Data!U274="",Match_Data!V274=""),"",Match_Data!U274-Match_Data!V274)</x:f>
      </x:c>
      <x:c r="M274" s="32" t="str">
        <x:f>IF(Match_Data!Y274="","",1/Match_Data!Y274)</x:f>
      </x:c>
      <x:c r="N274" s="32" t="str">
        <x:f>IF(Match_Data!AA274="","",1/Match_Data!AA274)</x:f>
      </x:c>
      <x:c r="O274" s="32" t="str">
        <x:f>IF(OR(M274="",N274=""),"",N274-M274)</x:f>
      </x:c>
      <x:c r="P274" t="str">
        <x:f>IF(Match_Data!J274="","",IF(Match_Data!J274="OVER",1,0))</x:f>
      </x:c>
    </x:row>
    <x:row r="275">
      <x:c r="A275" t="n">
        <x:f>Match_Data!A275</x:f>
        <x:v>0</x:v>
      </x:c>
      <x:c r="B275" s="28" t="n">
        <x:f>Match_Data!B275</x:f>
        <x:v>0</x:v>
      </x:c>
      <x:c r="C275" t="n">
        <x:f>Match_Data!C275</x:f>
        <x:v>0</x:v>
      </x:c>
      <x:c r="D275" t="n">
        <x:f>Match_Data!E275</x:f>
        <x:v>0</x:v>
      </x:c>
      <x:c r="E275" t="n">
        <x:f>Match_Data!F275</x:f>
        <x:v>0</x:v>
      </x:c>
      <x:c r="F275" t="n">
        <x:f>Match_Data!AC275</x:f>
        <x:v>0</x:v>
      </x:c>
      <x:c r="G275" t="str">
        <x:f>IF(OR(Match_Data!K275="",Match_Data!L275=""),"",AVERAGE(Match_Data!K275:L275))</x:f>
      </x:c>
      <x:c r="H275" t="str">
        <x:f>IF(OR(Match_Data!M275="",Match_Data!N275=""),"",AVERAGE(Match_Data!M275:N275))</x:f>
      </x:c>
      <x:c r="I275" t="str">
        <x:f>IF(OR(Match_Data!O275="",Match_Data!Q275=""),"",Match_Data!O275+Match_Data!Q275)</x:f>
      </x:c>
      <x:c r="J275" t="str">
        <x:f>IF(OR(Match_Data!P275="",Match_Data!R275=""),"",Match_Data!P275+Match_Data!R275)</x:f>
      </x:c>
      <x:c r="K275" t="str">
        <x:f>IF(OR(Match_Data!S275="",Match_Data!T275=""),"",Match_Data!S275+Match_Data!T275)</x:f>
      </x:c>
      <x:c r="L275" t="str">
        <x:f>IF(OR(Match_Data!U275="",Match_Data!V275=""),"",Match_Data!U275-Match_Data!V275)</x:f>
      </x:c>
      <x:c r="M275" s="32" t="str">
        <x:f>IF(Match_Data!Y275="","",1/Match_Data!Y275)</x:f>
      </x:c>
      <x:c r="N275" s="32" t="str">
        <x:f>IF(Match_Data!AA275="","",1/Match_Data!AA275)</x:f>
      </x:c>
      <x:c r="O275" s="32" t="str">
        <x:f>IF(OR(M275="",N275=""),"",N275-M275)</x:f>
      </x:c>
      <x:c r="P275" t="str">
        <x:f>IF(Match_Data!J275="","",IF(Match_Data!J275="OVER",1,0))</x:f>
      </x:c>
    </x:row>
    <x:row r="276">
      <x:c r="A276" t="n">
        <x:f>Match_Data!A276</x:f>
        <x:v>0</x:v>
      </x:c>
      <x:c r="B276" s="28" t="n">
        <x:f>Match_Data!B276</x:f>
        <x:v>0</x:v>
      </x:c>
      <x:c r="C276" t="n">
        <x:f>Match_Data!C276</x:f>
        <x:v>0</x:v>
      </x:c>
      <x:c r="D276" t="n">
        <x:f>Match_Data!E276</x:f>
        <x:v>0</x:v>
      </x:c>
      <x:c r="E276" t="n">
        <x:f>Match_Data!F276</x:f>
        <x:v>0</x:v>
      </x:c>
      <x:c r="F276" t="n">
        <x:f>Match_Data!AC276</x:f>
        <x:v>0</x:v>
      </x:c>
      <x:c r="G276" t="str">
        <x:f>IF(OR(Match_Data!K276="",Match_Data!L276=""),"",AVERAGE(Match_Data!K276:L276))</x:f>
      </x:c>
      <x:c r="H276" t="str">
        <x:f>IF(OR(Match_Data!M276="",Match_Data!N276=""),"",AVERAGE(Match_Data!M276:N276))</x:f>
      </x:c>
      <x:c r="I276" t="str">
        <x:f>IF(OR(Match_Data!O276="",Match_Data!Q276=""),"",Match_Data!O276+Match_Data!Q276)</x:f>
      </x:c>
      <x:c r="J276" t="str">
        <x:f>IF(OR(Match_Data!P276="",Match_Data!R276=""),"",Match_Data!P276+Match_Data!R276)</x:f>
      </x:c>
      <x:c r="K276" t="str">
        <x:f>IF(OR(Match_Data!S276="",Match_Data!T276=""),"",Match_Data!S276+Match_Data!T276)</x:f>
      </x:c>
      <x:c r="L276" t="str">
        <x:f>IF(OR(Match_Data!U276="",Match_Data!V276=""),"",Match_Data!U276-Match_Data!V276)</x:f>
      </x:c>
      <x:c r="M276" s="32" t="str">
        <x:f>IF(Match_Data!Y276="","",1/Match_Data!Y276)</x:f>
      </x:c>
      <x:c r="N276" s="32" t="str">
        <x:f>IF(Match_Data!AA276="","",1/Match_Data!AA276)</x:f>
      </x:c>
      <x:c r="O276" s="32" t="str">
        <x:f>IF(OR(M276="",N276=""),"",N276-M276)</x:f>
      </x:c>
      <x:c r="P276" t="str">
        <x:f>IF(Match_Data!J276="","",IF(Match_Data!J276="OVER",1,0))</x:f>
      </x:c>
    </x:row>
    <x:row r="277">
      <x:c r="A277" t="n">
        <x:f>Match_Data!A277</x:f>
        <x:v>0</x:v>
      </x:c>
      <x:c r="B277" s="28" t="n">
        <x:f>Match_Data!B277</x:f>
        <x:v>0</x:v>
      </x:c>
      <x:c r="C277" t="n">
        <x:f>Match_Data!C277</x:f>
        <x:v>0</x:v>
      </x:c>
      <x:c r="D277" t="n">
        <x:f>Match_Data!E277</x:f>
        <x:v>0</x:v>
      </x:c>
      <x:c r="E277" t="n">
        <x:f>Match_Data!F277</x:f>
        <x:v>0</x:v>
      </x:c>
      <x:c r="F277" t="n">
        <x:f>Match_Data!AC277</x:f>
        <x:v>0</x:v>
      </x:c>
      <x:c r="G277" t="str">
        <x:f>IF(OR(Match_Data!K277="",Match_Data!L277=""),"",AVERAGE(Match_Data!K277:L277))</x:f>
      </x:c>
      <x:c r="H277" t="str">
        <x:f>IF(OR(Match_Data!M277="",Match_Data!N277=""),"",AVERAGE(Match_Data!M277:N277))</x:f>
      </x:c>
      <x:c r="I277" t="str">
        <x:f>IF(OR(Match_Data!O277="",Match_Data!Q277=""),"",Match_Data!O277+Match_Data!Q277)</x:f>
      </x:c>
      <x:c r="J277" t="str">
        <x:f>IF(OR(Match_Data!P277="",Match_Data!R277=""),"",Match_Data!P277+Match_Data!R277)</x:f>
      </x:c>
      <x:c r="K277" t="str">
        <x:f>IF(OR(Match_Data!S277="",Match_Data!T277=""),"",Match_Data!S277+Match_Data!T277)</x:f>
      </x:c>
      <x:c r="L277" t="str">
        <x:f>IF(OR(Match_Data!U277="",Match_Data!V277=""),"",Match_Data!U277-Match_Data!V277)</x:f>
      </x:c>
      <x:c r="M277" s="32" t="str">
        <x:f>IF(Match_Data!Y277="","",1/Match_Data!Y277)</x:f>
      </x:c>
      <x:c r="N277" s="32" t="str">
        <x:f>IF(Match_Data!AA277="","",1/Match_Data!AA277)</x:f>
      </x:c>
      <x:c r="O277" s="32" t="str">
        <x:f>IF(OR(M277="",N277=""),"",N277-M277)</x:f>
      </x:c>
      <x:c r="P277" t="str">
        <x:f>IF(Match_Data!J277="","",IF(Match_Data!J277="OVER",1,0))</x:f>
      </x:c>
    </x:row>
    <x:row r="278">
      <x:c r="A278" t="n">
        <x:f>Match_Data!A278</x:f>
        <x:v>0</x:v>
      </x:c>
      <x:c r="B278" s="28" t="n">
        <x:f>Match_Data!B278</x:f>
        <x:v>0</x:v>
      </x:c>
      <x:c r="C278" t="n">
        <x:f>Match_Data!C278</x:f>
        <x:v>0</x:v>
      </x:c>
      <x:c r="D278" t="n">
        <x:f>Match_Data!E278</x:f>
        <x:v>0</x:v>
      </x:c>
      <x:c r="E278" t="n">
        <x:f>Match_Data!F278</x:f>
        <x:v>0</x:v>
      </x:c>
      <x:c r="F278" t="n">
        <x:f>Match_Data!AC278</x:f>
        <x:v>0</x:v>
      </x:c>
      <x:c r="G278" t="str">
        <x:f>IF(OR(Match_Data!K278="",Match_Data!L278=""),"",AVERAGE(Match_Data!K278:L278))</x:f>
      </x:c>
      <x:c r="H278" t="str">
        <x:f>IF(OR(Match_Data!M278="",Match_Data!N278=""),"",AVERAGE(Match_Data!M278:N278))</x:f>
      </x:c>
      <x:c r="I278" t="str">
        <x:f>IF(OR(Match_Data!O278="",Match_Data!Q278=""),"",Match_Data!O278+Match_Data!Q278)</x:f>
      </x:c>
      <x:c r="J278" t="str">
        <x:f>IF(OR(Match_Data!P278="",Match_Data!R278=""),"",Match_Data!P278+Match_Data!R278)</x:f>
      </x:c>
      <x:c r="K278" t="str">
        <x:f>IF(OR(Match_Data!S278="",Match_Data!T278=""),"",Match_Data!S278+Match_Data!T278)</x:f>
      </x:c>
      <x:c r="L278" t="str">
        <x:f>IF(OR(Match_Data!U278="",Match_Data!V278=""),"",Match_Data!U278-Match_Data!V278)</x:f>
      </x:c>
      <x:c r="M278" s="32" t="str">
        <x:f>IF(Match_Data!Y278="","",1/Match_Data!Y278)</x:f>
      </x:c>
      <x:c r="N278" s="32" t="str">
        <x:f>IF(Match_Data!AA278="","",1/Match_Data!AA278)</x:f>
      </x:c>
      <x:c r="O278" s="32" t="str">
        <x:f>IF(OR(M278="",N278=""),"",N278-M278)</x:f>
      </x:c>
      <x:c r="P278" t="str">
        <x:f>IF(Match_Data!J278="","",IF(Match_Data!J278="OVER",1,0))</x:f>
      </x:c>
    </x:row>
    <x:row r="279">
      <x:c r="A279" t="n">
        <x:f>Match_Data!A279</x:f>
        <x:v>0</x:v>
      </x:c>
      <x:c r="B279" s="28" t="n">
        <x:f>Match_Data!B279</x:f>
        <x:v>0</x:v>
      </x:c>
      <x:c r="C279" t="n">
        <x:f>Match_Data!C279</x:f>
        <x:v>0</x:v>
      </x:c>
      <x:c r="D279" t="n">
        <x:f>Match_Data!E279</x:f>
        <x:v>0</x:v>
      </x:c>
      <x:c r="E279" t="n">
        <x:f>Match_Data!F279</x:f>
        <x:v>0</x:v>
      </x:c>
      <x:c r="F279" t="n">
        <x:f>Match_Data!AC279</x:f>
        <x:v>0</x:v>
      </x:c>
      <x:c r="G279" t="str">
        <x:f>IF(OR(Match_Data!K279="",Match_Data!L279=""),"",AVERAGE(Match_Data!K279:L279))</x:f>
      </x:c>
      <x:c r="H279" t="str">
        <x:f>IF(OR(Match_Data!M279="",Match_Data!N279=""),"",AVERAGE(Match_Data!M279:N279))</x:f>
      </x:c>
      <x:c r="I279" t="str">
        <x:f>IF(OR(Match_Data!O279="",Match_Data!Q279=""),"",Match_Data!O279+Match_Data!Q279)</x:f>
      </x:c>
      <x:c r="J279" t="str">
        <x:f>IF(OR(Match_Data!P279="",Match_Data!R279=""),"",Match_Data!P279+Match_Data!R279)</x:f>
      </x:c>
      <x:c r="K279" t="str">
        <x:f>IF(OR(Match_Data!S279="",Match_Data!T279=""),"",Match_Data!S279+Match_Data!T279)</x:f>
      </x:c>
      <x:c r="L279" t="str">
        <x:f>IF(OR(Match_Data!U279="",Match_Data!V279=""),"",Match_Data!U279-Match_Data!V279)</x:f>
      </x:c>
      <x:c r="M279" s="32" t="str">
        <x:f>IF(Match_Data!Y279="","",1/Match_Data!Y279)</x:f>
      </x:c>
      <x:c r="N279" s="32" t="str">
        <x:f>IF(Match_Data!AA279="","",1/Match_Data!AA279)</x:f>
      </x:c>
      <x:c r="O279" s="32" t="str">
        <x:f>IF(OR(M279="",N279=""),"",N279-M279)</x:f>
      </x:c>
      <x:c r="P279" t="str">
        <x:f>IF(Match_Data!J279="","",IF(Match_Data!J279="OVER",1,0))</x:f>
      </x:c>
    </x:row>
    <x:row r="280">
      <x:c r="A280" t="n">
        <x:f>Match_Data!A280</x:f>
        <x:v>0</x:v>
      </x:c>
      <x:c r="B280" s="28" t="n">
        <x:f>Match_Data!B280</x:f>
        <x:v>0</x:v>
      </x:c>
      <x:c r="C280" t="n">
        <x:f>Match_Data!C280</x:f>
        <x:v>0</x:v>
      </x:c>
      <x:c r="D280" t="n">
        <x:f>Match_Data!E280</x:f>
        <x:v>0</x:v>
      </x:c>
      <x:c r="E280" t="n">
        <x:f>Match_Data!F280</x:f>
        <x:v>0</x:v>
      </x:c>
      <x:c r="F280" t="n">
        <x:f>Match_Data!AC280</x:f>
        <x:v>0</x:v>
      </x:c>
      <x:c r="G280" t="str">
        <x:f>IF(OR(Match_Data!K280="",Match_Data!L280=""),"",AVERAGE(Match_Data!K280:L280))</x:f>
      </x:c>
      <x:c r="H280" t="str">
        <x:f>IF(OR(Match_Data!M280="",Match_Data!N280=""),"",AVERAGE(Match_Data!M280:N280))</x:f>
      </x:c>
      <x:c r="I280" t="str">
        <x:f>IF(OR(Match_Data!O280="",Match_Data!Q280=""),"",Match_Data!O280+Match_Data!Q280)</x:f>
      </x:c>
      <x:c r="J280" t="str">
        <x:f>IF(OR(Match_Data!P280="",Match_Data!R280=""),"",Match_Data!P280+Match_Data!R280)</x:f>
      </x:c>
      <x:c r="K280" t="str">
        <x:f>IF(OR(Match_Data!S280="",Match_Data!T280=""),"",Match_Data!S280+Match_Data!T280)</x:f>
      </x:c>
      <x:c r="L280" t="str">
        <x:f>IF(OR(Match_Data!U280="",Match_Data!V280=""),"",Match_Data!U280-Match_Data!V280)</x:f>
      </x:c>
      <x:c r="M280" s="32" t="str">
        <x:f>IF(Match_Data!Y280="","",1/Match_Data!Y280)</x:f>
      </x:c>
      <x:c r="N280" s="32" t="str">
        <x:f>IF(Match_Data!AA280="","",1/Match_Data!AA280)</x:f>
      </x:c>
      <x:c r="O280" s="32" t="str">
        <x:f>IF(OR(M280="",N280=""),"",N280-M280)</x:f>
      </x:c>
      <x:c r="P280" t="str">
        <x:f>IF(Match_Data!J280="","",IF(Match_Data!J280="OVER",1,0))</x:f>
      </x:c>
    </x:row>
    <x:row r="281">
      <x:c r="A281" t="n">
        <x:f>Match_Data!A281</x:f>
        <x:v>0</x:v>
      </x:c>
      <x:c r="B281" s="28" t="n">
        <x:f>Match_Data!B281</x:f>
        <x:v>0</x:v>
      </x:c>
      <x:c r="C281" t="n">
        <x:f>Match_Data!C281</x:f>
        <x:v>0</x:v>
      </x:c>
      <x:c r="D281" t="n">
        <x:f>Match_Data!E281</x:f>
        <x:v>0</x:v>
      </x:c>
      <x:c r="E281" t="n">
        <x:f>Match_Data!F281</x:f>
        <x:v>0</x:v>
      </x:c>
      <x:c r="F281" t="n">
        <x:f>Match_Data!AC281</x:f>
        <x:v>0</x:v>
      </x:c>
      <x:c r="G281" t="str">
        <x:f>IF(OR(Match_Data!K281="",Match_Data!L281=""),"",AVERAGE(Match_Data!K281:L281))</x:f>
      </x:c>
      <x:c r="H281" t="str">
        <x:f>IF(OR(Match_Data!M281="",Match_Data!N281=""),"",AVERAGE(Match_Data!M281:N281))</x:f>
      </x:c>
      <x:c r="I281" t="str">
        <x:f>IF(OR(Match_Data!O281="",Match_Data!Q281=""),"",Match_Data!O281+Match_Data!Q281)</x:f>
      </x:c>
      <x:c r="J281" t="str">
        <x:f>IF(OR(Match_Data!P281="",Match_Data!R281=""),"",Match_Data!P281+Match_Data!R281)</x:f>
      </x:c>
      <x:c r="K281" t="str">
        <x:f>IF(OR(Match_Data!S281="",Match_Data!T281=""),"",Match_Data!S281+Match_Data!T281)</x:f>
      </x:c>
      <x:c r="L281" t="str">
        <x:f>IF(OR(Match_Data!U281="",Match_Data!V281=""),"",Match_Data!U281-Match_Data!V281)</x:f>
      </x:c>
      <x:c r="M281" s="32" t="str">
        <x:f>IF(Match_Data!Y281="","",1/Match_Data!Y281)</x:f>
      </x:c>
      <x:c r="N281" s="32" t="str">
        <x:f>IF(Match_Data!AA281="","",1/Match_Data!AA281)</x:f>
      </x:c>
      <x:c r="O281" s="32" t="str">
        <x:f>IF(OR(M281="",N281=""),"",N281-M281)</x:f>
      </x:c>
      <x:c r="P281" t="str">
        <x:f>IF(Match_Data!J281="","",IF(Match_Data!J281="OVER",1,0))</x:f>
      </x:c>
    </x:row>
    <x:row r="282">
      <x:c r="A282" t="n">
        <x:f>Match_Data!A282</x:f>
        <x:v>0</x:v>
      </x:c>
      <x:c r="B282" s="28" t="n">
        <x:f>Match_Data!B282</x:f>
        <x:v>0</x:v>
      </x:c>
      <x:c r="C282" t="n">
        <x:f>Match_Data!C282</x:f>
        <x:v>0</x:v>
      </x:c>
      <x:c r="D282" t="n">
        <x:f>Match_Data!E282</x:f>
        <x:v>0</x:v>
      </x:c>
      <x:c r="E282" t="n">
        <x:f>Match_Data!F282</x:f>
        <x:v>0</x:v>
      </x:c>
      <x:c r="F282" t="n">
        <x:f>Match_Data!AC282</x:f>
        <x:v>0</x:v>
      </x:c>
      <x:c r="G282" t="str">
        <x:f>IF(OR(Match_Data!K282="",Match_Data!L282=""),"",AVERAGE(Match_Data!K282:L282))</x:f>
      </x:c>
      <x:c r="H282" t="str">
        <x:f>IF(OR(Match_Data!M282="",Match_Data!N282=""),"",AVERAGE(Match_Data!M282:N282))</x:f>
      </x:c>
      <x:c r="I282" t="str">
        <x:f>IF(OR(Match_Data!O282="",Match_Data!Q282=""),"",Match_Data!O282+Match_Data!Q282)</x:f>
      </x:c>
      <x:c r="J282" t="str">
        <x:f>IF(OR(Match_Data!P282="",Match_Data!R282=""),"",Match_Data!P282+Match_Data!R282)</x:f>
      </x:c>
      <x:c r="K282" t="str">
        <x:f>IF(OR(Match_Data!S282="",Match_Data!T282=""),"",Match_Data!S282+Match_Data!T282)</x:f>
      </x:c>
      <x:c r="L282" t="str">
        <x:f>IF(OR(Match_Data!U282="",Match_Data!V282=""),"",Match_Data!U282-Match_Data!V282)</x:f>
      </x:c>
      <x:c r="M282" s="32" t="str">
        <x:f>IF(Match_Data!Y282="","",1/Match_Data!Y282)</x:f>
      </x:c>
      <x:c r="N282" s="32" t="str">
        <x:f>IF(Match_Data!AA282="","",1/Match_Data!AA282)</x:f>
      </x:c>
      <x:c r="O282" s="32" t="str">
        <x:f>IF(OR(M282="",N282=""),"",N282-M282)</x:f>
      </x:c>
      <x:c r="P282" t="str">
        <x:f>IF(Match_Data!J282="","",IF(Match_Data!J282="OVER",1,0))</x:f>
      </x:c>
    </x:row>
    <x:row r="283">
      <x:c r="A283" t="n">
        <x:f>Match_Data!A283</x:f>
        <x:v>0</x:v>
      </x:c>
      <x:c r="B283" s="28" t="n">
        <x:f>Match_Data!B283</x:f>
        <x:v>0</x:v>
      </x:c>
      <x:c r="C283" t="n">
        <x:f>Match_Data!C283</x:f>
        <x:v>0</x:v>
      </x:c>
      <x:c r="D283" t="n">
        <x:f>Match_Data!E283</x:f>
        <x:v>0</x:v>
      </x:c>
      <x:c r="E283" t="n">
        <x:f>Match_Data!F283</x:f>
        <x:v>0</x:v>
      </x:c>
      <x:c r="F283" t="n">
        <x:f>Match_Data!AC283</x:f>
        <x:v>0</x:v>
      </x:c>
      <x:c r="G283" t="str">
        <x:f>IF(OR(Match_Data!K283="",Match_Data!L283=""),"",AVERAGE(Match_Data!K283:L283))</x:f>
      </x:c>
      <x:c r="H283" t="str">
        <x:f>IF(OR(Match_Data!M283="",Match_Data!N283=""),"",AVERAGE(Match_Data!M283:N283))</x:f>
      </x:c>
      <x:c r="I283" t="str">
        <x:f>IF(OR(Match_Data!O283="",Match_Data!Q283=""),"",Match_Data!O283+Match_Data!Q283)</x:f>
      </x:c>
      <x:c r="J283" t="str">
        <x:f>IF(OR(Match_Data!P283="",Match_Data!R283=""),"",Match_Data!P283+Match_Data!R283)</x:f>
      </x:c>
      <x:c r="K283" t="str">
        <x:f>IF(OR(Match_Data!S283="",Match_Data!T283=""),"",Match_Data!S283+Match_Data!T283)</x:f>
      </x:c>
      <x:c r="L283" t="str">
        <x:f>IF(OR(Match_Data!U283="",Match_Data!V283=""),"",Match_Data!U283-Match_Data!V283)</x:f>
      </x:c>
      <x:c r="M283" s="32" t="str">
        <x:f>IF(Match_Data!Y283="","",1/Match_Data!Y283)</x:f>
      </x:c>
      <x:c r="N283" s="32" t="str">
        <x:f>IF(Match_Data!AA283="","",1/Match_Data!AA283)</x:f>
      </x:c>
      <x:c r="O283" s="32" t="str">
        <x:f>IF(OR(M283="",N283=""),"",N283-M283)</x:f>
      </x:c>
      <x:c r="P283" t="str">
        <x:f>IF(Match_Data!J283="","",IF(Match_Data!J283="OVER",1,0))</x:f>
      </x:c>
    </x:row>
    <x:row r="284">
      <x:c r="A284" t="n">
        <x:f>Match_Data!A284</x:f>
        <x:v>0</x:v>
      </x:c>
      <x:c r="B284" s="28" t="n">
        <x:f>Match_Data!B284</x:f>
        <x:v>0</x:v>
      </x:c>
      <x:c r="C284" t="n">
        <x:f>Match_Data!C284</x:f>
        <x:v>0</x:v>
      </x:c>
      <x:c r="D284" t="n">
        <x:f>Match_Data!E284</x:f>
        <x:v>0</x:v>
      </x:c>
      <x:c r="E284" t="n">
        <x:f>Match_Data!F284</x:f>
        <x:v>0</x:v>
      </x:c>
      <x:c r="F284" t="n">
        <x:f>Match_Data!AC284</x:f>
        <x:v>0</x:v>
      </x:c>
      <x:c r="G284" t="str">
        <x:f>IF(OR(Match_Data!K284="",Match_Data!L284=""),"",AVERAGE(Match_Data!K284:L284))</x:f>
      </x:c>
      <x:c r="H284" t="str">
        <x:f>IF(OR(Match_Data!M284="",Match_Data!N284=""),"",AVERAGE(Match_Data!M284:N284))</x:f>
      </x:c>
      <x:c r="I284" t="str">
        <x:f>IF(OR(Match_Data!O284="",Match_Data!Q284=""),"",Match_Data!O284+Match_Data!Q284)</x:f>
      </x:c>
      <x:c r="J284" t="str">
        <x:f>IF(OR(Match_Data!P284="",Match_Data!R284=""),"",Match_Data!P284+Match_Data!R284)</x:f>
      </x:c>
      <x:c r="K284" t="str">
        <x:f>IF(OR(Match_Data!S284="",Match_Data!T284=""),"",Match_Data!S284+Match_Data!T284)</x:f>
      </x:c>
      <x:c r="L284" t="str">
        <x:f>IF(OR(Match_Data!U284="",Match_Data!V284=""),"",Match_Data!U284-Match_Data!V284)</x:f>
      </x:c>
      <x:c r="M284" s="32" t="str">
        <x:f>IF(Match_Data!Y284="","",1/Match_Data!Y284)</x:f>
      </x:c>
      <x:c r="N284" s="32" t="str">
        <x:f>IF(Match_Data!AA284="","",1/Match_Data!AA284)</x:f>
      </x:c>
      <x:c r="O284" s="32" t="str">
        <x:f>IF(OR(M284="",N284=""),"",N284-M284)</x:f>
      </x:c>
      <x:c r="P284" t="str">
        <x:f>IF(Match_Data!J284="","",IF(Match_Data!J284="OVER",1,0))</x:f>
      </x:c>
    </x:row>
    <x:row r="285">
      <x:c r="A285" t="n">
        <x:f>Match_Data!A285</x:f>
        <x:v>0</x:v>
      </x:c>
      <x:c r="B285" s="28" t="n">
        <x:f>Match_Data!B285</x:f>
        <x:v>0</x:v>
      </x:c>
      <x:c r="C285" t="n">
        <x:f>Match_Data!C285</x:f>
        <x:v>0</x:v>
      </x:c>
      <x:c r="D285" t="n">
        <x:f>Match_Data!E285</x:f>
        <x:v>0</x:v>
      </x:c>
      <x:c r="E285" t="n">
        <x:f>Match_Data!F285</x:f>
        <x:v>0</x:v>
      </x:c>
      <x:c r="F285" t="n">
        <x:f>Match_Data!AC285</x:f>
        <x:v>0</x:v>
      </x:c>
      <x:c r="G285" t="str">
        <x:f>IF(OR(Match_Data!K285="",Match_Data!L285=""),"",AVERAGE(Match_Data!K285:L285))</x:f>
      </x:c>
      <x:c r="H285" t="str">
        <x:f>IF(OR(Match_Data!M285="",Match_Data!N285=""),"",AVERAGE(Match_Data!M285:N285))</x:f>
      </x:c>
      <x:c r="I285" t="str">
        <x:f>IF(OR(Match_Data!O285="",Match_Data!Q285=""),"",Match_Data!O285+Match_Data!Q285)</x:f>
      </x:c>
      <x:c r="J285" t="str">
        <x:f>IF(OR(Match_Data!P285="",Match_Data!R285=""),"",Match_Data!P285+Match_Data!R285)</x:f>
      </x:c>
      <x:c r="K285" t="str">
        <x:f>IF(OR(Match_Data!S285="",Match_Data!T285=""),"",Match_Data!S285+Match_Data!T285)</x:f>
      </x:c>
      <x:c r="L285" t="str">
        <x:f>IF(OR(Match_Data!U285="",Match_Data!V285=""),"",Match_Data!U285-Match_Data!V285)</x:f>
      </x:c>
      <x:c r="M285" s="32" t="str">
        <x:f>IF(Match_Data!Y285="","",1/Match_Data!Y285)</x:f>
      </x:c>
      <x:c r="N285" s="32" t="str">
        <x:f>IF(Match_Data!AA285="","",1/Match_Data!AA285)</x:f>
      </x:c>
      <x:c r="O285" s="32" t="str">
        <x:f>IF(OR(M285="",N285=""),"",N285-M285)</x:f>
      </x:c>
      <x:c r="P285" t="str">
        <x:f>IF(Match_Data!J285="","",IF(Match_Data!J285="OVER",1,0))</x:f>
      </x:c>
    </x:row>
    <x:row r="286">
      <x:c r="A286" t="n">
        <x:f>Match_Data!A286</x:f>
        <x:v>0</x:v>
      </x:c>
      <x:c r="B286" s="28" t="n">
        <x:f>Match_Data!B286</x:f>
        <x:v>0</x:v>
      </x:c>
      <x:c r="C286" t="n">
        <x:f>Match_Data!C286</x:f>
        <x:v>0</x:v>
      </x:c>
      <x:c r="D286" t="n">
        <x:f>Match_Data!E286</x:f>
        <x:v>0</x:v>
      </x:c>
      <x:c r="E286" t="n">
        <x:f>Match_Data!F286</x:f>
        <x:v>0</x:v>
      </x:c>
      <x:c r="F286" t="n">
        <x:f>Match_Data!AC286</x:f>
        <x:v>0</x:v>
      </x:c>
      <x:c r="G286" t="str">
        <x:f>IF(OR(Match_Data!K286="",Match_Data!L286=""),"",AVERAGE(Match_Data!K286:L286))</x:f>
      </x:c>
      <x:c r="H286" t="str">
        <x:f>IF(OR(Match_Data!M286="",Match_Data!N286=""),"",AVERAGE(Match_Data!M286:N286))</x:f>
      </x:c>
      <x:c r="I286" t="str">
        <x:f>IF(OR(Match_Data!O286="",Match_Data!Q286=""),"",Match_Data!O286+Match_Data!Q286)</x:f>
      </x:c>
      <x:c r="J286" t="str">
        <x:f>IF(OR(Match_Data!P286="",Match_Data!R286=""),"",Match_Data!P286+Match_Data!R286)</x:f>
      </x:c>
      <x:c r="K286" t="str">
        <x:f>IF(OR(Match_Data!S286="",Match_Data!T286=""),"",Match_Data!S286+Match_Data!T286)</x:f>
      </x:c>
      <x:c r="L286" t="str">
        <x:f>IF(OR(Match_Data!U286="",Match_Data!V286=""),"",Match_Data!U286-Match_Data!V286)</x:f>
      </x:c>
      <x:c r="M286" s="32" t="str">
        <x:f>IF(Match_Data!Y286="","",1/Match_Data!Y286)</x:f>
      </x:c>
      <x:c r="N286" s="32" t="str">
        <x:f>IF(Match_Data!AA286="","",1/Match_Data!AA286)</x:f>
      </x:c>
      <x:c r="O286" s="32" t="str">
        <x:f>IF(OR(M286="",N286=""),"",N286-M286)</x:f>
      </x:c>
      <x:c r="P286" t="str">
        <x:f>IF(Match_Data!J286="","",IF(Match_Data!J286="OVER",1,0))</x:f>
      </x:c>
    </x:row>
    <x:row r="287">
      <x:c r="A287" t="n">
        <x:f>Match_Data!A287</x:f>
        <x:v>0</x:v>
      </x:c>
      <x:c r="B287" s="28" t="n">
        <x:f>Match_Data!B287</x:f>
        <x:v>0</x:v>
      </x:c>
      <x:c r="C287" t="n">
        <x:f>Match_Data!C287</x:f>
        <x:v>0</x:v>
      </x:c>
      <x:c r="D287" t="n">
        <x:f>Match_Data!E287</x:f>
        <x:v>0</x:v>
      </x:c>
      <x:c r="E287" t="n">
        <x:f>Match_Data!F287</x:f>
        <x:v>0</x:v>
      </x:c>
      <x:c r="F287" t="n">
        <x:f>Match_Data!AC287</x:f>
        <x:v>0</x:v>
      </x:c>
      <x:c r="G287" t="str">
        <x:f>IF(OR(Match_Data!K287="",Match_Data!L287=""),"",AVERAGE(Match_Data!K287:L287))</x:f>
      </x:c>
      <x:c r="H287" t="str">
        <x:f>IF(OR(Match_Data!M287="",Match_Data!N287=""),"",AVERAGE(Match_Data!M287:N287))</x:f>
      </x:c>
      <x:c r="I287" t="str">
        <x:f>IF(OR(Match_Data!O287="",Match_Data!Q287=""),"",Match_Data!O287+Match_Data!Q287)</x:f>
      </x:c>
      <x:c r="J287" t="str">
        <x:f>IF(OR(Match_Data!P287="",Match_Data!R287=""),"",Match_Data!P287+Match_Data!R287)</x:f>
      </x:c>
      <x:c r="K287" t="str">
        <x:f>IF(OR(Match_Data!S287="",Match_Data!T287=""),"",Match_Data!S287+Match_Data!T287)</x:f>
      </x:c>
      <x:c r="L287" t="str">
        <x:f>IF(OR(Match_Data!U287="",Match_Data!V287=""),"",Match_Data!U287-Match_Data!V287)</x:f>
      </x:c>
      <x:c r="M287" s="32" t="str">
        <x:f>IF(Match_Data!Y287="","",1/Match_Data!Y287)</x:f>
      </x:c>
      <x:c r="N287" s="32" t="str">
        <x:f>IF(Match_Data!AA287="","",1/Match_Data!AA287)</x:f>
      </x:c>
      <x:c r="O287" s="32" t="str">
        <x:f>IF(OR(M287="",N287=""),"",N287-M287)</x:f>
      </x:c>
      <x:c r="P287" t="str">
        <x:f>IF(Match_Data!J287="","",IF(Match_Data!J287="OVER",1,0))</x:f>
      </x:c>
    </x:row>
    <x:row r="288">
      <x:c r="A288" t="n">
        <x:f>Match_Data!A288</x:f>
        <x:v>0</x:v>
      </x:c>
      <x:c r="B288" s="28" t="n">
        <x:f>Match_Data!B288</x:f>
        <x:v>0</x:v>
      </x:c>
      <x:c r="C288" t="n">
        <x:f>Match_Data!C288</x:f>
        <x:v>0</x:v>
      </x:c>
      <x:c r="D288" t="n">
        <x:f>Match_Data!E288</x:f>
        <x:v>0</x:v>
      </x:c>
      <x:c r="E288" t="n">
        <x:f>Match_Data!F288</x:f>
        <x:v>0</x:v>
      </x:c>
      <x:c r="F288" t="n">
        <x:f>Match_Data!AC288</x:f>
        <x:v>0</x:v>
      </x:c>
      <x:c r="G288" t="str">
        <x:f>IF(OR(Match_Data!K288="",Match_Data!L288=""),"",AVERAGE(Match_Data!K288:L288))</x:f>
      </x:c>
      <x:c r="H288" t="str">
        <x:f>IF(OR(Match_Data!M288="",Match_Data!N288=""),"",AVERAGE(Match_Data!M288:N288))</x:f>
      </x:c>
      <x:c r="I288" t="str">
        <x:f>IF(OR(Match_Data!O288="",Match_Data!Q288=""),"",Match_Data!O288+Match_Data!Q288)</x:f>
      </x:c>
      <x:c r="J288" t="str">
        <x:f>IF(OR(Match_Data!P288="",Match_Data!R288=""),"",Match_Data!P288+Match_Data!R288)</x:f>
      </x:c>
      <x:c r="K288" t="str">
        <x:f>IF(OR(Match_Data!S288="",Match_Data!T288=""),"",Match_Data!S288+Match_Data!T288)</x:f>
      </x:c>
      <x:c r="L288" t="str">
        <x:f>IF(OR(Match_Data!U288="",Match_Data!V288=""),"",Match_Data!U288-Match_Data!V288)</x:f>
      </x:c>
      <x:c r="M288" s="32" t="str">
        <x:f>IF(Match_Data!Y288="","",1/Match_Data!Y288)</x:f>
      </x:c>
      <x:c r="N288" s="32" t="str">
        <x:f>IF(Match_Data!AA288="","",1/Match_Data!AA288)</x:f>
      </x:c>
      <x:c r="O288" s="32" t="str">
        <x:f>IF(OR(M288="",N288=""),"",N288-M288)</x:f>
      </x:c>
      <x:c r="P288" t="str">
        <x:f>IF(Match_Data!J288="","",IF(Match_Data!J288="OVER",1,0))</x:f>
      </x:c>
    </x:row>
    <x:row r="289">
      <x:c r="A289" t="n">
        <x:f>Match_Data!A289</x:f>
        <x:v>0</x:v>
      </x:c>
      <x:c r="B289" s="28" t="n">
        <x:f>Match_Data!B289</x:f>
        <x:v>0</x:v>
      </x:c>
      <x:c r="C289" t="n">
        <x:f>Match_Data!C289</x:f>
        <x:v>0</x:v>
      </x:c>
      <x:c r="D289" t="n">
        <x:f>Match_Data!E289</x:f>
        <x:v>0</x:v>
      </x:c>
      <x:c r="E289" t="n">
        <x:f>Match_Data!F289</x:f>
        <x:v>0</x:v>
      </x:c>
      <x:c r="F289" t="n">
        <x:f>Match_Data!AC289</x:f>
        <x:v>0</x:v>
      </x:c>
      <x:c r="G289" t="str">
        <x:f>IF(OR(Match_Data!K289="",Match_Data!L289=""),"",AVERAGE(Match_Data!K289:L289))</x:f>
      </x:c>
      <x:c r="H289" t="str">
        <x:f>IF(OR(Match_Data!M289="",Match_Data!N289=""),"",AVERAGE(Match_Data!M289:N289))</x:f>
      </x:c>
      <x:c r="I289" t="str">
        <x:f>IF(OR(Match_Data!O289="",Match_Data!Q289=""),"",Match_Data!O289+Match_Data!Q289)</x:f>
      </x:c>
      <x:c r="J289" t="str">
        <x:f>IF(OR(Match_Data!P289="",Match_Data!R289=""),"",Match_Data!P289+Match_Data!R289)</x:f>
      </x:c>
      <x:c r="K289" t="str">
        <x:f>IF(OR(Match_Data!S289="",Match_Data!T289=""),"",Match_Data!S289+Match_Data!T289)</x:f>
      </x:c>
      <x:c r="L289" t="str">
        <x:f>IF(OR(Match_Data!U289="",Match_Data!V289=""),"",Match_Data!U289-Match_Data!V289)</x:f>
      </x:c>
      <x:c r="M289" s="32" t="str">
        <x:f>IF(Match_Data!Y289="","",1/Match_Data!Y289)</x:f>
      </x:c>
      <x:c r="N289" s="32" t="str">
        <x:f>IF(Match_Data!AA289="","",1/Match_Data!AA289)</x:f>
      </x:c>
      <x:c r="O289" s="32" t="str">
        <x:f>IF(OR(M289="",N289=""),"",N289-M289)</x:f>
      </x:c>
      <x:c r="P289" t="str">
        <x:f>IF(Match_Data!J289="","",IF(Match_Data!J289="OVER",1,0))</x:f>
      </x:c>
    </x:row>
    <x:row r="290">
      <x:c r="A290" t="n">
        <x:f>Match_Data!A290</x:f>
        <x:v>0</x:v>
      </x:c>
      <x:c r="B290" s="28" t="n">
        <x:f>Match_Data!B290</x:f>
        <x:v>0</x:v>
      </x:c>
      <x:c r="C290" t="n">
        <x:f>Match_Data!C290</x:f>
        <x:v>0</x:v>
      </x:c>
      <x:c r="D290" t="n">
        <x:f>Match_Data!E290</x:f>
        <x:v>0</x:v>
      </x:c>
      <x:c r="E290" t="n">
        <x:f>Match_Data!F290</x:f>
        <x:v>0</x:v>
      </x:c>
      <x:c r="F290" t="n">
        <x:f>Match_Data!AC290</x:f>
        <x:v>0</x:v>
      </x:c>
      <x:c r="G290" t="str">
        <x:f>IF(OR(Match_Data!K290="",Match_Data!L290=""),"",AVERAGE(Match_Data!K290:L290))</x:f>
      </x:c>
      <x:c r="H290" t="str">
        <x:f>IF(OR(Match_Data!M290="",Match_Data!N290=""),"",AVERAGE(Match_Data!M290:N290))</x:f>
      </x:c>
      <x:c r="I290" t="str">
        <x:f>IF(OR(Match_Data!O290="",Match_Data!Q290=""),"",Match_Data!O290+Match_Data!Q290)</x:f>
      </x:c>
      <x:c r="J290" t="str">
        <x:f>IF(OR(Match_Data!P290="",Match_Data!R290=""),"",Match_Data!P290+Match_Data!R290)</x:f>
      </x:c>
      <x:c r="K290" t="str">
        <x:f>IF(OR(Match_Data!S290="",Match_Data!T290=""),"",Match_Data!S290+Match_Data!T290)</x:f>
      </x:c>
      <x:c r="L290" t="str">
        <x:f>IF(OR(Match_Data!U290="",Match_Data!V290=""),"",Match_Data!U290-Match_Data!V290)</x:f>
      </x:c>
      <x:c r="M290" s="32" t="str">
        <x:f>IF(Match_Data!Y290="","",1/Match_Data!Y290)</x:f>
      </x:c>
      <x:c r="N290" s="32" t="str">
        <x:f>IF(Match_Data!AA290="","",1/Match_Data!AA290)</x:f>
      </x:c>
      <x:c r="O290" s="32" t="str">
        <x:f>IF(OR(M290="",N290=""),"",N290-M290)</x:f>
      </x:c>
      <x:c r="P290" t="str">
        <x:f>IF(Match_Data!J290="","",IF(Match_Data!J290="OVER",1,0))</x:f>
      </x:c>
    </x:row>
    <x:row r="291">
      <x:c r="A291" t="n">
        <x:f>Match_Data!A291</x:f>
        <x:v>0</x:v>
      </x:c>
      <x:c r="B291" s="28" t="n">
        <x:f>Match_Data!B291</x:f>
        <x:v>0</x:v>
      </x:c>
      <x:c r="C291" t="n">
        <x:f>Match_Data!C291</x:f>
        <x:v>0</x:v>
      </x:c>
      <x:c r="D291" t="n">
        <x:f>Match_Data!E291</x:f>
        <x:v>0</x:v>
      </x:c>
      <x:c r="E291" t="n">
        <x:f>Match_Data!F291</x:f>
        <x:v>0</x:v>
      </x:c>
      <x:c r="F291" t="n">
        <x:f>Match_Data!AC291</x:f>
        <x:v>0</x:v>
      </x:c>
      <x:c r="G291" t="str">
        <x:f>IF(OR(Match_Data!K291="",Match_Data!L291=""),"",AVERAGE(Match_Data!K291:L291))</x:f>
      </x:c>
      <x:c r="H291" t="str">
        <x:f>IF(OR(Match_Data!M291="",Match_Data!N291=""),"",AVERAGE(Match_Data!M291:N291))</x:f>
      </x:c>
      <x:c r="I291" t="str">
        <x:f>IF(OR(Match_Data!O291="",Match_Data!Q291=""),"",Match_Data!O291+Match_Data!Q291)</x:f>
      </x:c>
      <x:c r="J291" t="str">
        <x:f>IF(OR(Match_Data!P291="",Match_Data!R291=""),"",Match_Data!P291+Match_Data!R291)</x:f>
      </x:c>
      <x:c r="K291" t="str">
        <x:f>IF(OR(Match_Data!S291="",Match_Data!T291=""),"",Match_Data!S291+Match_Data!T291)</x:f>
      </x:c>
      <x:c r="L291" t="str">
        <x:f>IF(OR(Match_Data!U291="",Match_Data!V291=""),"",Match_Data!U291-Match_Data!V291)</x:f>
      </x:c>
      <x:c r="M291" s="32" t="str">
        <x:f>IF(Match_Data!Y291="","",1/Match_Data!Y291)</x:f>
      </x:c>
      <x:c r="N291" s="32" t="str">
        <x:f>IF(Match_Data!AA291="","",1/Match_Data!AA291)</x:f>
      </x:c>
      <x:c r="O291" s="32" t="str">
        <x:f>IF(OR(M291="",N291=""),"",N291-M291)</x:f>
      </x:c>
      <x:c r="P291" t="str">
        <x:f>IF(Match_Data!J291="","",IF(Match_Data!J291="OVER",1,0))</x:f>
      </x:c>
    </x:row>
    <x:row r="292">
      <x:c r="A292" t="n">
        <x:f>Match_Data!A292</x:f>
        <x:v>0</x:v>
      </x:c>
      <x:c r="B292" s="28" t="n">
        <x:f>Match_Data!B292</x:f>
        <x:v>0</x:v>
      </x:c>
      <x:c r="C292" t="n">
        <x:f>Match_Data!C292</x:f>
        <x:v>0</x:v>
      </x:c>
      <x:c r="D292" t="n">
        <x:f>Match_Data!E292</x:f>
        <x:v>0</x:v>
      </x:c>
      <x:c r="E292" t="n">
        <x:f>Match_Data!F292</x:f>
        <x:v>0</x:v>
      </x:c>
      <x:c r="F292" t="n">
        <x:f>Match_Data!AC292</x:f>
        <x:v>0</x:v>
      </x:c>
      <x:c r="G292" t="str">
        <x:f>IF(OR(Match_Data!K292="",Match_Data!L292=""),"",AVERAGE(Match_Data!K292:L292))</x:f>
      </x:c>
      <x:c r="H292" t="str">
        <x:f>IF(OR(Match_Data!M292="",Match_Data!N292=""),"",AVERAGE(Match_Data!M292:N292))</x:f>
      </x:c>
      <x:c r="I292" t="str">
        <x:f>IF(OR(Match_Data!O292="",Match_Data!Q292=""),"",Match_Data!O292+Match_Data!Q292)</x:f>
      </x:c>
      <x:c r="J292" t="str">
        <x:f>IF(OR(Match_Data!P292="",Match_Data!R292=""),"",Match_Data!P292+Match_Data!R292)</x:f>
      </x:c>
      <x:c r="K292" t="str">
        <x:f>IF(OR(Match_Data!S292="",Match_Data!T292=""),"",Match_Data!S292+Match_Data!T292)</x:f>
      </x:c>
      <x:c r="L292" t="str">
        <x:f>IF(OR(Match_Data!U292="",Match_Data!V292=""),"",Match_Data!U292-Match_Data!V292)</x:f>
      </x:c>
      <x:c r="M292" s="32" t="str">
        <x:f>IF(Match_Data!Y292="","",1/Match_Data!Y292)</x:f>
      </x:c>
      <x:c r="N292" s="32" t="str">
        <x:f>IF(Match_Data!AA292="","",1/Match_Data!AA292)</x:f>
      </x:c>
      <x:c r="O292" s="32" t="str">
        <x:f>IF(OR(M292="",N292=""),"",N292-M292)</x:f>
      </x:c>
      <x:c r="P292" t="str">
        <x:f>IF(Match_Data!J292="","",IF(Match_Data!J292="OVER",1,0))</x:f>
      </x:c>
    </x:row>
    <x:row r="293">
      <x:c r="A293" t="n">
        <x:f>Match_Data!A293</x:f>
        <x:v>0</x:v>
      </x:c>
      <x:c r="B293" s="28" t="n">
        <x:f>Match_Data!B293</x:f>
        <x:v>0</x:v>
      </x:c>
      <x:c r="C293" t="n">
        <x:f>Match_Data!C293</x:f>
        <x:v>0</x:v>
      </x:c>
      <x:c r="D293" t="n">
        <x:f>Match_Data!E293</x:f>
        <x:v>0</x:v>
      </x:c>
      <x:c r="E293" t="n">
        <x:f>Match_Data!F293</x:f>
        <x:v>0</x:v>
      </x:c>
      <x:c r="F293" t="n">
        <x:f>Match_Data!AC293</x:f>
        <x:v>0</x:v>
      </x:c>
      <x:c r="G293" t="str">
        <x:f>IF(OR(Match_Data!K293="",Match_Data!L293=""),"",AVERAGE(Match_Data!K293:L293))</x:f>
      </x:c>
      <x:c r="H293" t="str">
        <x:f>IF(OR(Match_Data!M293="",Match_Data!N293=""),"",AVERAGE(Match_Data!M293:N293))</x:f>
      </x:c>
      <x:c r="I293" t="str">
        <x:f>IF(OR(Match_Data!O293="",Match_Data!Q293=""),"",Match_Data!O293+Match_Data!Q293)</x:f>
      </x:c>
      <x:c r="J293" t="str">
        <x:f>IF(OR(Match_Data!P293="",Match_Data!R293=""),"",Match_Data!P293+Match_Data!R293)</x:f>
      </x:c>
      <x:c r="K293" t="str">
        <x:f>IF(OR(Match_Data!S293="",Match_Data!T293=""),"",Match_Data!S293+Match_Data!T293)</x:f>
      </x:c>
      <x:c r="L293" t="str">
        <x:f>IF(OR(Match_Data!U293="",Match_Data!V293=""),"",Match_Data!U293-Match_Data!V293)</x:f>
      </x:c>
      <x:c r="M293" s="32" t="str">
        <x:f>IF(Match_Data!Y293="","",1/Match_Data!Y293)</x:f>
      </x:c>
      <x:c r="N293" s="32" t="str">
        <x:f>IF(Match_Data!AA293="","",1/Match_Data!AA293)</x:f>
      </x:c>
      <x:c r="O293" s="32" t="str">
        <x:f>IF(OR(M293="",N293=""),"",N293-M293)</x:f>
      </x:c>
      <x:c r="P293" t="str">
        <x:f>IF(Match_Data!J293="","",IF(Match_Data!J293="OVER",1,0))</x:f>
      </x:c>
    </x:row>
    <x:row r="294">
      <x:c r="A294" t="n">
        <x:f>Match_Data!A294</x:f>
        <x:v>0</x:v>
      </x:c>
      <x:c r="B294" s="28" t="n">
        <x:f>Match_Data!B294</x:f>
        <x:v>0</x:v>
      </x:c>
      <x:c r="C294" t="n">
        <x:f>Match_Data!C294</x:f>
        <x:v>0</x:v>
      </x:c>
      <x:c r="D294" t="n">
        <x:f>Match_Data!E294</x:f>
        <x:v>0</x:v>
      </x:c>
      <x:c r="E294" t="n">
        <x:f>Match_Data!F294</x:f>
        <x:v>0</x:v>
      </x:c>
      <x:c r="F294" t="n">
        <x:f>Match_Data!AC294</x:f>
        <x:v>0</x:v>
      </x:c>
      <x:c r="G294" t="str">
        <x:f>IF(OR(Match_Data!K294="",Match_Data!L294=""),"",AVERAGE(Match_Data!K294:L294))</x:f>
      </x:c>
      <x:c r="H294" t="str">
        <x:f>IF(OR(Match_Data!M294="",Match_Data!N294=""),"",AVERAGE(Match_Data!M294:N294))</x:f>
      </x:c>
      <x:c r="I294" t="str">
        <x:f>IF(OR(Match_Data!O294="",Match_Data!Q294=""),"",Match_Data!O294+Match_Data!Q294)</x:f>
      </x:c>
      <x:c r="J294" t="str">
        <x:f>IF(OR(Match_Data!P294="",Match_Data!R294=""),"",Match_Data!P294+Match_Data!R294)</x:f>
      </x:c>
      <x:c r="K294" t="str">
        <x:f>IF(OR(Match_Data!S294="",Match_Data!T294=""),"",Match_Data!S294+Match_Data!T294)</x:f>
      </x:c>
      <x:c r="L294" t="str">
        <x:f>IF(OR(Match_Data!U294="",Match_Data!V294=""),"",Match_Data!U294-Match_Data!V294)</x:f>
      </x:c>
      <x:c r="M294" s="32" t="str">
        <x:f>IF(Match_Data!Y294="","",1/Match_Data!Y294)</x:f>
      </x:c>
      <x:c r="N294" s="32" t="str">
        <x:f>IF(Match_Data!AA294="","",1/Match_Data!AA294)</x:f>
      </x:c>
      <x:c r="O294" s="32" t="str">
        <x:f>IF(OR(M294="",N294=""),"",N294-M294)</x:f>
      </x:c>
      <x:c r="P294" t="str">
        <x:f>IF(Match_Data!J294="","",IF(Match_Data!J294="OVER",1,0))</x:f>
      </x:c>
    </x:row>
    <x:row r="295">
      <x:c r="A295" t="n">
        <x:f>Match_Data!A295</x:f>
        <x:v>0</x:v>
      </x:c>
      <x:c r="B295" s="28" t="n">
        <x:f>Match_Data!B295</x:f>
        <x:v>0</x:v>
      </x:c>
      <x:c r="C295" t="n">
        <x:f>Match_Data!C295</x:f>
        <x:v>0</x:v>
      </x:c>
      <x:c r="D295" t="n">
        <x:f>Match_Data!E295</x:f>
        <x:v>0</x:v>
      </x:c>
      <x:c r="E295" t="n">
        <x:f>Match_Data!F295</x:f>
        <x:v>0</x:v>
      </x:c>
      <x:c r="F295" t="n">
        <x:f>Match_Data!AC295</x:f>
        <x:v>0</x:v>
      </x:c>
      <x:c r="G295" t="str">
        <x:f>IF(OR(Match_Data!K295="",Match_Data!L295=""),"",AVERAGE(Match_Data!K295:L295))</x:f>
      </x:c>
      <x:c r="H295" t="str">
        <x:f>IF(OR(Match_Data!M295="",Match_Data!N295=""),"",AVERAGE(Match_Data!M295:N295))</x:f>
      </x:c>
      <x:c r="I295" t="str">
        <x:f>IF(OR(Match_Data!O295="",Match_Data!Q295=""),"",Match_Data!O295+Match_Data!Q295)</x:f>
      </x:c>
      <x:c r="J295" t="str">
        <x:f>IF(OR(Match_Data!P295="",Match_Data!R295=""),"",Match_Data!P295+Match_Data!R295)</x:f>
      </x:c>
      <x:c r="K295" t="str">
        <x:f>IF(OR(Match_Data!S295="",Match_Data!T295=""),"",Match_Data!S295+Match_Data!T295)</x:f>
      </x:c>
      <x:c r="L295" t="str">
        <x:f>IF(OR(Match_Data!U295="",Match_Data!V295=""),"",Match_Data!U295-Match_Data!V295)</x:f>
      </x:c>
      <x:c r="M295" s="32" t="str">
        <x:f>IF(Match_Data!Y295="","",1/Match_Data!Y295)</x:f>
      </x:c>
      <x:c r="N295" s="32" t="str">
        <x:f>IF(Match_Data!AA295="","",1/Match_Data!AA295)</x:f>
      </x:c>
      <x:c r="O295" s="32" t="str">
        <x:f>IF(OR(M295="",N295=""),"",N295-M295)</x:f>
      </x:c>
      <x:c r="P295" t="str">
        <x:f>IF(Match_Data!J295="","",IF(Match_Data!J295="OVER",1,0))</x:f>
      </x:c>
    </x:row>
    <x:row r="296">
      <x:c r="A296" t="n">
        <x:f>Match_Data!A296</x:f>
        <x:v>0</x:v>
      </x:c>
      <x:c r="B296" s="28" t="n">
        <x:f>Match_Data!B296</x:f>
        <x:v>0</x:v>
      </x:c>
      <x:c r="C296" t="n">
        <x:f>Match_Data!C296</x:f>
        <x:v>0</x:v>
      </x:c>
      <x:c r="D296" t="n">
        <x:f>Match_Data!E296</x:f>
        <x:v>0</x:v>
      </x:c>
      <x:c r="E296" t="n">
        <x:f>Match_Data!F296</x:f>
        <x:v>0</x:v>
      </x:c>
      <x:c r="F296" t="n">
        <x:f>Match_Data!AC296</x:f>
        <x:v>0</x:v>
      </x:c>
      <x:c r="G296" t="str">
        <x:f>IF(OR(Match_Data!K296="",Match_Data!L296=""),"",AVERAGE(Match_Data!K296:L296))</x:f>
      </x:c>
      <x:c r="H296" t="str">
        <x:f>IF(OR(Match_Data!M296="",Match_Data!N296=""),"",AVERAGE(Match_Data!M296:N296))</x:f>
      </x:c>
      <x:c r="I296" t="str">
        <x:f>IF(OR(Match_Data!O296="",Match_Data!Q296=""),"",Match_Data!O296+Match_Data!Q296)</x:f>
      </x:c>
      <x:c r="J296" t="str">
        <x:f>IF(OR(Match_Data!P296="",Match_Data!R296=""),"",Match_Data!P296+Match_Data!R296)</x:f>
      </x:c>
      <x:c r="K296" t="str">
        <x:f>IF(OR(Match_Data!S296="",Match_Data!T296=""),"",Match_Data!S296+Match_Data!T296)</x:f>
      </x:c>
      <x:c r="L296" t="str">
        <x:f>IF(OR(Match_Data!U296="",Match_Data!V296=""),"",Match_Data!U296-Match_Data!V296)</x:f>
      </x:c>
      <x:c r="M296" s="32" t="str">
        <x:f>IF(Match_Data!Y296="","",1/Match_Data!Y296)</x:f>
      </x:c>
      <x:c r="N296" s="32" t="str">
        <x:f>IF(Match_Data!AA296="","",1/Match_Data!AA296)</x:f>
      </x:c>
      <x:c r="O296" s="32" t="str">
        <x:f>IF(OR(M296="",N296=""),"",N296-M296)</x:f>
      </x:c>
      <x:c r="P296" t="str">
        <x:f>IF(Match_Data!J296="","",IF(Match_Data!J296="OVER",1,0))</x:f>
      </x:c>
    </x:row>
    <x:row r="297">
      <x:c r="A297" t="n">
        <x:f>Match_Data!A297</x:f>
        <x:v>0</x:v>
      </x:c>
      <x:c r="B297" s="28" t="n">
        <x:f>Match_Data!B297</x:f>
        <x:v>0</x:v>
      </x:c>
      <x:c r="C297" t="n">
        <x:f>Match_Data!C297</x:f>
        <x:v>0</x:v>
      </x:c>
      <x:c r="D297" t="n">
        <x:f>Match_Data!E297</x:f>
        <x:v>0</x:v>
      </x:c>
      <x:c r="E297" t="n">
        <x:f>Match_Data!F297</x:f>
        <x:v>0</x:v>
      </x:c>
      <x:c r="F297" t="n">
        <x:f>Match_Data!AC297</x:f>
        <x:v>0</x:v>
      </x:c>
      <x:c r="G297" t="str">
        <x:f>IF(OR(Match_Data!K297="",Match_Data!L297=""),"",AVERAGE(Match_Data!K297:L297))</x:f>
      </x:c>
      <x:c r="H297" t="str">
        <x:f>IF(OR(Match_Data!M297="",Match_Data!N297=""),"",AVERAGE(Match_Data!M297:N297))</x:f>
      </x:c>
      <x:c r="I297" t="str">
        <x:f>IF(OR(Match_Data!O297="",Match_Data!Q297=""),"",Match_Data!O297+Match_Data!Q297)</x:f>
      </x:c>
      <x:c r="J297" t="str">
        <x:f>IF(OR(Match_Data!P297="",Match_Data!R297=""),"",Match_Data!P297+Match_Data!R297)</x:f>
      </x:c>
      <x:c r="K297" t="str">
        <x:f>IF(OR(Match_Data!S297="",Match_Data!T297=""),"",Match_Data!S297+Match_Data!T297)</x:f>
      </x:c>
      <x:c r="L297" t="str">
        <x:f>IF(OR(Match_Data!U297="",Match_Data!V297=""),"",Match_Data!U297-Match_Data!V297)</x:f>
      </x:c>
      <x:c r="M297" s="32" t="str">
        <x:f>IF(Match_Data!Y297="","",1/Match_Data!Y297)</x:f>
      </x:c>
      <x:c r="N297" s="32" t="str">
        <x:f>IF(Match_Data!AA297="","",1/Match_Data!AA297)</x:f>
      </x:c>
      <x:c r="O297" s="32" t="str">
        <x:f>IF(OR(M297="",N297=""),"",N297-M297)</x:f>
      </x:c>
      <x:c r="P297" t="str">
        <x:f>IF(Match_Data!J297="","",IF(Match_Data!J297="OVER",1,0))</x:f>
      </x:c>
    </x:row>
    <x:row r="298">
      <x:c r="A298" t="n">
        <x:f>Match_Data!A298</x:f>
        <x:v>0</x:v>
      </x:c>
      <x:c r="B298" s="28" t="n">
        <x:f>Match_Data!B298</x:f>
        <x:v>0</x:v>
      </x:c>
      <x:c r="C298" t="n">
        <x:f>Match_Data!C298</x:f>
        <x:v>0</x:v>
      </x:c>
      <x:c r="D298" t="n">
        <x:f>Match_Data!E298</x:f>
        <x:v>0</x:v>
      </x:c>
      <x:c r="E298" t="n">
        <x:f>Match_Data!F298</x:f>
        <x:v>0</x:v>
      </x:c>
      <x:c r="F298" t="n">
        <x:f>Match_Data!AC298</x:f>
        <x:v>0</x:v>
      </x:c>
      <x:c r="G298" t="str">
        <x:f>IF(OR(Match_Data!K298="",Match_Data!L298=""),"",AVERAGE(Match_Data!K298:L298))</x:f>
      </x:c>
      <x:c r="H298" t="str">
        <x:f>IF(OR(Match_Data!M298="",Match_Data!N298=""),"",AVERAGE(Match_Data!M298:N298))</x:f>
      </x:c>
      <x:c r="I298" t="str">
        <x:f>IF(OR(Match_Data!O298="",Match_Data!Q298=""),"",Match_Data!O298+Match_Data!Q298)</x:f>
      </x:c>
      <x:c r="J298" t="str">
        <x:f>IF(OR(Match_Data!P298="",Match_Data!R298=""),"",Match_Data!P298+Match_Data!R298)</x:f>
      </x:c>
      <x:c r="K298" t="str">
        <x:f>IF(OR(Match_Data!S298="",Match_Data!T298=""),"",Match_Data!S298+Match_Data!T298)</x:f>
      </x:c>
      <x:c r="L298" t="str">
        <x:f>IF(OR(Match_Data!U298="",Match_Data!V298=""),"",Match_Data!U298-Match_Data!V298)</x:f>
      </x:c>
      <x:c r="M298" s="32" t="str">
        <x:f>IF(Match_Data!Y298="","",1/Match_Data!Y298)</x:f>
      </x:c>
      <x:c r="N298" s="32" t="str">
        <x:f>IF(Match_Data!AA298="","",1/Match_Data!AA298)</x:f>
      </x:c>
      <x:c r="O298" s="32" t="str">
        <x:f>IF(OR(M298="",N298=""),"",N298-M298)</x:f>
      </x:c>
      <x:c r="P298" t="str">
        <x:f>IF(Match_Data!J298="","",IF(Match_Data!J298="OVER",1,0))</x:f>
      </x:c>
    </x:row>
    <x:row r="299">
      <x:c r="A299" t="n">
        <x:f>Match_Data!A299</x:f>
        <x:v>0</x:v>
      </x:c>
      <x:c r="B299" s="28" t="n">
        <x:f>Match_Data!B299</x:f>
        <x:v>0</x:v>
      </x:c>
      <x:c r="C299" t="n">
        <x:f>Match_Data!C299</x:f>
        <x:v>0</x:v>
      </x:c>
      <x:c r="D299" t="n">
        <x:f>Match_Data!E299</x:f>
        <x:v>0</x:v>
      </x:c>
      <x:c r="E299" t="n">
        <x:f>Match_Data!F299</x:f>
        <x:v>0</x:v>
      </x:c>
      <x:c r="F299" t="n">
        <x:f>Match_Data!AC299</x:f>
        <x:v>0</x:v>
      </x:c>
      <x:c r="G299" t="str">
        <x:f>IF(OR(Match_Data!K299="",Match_Data!L299=""),"",AVERAGE(Match_Data!K299:L299))</x:f>
      </x:c>
      <x:c r="H299" t="str">
        <x:f>IF(OR(Match_Data!M299="",Match_Data!N299=""),"",AVERAGE(Match_Data!M299:N299))</x:f>
      </x:c>
      <x:c r="I299" t="str">
        <x:f>IF(OR(Match_Data!O299="",Match_Data!Q299=""),"",Match_Data!O299+Match_Data!Q299)</x:f>
      </x:c>
      <x:c r="J299" t="str">
        <x:f>IF(OR(Match_Data!P299="",Match_Data!R299=""),"",Match_Data!P299+Match_Data!R299)</x:f>
      </x:c>
      <x:c r="K299" t="str">
        <x:f>IF(OR(Match_Data!S299="",Match_Data!T299=""),"",Match_Data!S299+Match_Data!T299)</x:f>
      </x:c>
      <x:c r="L299" t="str">
        <x:f>IF(OR(Match_Data!U299="",Match_Data!V299=""),"",Match_Data!U299-Match_Data!V299)</x:f>
      </x:c>
      <x:c r="M299" s="32" t="str">
        <x:f>IF(Match_Data!Y299="","",1/Match_Data!Y299)</x:f>
      </x:c>
      <x:c r="N299" s="32" t="str">
        <x:f>IF(Match_Data!AA299="","",1/Match_Data!AA299)</x:f>
      </x:c>
      <x:c r="O299" s="32" t="str">
        <x:f>IF(OR(M299="",N299=""),"",N299-M299)</x:f>
      </x:c>
      <x:c r="P299" t="str">
        <x:f>IF(Match_Data!J299="","",IF(Match_Data!J299="OVER",1,0))</x:f>
      </x:c>
    </x:row>
    <x:row r="300">
      <x:c r="A300" t="n">
        <x:f>Match_Data!A300</x:f>
        <x:v>0</x:v>
      </x:c>
      <x:c r="B300" s="28" t="n">
        <x:f>Match_Data!B300</x:f>
        <x:v>0</x:v>
      </x:c>
      <x:c r="C300" t="n">
        <x:f>Match_Data!C300</x:f>
        <x:v>0</x:v>
      </x:c>
      <x:c r="D300" t="n">
        <x:f>Match_Data!E300</x:f>
        <x:v>0</x:v>
      </x:c>
      <x:c r="E300" t="n">
        <x:f>Match_Data!F300</x:f>
        <x:v>0</x:v>
      </x:c>
      <x:c r="F300" t="n">
        <x:f>Match_Data!AC300</x:f>
        <x:v>0</x:v>
      </x:c>
      <x:c r="G300" t="str">
        <x:f>IF(OR(Match_Data!K300="",Match_Data!L300=""),"",AVERAGE(Match_Data!K300:L300))</x:f>
      </x:c>
      <x:c r="H300" t="str">
        <x:f>IF(OR(Match_Data!M300="",Match_Data!N300=""),"",AVERAGE(Match_Data!M300:N300))</x:f>
      </x:c>
      <x:c r="I300" t="str">
        <x:f>IF(OR(Match_Data!O300="",Match_Data!Q300=""),"",Match_Data!O300+Match_Data!Q300)</x:f>
      </x:c>
      <x:c r="J300" t="str">
        <x:f>IF(OR(Match_Data!P300="",Match_Data!R300=""),"",Match_Data!P300+Match_Data!R300)</x:f>
      </x:c>
      <x:c r="K300" t="str">
        <x:f>IF(OR(Match_Data!S300="",Match_Data!T300=""),"",Match_Data!S300+Match_Data!T300)</x:f>
      </x:c>
      <x:c r="L300" t="str">
        <x:f>IF(OR(Match_Data!U300="",Match_Data!V300=""),"",Match_Data!U300-Match_Data!V300)</x:f>
      </x:c>
      <x:c r="M300" s="32" t="str">
        <x:f>IF(Match_Data!Y300="","",1/Match_Data!Y300)</x:f>
      </x:c>
      <x:c r="N300" s="32" t="str">
        <x:f>IF(Match_Data!AA300="","",1/Match_Data!AA300)</x:f>
      </x:c>
      <x:c r="O300" s="32" t="str">
        <x:f>IF(OR(M300="",N300=""),"",N300-M300)</x:f>
      </x:c>
      <x:c r="P300" t="str">
        <x:f>IF(Match_Data!J300="","",IF(Match_Data!J300="OVER",1,0))</x:f>
      </x:c>
    </x:row>
    <x:row r="301">
      <x:c r="A301" t="n">
        <x:f>Match_Data!A301</x:f>
        <x:v>0</x:v>
      </x:c>
      <x:c r="B301" s="28" t="n">
        <x:f>Match_Data!B301</x:f>
        <x:v>0</x:v>
      </x:c>
      <x:c r="C301" t="n">
        <x:f>Match_Data!C301</x:f>
        <x:v>0</x:v>
      </x:c>
      <x:c r="D301" t="n">
        <x:f>Match_Data!E301</x:f>
        <x:v>0</x:v>
      </x:c>
      <x:c r="E301" t="n">
        <x:f>Match_Data!F301</x:f>
        <x:v>0</x:v>
      </x:c>
      <x:c r="F301" t="n">
        <x:f>Match_Data!AC301</x:f>
        <x:v>0</x:v>
      </x:c>
      <x:c r="G301" t="str">
        <x:f>IF(OR(Match_Data!K301="",Match_Data!L301=""),"",AVERAGE(Match_Data!K301:L301))</x:f>
      </x:c>
      <x:c r="H301" t="str">
        <x:f>IF(OR(Match_Data!M301="",Match_Data!N301=""),"",AVERAGE(Match_Data!M301:N301))</x:f>
      </x:c>
      <x:c r="I301" t="str">
        <x:f>IF(OR(Match_Data!O301="",Match_Data!Q301=""),"",Match_Data!O301+Match_Data!Q301)</x:f>
      </x:c>
      <x:c r="J301" t="str">
        <x:f>IF(OR(Match_Data!P301="",Match_Data!R301=""),"",Match_Data!P301+Match_Data!R301)</x:f>
      </x:c>
      <x:c r="K301" t="str">
        <x:f>IF(OR(Match_Data!S301="",Match_Data!T301=""),"",Match_Data!S301+Match_Data!T301)</x:f>
      </x:c>
      <x:c r="L301" t="str">
        <x:f>IF(OR(Match_Data!U301="",Match_Data!V301=""),"",Match_Data!U301-Match_Data!V301)</x:f>
      </x:c>
      <x:c r="M301" s="32" t="str">
        <x:f>IF(Match_Data!Y301="","",1/Match_Data!Y301)</x:f>
      </x:c>
      <x:c r="N301" s="32" t="str">
        <x:f>IF(Match_Data!AA301="","",1/Match_Data!AA301)</x:f>
      </x:c>
      <x:c r="O301" s="32" t="str">
        <x:f>IF(OR(M301="",N301=""),"",N301-M301)</x:f>
      </x:c>
      <x:c r="P301" t="str">
        <x:f>IF(Match_Data!J301="","",IF(Match_Data!J301="OVER",1,0))</x:f>
      </x:c>
    </x:row>
    <x:row r="302">
      <x:c r="A302" t="n">
        <x:f>Match_Data!A302</x:f>
        <x:v>0</x:v>
      </x:c>
      <x:c r="B302" s="28" t="n">
        <x:f>Match_Data!B302</x:f>
        <x:v>0</x:v>
      </x:c>
      <x:c r="C302" t="n">
        <x:f>Match_Data!C302</x:f>
        <x:v>0</x:v>
      </x:c>
      <x:c r="D302" t="n">
        <x:f>Match_Data!E302</x:f>
        <x:v>0</x:v>
      </x:c>
      <x:c r="E302" t="n">
        <x:f>Match_Data!F302</x:f>
        <x:v>0</x:v>
      </x:c>
      <x:c r="F302" t="n">
        <x:f>Match_Data!AC302</x:f>
        <x:v>0</x:v>
      </x:c>
      <x:c r="G302" t="str">
        <x:f>IF(OR(Match_Data!K302="",Match_Data!L302=""),"",AVERAGE(Match_Data!K302:L302))</x:f>
      </x:c>
      <x:c r="H302" t="str">
        <x:f>IF(OR(Match_Data!M302="",Match_Data!N302=""),"",AVERAGE(Match_Data!M302:N302))</x:f>
      </x:c>
      <x:c r="I302" t="str">
        <x:f>IF(OR(Match_Data!O302="",Match_Data!Q302=""),"",Match_Data!O302+Match_Data!Q302)</x:f>
      </x:c>
      <x:c r="J302" t="str">
        <x:f>IF(OR(Match_Data!P302="",Match_Data!R302=""),"",Match_Data!P302+Match_Data!R302)</x:f>
      </x:c>
      <x:c r="K302" t="str">
        <x:f>IF(OR(Match_Data!S302="",Match_Data!T302=""),"",Match_Data!S302+Match_Data!T302)</x:f>
      </x:c>
      <x:c r="L302" t="str">
        <x:f>IF(OR(Match_Data!U302="",Match_Data!V302=""),"",Match_Data!U302-Match_Data!V302)</x:f>
      </x:c>
      <x:c r="M302" s="32" t="str">
        <x:f>IF(Match_Data!Y302="","",1/Match_Data!Y302)</x:f>
      </x:c>
      <x:c r="N302" s="32" t="str">
        <x:f>IF(Match_Data!AA302="","",1/Match_Data!AA302)</x:f>
      </x:c>
      <x:c r="O302" s="32" t="str">
        <x:f>IF(OR(M302="",N302=""),"",N302-M302)</x:f>
      </x:c>
      <x:c r="P302" t="str">
        <x:f>IF(Match_Data!J302="","",IF(Match_Data!J302="OVER",1,0))</x:f>
      </x:c>
    </x:row>
    <x:row r="303">
      <x:c r="A303" t="n">
        <x:f>Match_Data!A303</x:f>
        <x:v>0</x:v>
      </x:c>
      <x:c r="B303" s="28" t="n">
        <x:f>Match_Data!B303</x:f>
        <x:v>0</x:v>
      </x:c>
      <x:c r="C303" t="n">
        <x:f>Match_Data!C303</x:f>
        <x:v>0</x:v>
      </x:c>
      <x:c r="D303" t="n">
        <x:f>Match_Data!E303</x:f>
        <x:v>0</x:v>
      </x:c>
      <x:c r="E303" t="n">
        <x:f>Match_Data!F303</x:f>
        <x:v>0</x:v>
      </x:c>
      <x:c r="F303" t="n">
        <x:f>Match_Data!AC303</x:f>
        <x:v>0</x:v>
      </x:c>
      <x:c r="G303" t="str">
        <x:f>IF(OR(Match_Data!K303="",Match_Data!L303=""),"",AVERAGE(Match_Data!K303:L303))</x:f>
      </x:c>
      <x:c r="H303" t="str">
        <x:f>IF(OR(Match_Data!M303="",Match_Data!N303=""),"",AVERAGE(Match_Data!M303:N303))</x:f>
      </x:c>
      <x:c r="I303" t="str">
        <x:f>IF(OR(Match_Data!O303="",Match_Data!Q303=""),"",Match_Data!O303+Match_Data!Q303)</x:f>
      </x:c>
      <x:c r="J303" t="str">
        <x:f>IF(OR(Match_Data!P303="",Match_Data!R303=""),"",Match_Data!P303+Match_Data!R303)</x:f>
      </x:c>
      <x:c r="K303" t="str">
        <x:f>IF(OR(Match_Data!S303="",Match_Data!T303=""),"",Match_Data!S303+Match_Data!T303)</x:f>
      </x:c>
      <x:c r="L303" t="str">
        <x:f>IF(OR(Match_Data!U303="",Match_Data!V303=""),"",Match_Data!U303-Match_Data!V303)</x:f>
      </x:c>
      <x:c r="M303" s="32" t="str">
        <x:f>IF(Match_Data!Y303="","",1/Match_Data!Y303)</x:f>
      </x:c>
      <x:c r="N303" s="32" t="str">
        <x:f>IF(Match_Data!AA303="","",1/Match_Data!AA303)</x:f>
      </x:c>
      <x:c r="O303" s="32" t="str">
        <x:f>IF(OR(M303="",N303=""),"",N303-M303)</x:f>
      </x:c>
      <x:c r="P303" t="str">
        <x:f>IF(Match_Data!J303="","",IF(Match_Data!J303="OVER",1,0))</x:f>
      </x:c>
    </x:row>
    <x:row r="304">
      <x:c r="A304" t="n">
        <x:f>Match_Data!A304</x:f>
        <x:v>0</x:v>
      </x:c>
      <x:c r="B304" s="28" t="n">
        <x:f>Match_Data!B304</x:f>
        <x:v>0</x:v>
      </x:c>
      <x:c r="C304" t="n">
        <x:f>Match_Data!C304</x:f>
        <x:v>0</x:v>
      </x:c>
      <x:c r="D304" t="n">
        <x:f>Match_Data!E304</x:f>
        <x:v>0</x:v>
      </x:c>
      <x:c r="E304" t="n">
        <x:f>Match_Data!F304</x:f>
        <x:v>0</x:v>
      </x:c>
      <x:c r="F304" t="n">
        <x:f>Match_Data!AC304</x:f>
        <x:v>0</x:v>
      </x:c>
      <x:c r="G304" t="str">
        <x:f>IF(OR(Match_Data!K304="",Match_Data!L304=""),"",AVERAGE(Match_Data!K304:L304))</x:f>
      </x:c>
      <x:c r="H304" t="str">
        <x:f>IF(OR(Match_Data!M304="",Match_Data!N304=""),"",AVERAGE(Match_Data!M304:N304))</x:f>
      </x:c>
      <x:c r="I304" t="str">
        <x:f>IF(OR(Match_Data!O304="",Match_Data!Q304=""),"",Match_Data!O304+Match_Data!Q304)</x:f>
      </x:c>
      <x:c r="J304" t="str">
        <x:f>IF(OR(Match_Data!P304="",Match_Data!R304=""),"",Match_Data!P304+Match_Data!R304)</x:f>
      </x:c>
      <x:c r="K304" t="str">
        <x:f>IF(OR(Match_Data!S304="",Match_Data!T304=""),"",Match_Data!S304+Match_Data!T304)</x:f>
      </x:c>
      <x:c r="L304" t="str">
        <x:f>IF(OR(Match_Data!U304="",Match_Data!V304=""),"",Match_Data!U304-Match_Data!V304)</x:f>
      </x:c>
      <x:c r="M304" s="32" t="str">
        <x:f>IF(Match_Data!Y304="","",1/Match_Data!Y304)</x:f>
      </x:c>
      <x:c r="N304" s="32" t="str">
        <x:f>IF(Match_Data!AA304="","",1/Match_Data!AA304)</x:f>
      </x:c>
      <x:c r="O304" s="32" t="str">
        <x:f>IF(OR(M304="",N304=""),"",N304-M304)</x:f>
      </x:c>
      <x:c r="P304" t="str">
        <x:f>IF(Match_Data!J304="","",IF(Match_Data!J304="OVER",1,0))</x:f>
      </x:c>
    </x:row>
    <x:row r="305">
      <x:c r="A305" t="n">
        <x:f>Match_Data!A305</x:f>
        <x:v>0</x:v>
      </x:c>
      <x:c r="B305" s="28" t="n">
        <x:f>Match_Data!B305</x:f>
        <x:v>0</x:v>
      </x:c>
      <x:c r="C305" t="n">
        <x:f>Match_Data!C305</x:f>
        <x:v>0</x:v>
      </x:c>
      <x:c r="D305" t="n">
        <x:f>Match_Data!E305</x:f>
        <x:v>0</x:v>
      </x:c>
      <x:c r="E305" t="n">
        <x:f>Match_Data!F305</x:f>
        <x:v>0</x:v>
      </x:c>
      <x:c r="F305" t="n">
        <x:f>Match_Data!AC305</x:f>
        <x:v>0</x:v>
      </x:c>
      <x:c r="G305" t="str">
        <x:f>IF(OR(Match_Data!K305="",Match_Data!L305=""),"",AVERAGE(Match_Data!K305:L305))</x:f>
      </x:c>
      <x:c r="H305" t="str">
        <x:f>IF(OR(Match_Data!M305="",Match_Data!N305=""),"",AVERAGE(Match_Data!M305:N305))</x:f>
      </x:c>
      <x:c r="I305" t="str">
        <x:f>IF(OR(Match_Data!O305="",Match_Data!Q305=""),"",Match_Data!O305+Match_Data!Q305)</x:f>
      </x:c>
      <x:c r="J305" t="str">
        <x:f>IF(OR(Match_Data!P305="",Match_Data!R305=""),"",Match_Data!P305+Match_Data!R305)</x:f>
      </x:c>
      <x:c r="K305" t="str">
        <x:f>IF(OR(Match_Data!S305="",Match_Data!T305=""),"",Match_Data!S305+Match_Data!T305)</x:f>
      </x:c>
      <x:c r="L305" t="str">
        <x:f>IF(OR(Match_Data!U305="",Match_Data!V305=""),"",Match_Data!U305-Match_Data!V305)</x:f>
      </x:c>
      <x:c r="M305" s="32" t="str">
        <x:f>IF(Match_Data!Y305="","",1/Match_Data!Y305)</x:f>
      </x:c>
      <x:c r="N305" s="32" t="str">
        <x:f>IF(Match_Data!AA305="","",1/Match_Data!AA305)</x:f>
      </x:c>
      <x:c r="O305" s="32" t="str">
        <x:f>IF(OR(M305="",N305=""),"",N305-M305)</x:f>
      </x:c>
      <x:c r="P305" t="str">
        <x:f>IF(Match_Data!J305="","",IF(Match_Data!J305="OVER",1,0))</x:f>
      </x:c>
    </x:row>
    <x:row r="306">
      <x:c r="A306" t="n">
        <x:f>Match_Data!A306</x:f>
        <x:v>0</x:v>
      </x:c>
      <x:c r="B306" s="28" t="n">
        <x:f>Match_Data!B306</x:f>
        <x:v>0</x:v>
      </x:c>
      <x:c r="C306" t="n">
        <x:f>Match_Data!C306</x:f>
        <x:v>0</x:v>
      </x:c>
      <x:c r="D306" t="n">
        <x:f>Match_Data!E306</x:f>
        <x:v>0</x:v>
      </x:c>
      <x:c r="E306" t="n">
        <x:f>Match_Data!F306</x:f>
        <x:v>0</x:v>
      </x:c>
      <x:c r="F306" t="n">
        <x:f>Match_Data!AC306</x:f>
        <x:v>0</x:v>
      </x:c>
      <x:c r="G306" t="str">
        <x:f>IF(OR(Match_Data!K306="",Match_Data!L306=""),"",AVERAGE(Match_Data!K306:L306))</x:f>
      </x:c>
      <x:c r="H306" t="str">
        <x:f>IF(OR(Match_Data!M306="",Match_Data!N306=""),"",AVERAGE(Match_Data!M306:N306))</x:f>
      </x:c>
      <x:c r="I306" t="str">
        <x:f>IF(OR(Match_Data!O306="",Match_Data!Q306=""),"",Match_Data!O306+Match_Data!Q306)</x:f>
      </x:c>
      <x:c r="J306" t="str">
        <x:f>IF(OR(Match_Data!P306="",Match_Data!R306=""),"",Match_Data!P306+Match_Data!R306)</x:f>
      </x:c>
      <x:c r="K306" t="str">
        <x:f>IF(OR(Match_Data!S306="",Match_Data!T306=""),"",Match_Data!S306+Match_Data!T306)</x:f>
      </x:c>
      <x:c r="L306" t="str">
        <x:f>IF(OR(Match_Data!U306="",Match_Data!V306=""),"",Match_Data!U306-Match_Data!V306)</x:f>
      </x:c>
      <x:c r="M306" s="32" t="str">
        <x:f>IF(Match_Data!Y306="","",1/Match_Data!Y306)</x:f>
      </x:c>
      <x:c r="N306" s="32" t="str">
        <x:f>IF(Match_Data!AA306="","",1/Match_Data!AA306)</x:f>
      </x:c>
      <x:c r="O306" s="32" t="str">
        <x:f>IF(OR(M306="",N306=""),"",N306-M306)</x:f>
      </x:c>
      <x:c r="P306" t="str">
        <x:f>IF(Match_Data!J306="","",IF(Match_Data!J306="OVER",1,0))</x:f>
      </x:c>
    </x:row>
    <x:row r="307">
      <x:c r="A307" t="n">
        <x:f>Match_Data!A307</x:f>
        <x:v>0</x:v>
      </x:c>
      <x:c r="B307" s="28" t="n">
        <x:f>Match_Data!B307</x:f>
        <x:v>0</x:v>
      </x:c>
      <x:c r="C307" t="n">
        <x:f>Match_Data!C307</x:f>
        <x:v>0</x:v>
      </x:c>
      <x:c r="D307" t="n">
        <x:f>Match_Data!E307</x:f>
        <x:v>0</x:v>
      </x:c>
      <x:c r="E307" t="n">
        <x:f>Match_Data!F307</x:f>
        <x:v>0</x:v>
      </x:c>
      <x:c r="F307" t="n">
        <x:f>Match_Data!AC307</x:f>
        <x:v>0</x:v>
      </x:c>
      <x:c r="G307" t="str">
        <x:f>IF(OR(Match_Data!K307="",Match_Data!L307=""),"",AVERAGE(Match_Data!K307:L307))</x:f>
      </x:c>
      <x:c r="H307" t="str">
        <x:f>IF(OR(Match_Data!M307="",Match_Data!N307=""),"",AVERAGE(Match_Data!M307:N307))</x:f>
      </x:c>
      <x:c r="I307" t="str">
        <x:f>IF(OR(Match_Data!O307="",Match_Data!Q307=""),"",Match_Data!O307+Match_Data!Q307)</x:f>
      </x:c>
      <x:c r="J307" t="str">
        <x:f>IF(OR(Match_Data!P307="",Match_Data!R307=""),"",Match_Data!P307+Match_Data!R307)</x:f>
      </x:c>
      <x:c r="K307" t="str">
        <x:f>IF(OR(Match_Data!S307="",Match_Data!T307=""),"",Match_Data!S307+Match_Data!T307)</x:f>
      </x:c>
      <x:c r="L307" t="str">
        <x:f>IF(OR(Match_Data!U307="",Match_Data!V307=""),"",Match_Data!U307-Match_Data!V307)</x:f>
      </x:c>
      <x:c r="M307" s="32" t="str">
        <x:f>IF(Match_Data!Y307="","",1/Match_Data!Y307)</x:f>
      </x:c>
      <x:c r="N307" s="32" t="str">
        <x:f>IF(Match_Data!AA307="","",1/Match_Data!AA307)</x:f>
      </x:c>
      <x:c r="O307" s="32" t="str">
        <x:f>IF(OR(M307="",N307=""),"",N307-M307)</x:f>
      </x:c>
      <x:c r="P307" t="str">
        <x:f>IF(Match_Data!J307="","",IF(Match_Data!J307="OVER",1,0))</x:f>
      </x:c>
    </x:row>
    <x:row r="308">
      <x:c r="A308" t="n">
        <x:f>Match_Data!A308</x:f>
        <x:v>0</x:v>
      </x:c>
      <x:c r="B308" s="28" t="n">
        <x:f>Match_Data!B308</x:f>
        <x:v>0</x:v>
      </x:c>
      <x:c r="C308" t="n">
        <x:f>Match_Data!C308</x:f>
        <x:v>0</x:v>
      </x:c>
      <x:c r="D308" t="n">
        <x:f>Match_Data!E308</x:f>
        <x:v>0</x:v>
      </x:c>
      <x:c r="E308" t="n">
        <x:f>Match_Data!F308</x:f>
        <x:v>0</x:v>
      </x:c>
      <x:c r="F308" t="n">
        <x:f>Match_Data!AC308</x:f>
        <x:v>0</x:v>
      </x:c>
      <x:c r="G308" t="str">
        <x:f>IF(OR(Match_Data!K308="",Match_Data!L308=""),"",AVERAGE(Match_Data!K308:L308))</x:f>
      </x:c>
      <x:c r="H308" t="str">
        <x:f>IF(OR(Match_Data!M308="",Match_Data!N308=""),"",AVERAGE(Match_Data!M308:N308))</x:f>
      </x:c>
      <x:c r="I308" t="str">
        <x:f>IF(OR(Match_Data!O308="",Match_Data!Q308=""),"",Match_Data!O308+Match_Data!Q308)</x:f>
      </x:c>
      <x:c r="J308" t="str">
        <x:f>IF(OR(Match_Data!P308="",Match_Data!R308=""),"",Match_Data!P308+Match_Data!R308)</x:f>
      </x:c>
      <x:c r="K308" t="str">
        <x:f>IF(OR(Match_Data!S308="",Match_Data!T308=""),"",Match_Data!S308+Match_Data!T308)</x:f>
      </x:c>
      <x:c r="L308" t="str">
        <x:f>IF(OR(Match_Data!U308="",Match_Data!V308=""),"",Match_Data!U308-Match_Data!V308)</x:f>
      </x:c>
      <x:c r="M308" s="32" t="str">
        <x:f>IF(Match_Data!Y308="","",1/Match_Data!Y308)</x:f>
      </x:c>
      <x:c r="N308" s="32" t="str">
        <x:f>IF(Match_Data!AA308="","",1/Match_Data!AA308)</x:f>
      </x:c>
      <x:c r="O308" s="32" t="str">
        <x:f>IF(OR(M308="",N308=""),"",N308-M308)</x:f>
      </x:c>
      <x:c r="P308" t="str">
        <x:f>IF(Match_Data!J308="","",IF(Match_Data!J308="OVER",1,0))</x:f>
      </x:c>
    </x:row>
    <x:row r="309">
      <x:c r="A309" t="n">
        <x:f>Match_Data!A309</x:f>
        <x:v>0</x:v>
      </x:c>
      <x:c r="B309" s="28" t="n">
        <x:f>Match_Data!B309</x:f>
        <x:v>0</x:v>
      </x:c>
      <x:c r="C309" t="n">
        <x:f>Match_Data!C309</x:f>
        <x:v>0</x:v>
      </x:c>
      <x:c r="D309" t="n">
        <x:f>Match_Data!E309</x:f>
        <x:v>0</x:v>
      </x:c>
      <x:c r="E309" t="n">
        <x:f>Match_Data!F309</x:f>
        <x:v>0</x:v>
      </x:c>
      <x:c r="F309" t="n">
        <x:f>Match_Data!AC309</x:f>
        <x:v>0</x:v>
      </x:c>
      <x:c r="G309" t="str">
        <x:f>IF(OR(Match_Data!K309="",Match_Data!L309=""),"",AVERAGE(Match_Data!K309:L309))</x:f>
      </x:c>
      <x:c r="H309" t="str">
        <x:f>IF(OR(Match_Data!M309="",Match_Data!N309=""),"",AVERAGE(Match_Data!M309:N309))</x:f>
      </x:c>
      <x:c r="I309" t="str">
        <x:f>IF(OR(Match_Data!O309="",Match_Data!Q309=""),"",Match_Data!O309+Match_Data!Q309)</x:f>
      </x:c>
      <x:c r="J309" t="str">
        <x:f>IF(OR(Match_Data!P309="",Match_Data!R309=""),"",Match_Data!P309+Match_Data!R309)</x:f>
      </x:c>
      <x:c r="K309" t="str">
        <x:f>IF(OR(Match_Data!S309="",Match_Data!T309=""),"",Match_Data!S309+Match_Data!T309)</x:f>
      </x:c>
      <x:c r="L309" t="str">
        <x:f>IF(OR(Match_Data!U309="",Match_Data!V309=""),"",Match_Data!U309-Match_Data!V309)</x:f>
      </x:c>
      <x:c r="M309" s="32" t="str">
        <x:f>IF(Match_Data!Y309="","",1/Match_Data!Y309)</x:f>
      </x:c>
      <x:c r="N309" s="32" t="str">
        <x:f>IF(Match_Data!AA309="","",1/Match_Data!AA309)</x:f>
      </x:c>
      <x:c r="O309" s="32" t="str">
        <x:f>IF(OR(M309="",N309=""),"",N309-M309)</x:f>
      </x:c>
      <x:c r="P309" t="str">
        <x:f>IF(Match_Data!J309="","",IF(Match_Data!J309="OVER",1,0))</x:f>
      </x:c>
    </x:row>
    <x:row r="310">
      <x:c r="A310" t="n">
        <x:f>Match_Data!A310</x:f>
        <x:v>0</x:v>
      </x:c>
      <x:c r="B310" s="28" t="n">
        <x:f>Match_Data!B310</x:f>
        <x:v>0</x:v>
      </x:c>
      <x:c r="C310" t="n">
        <x:f>Match_Data!C310</x:f>
        <x:v>0</x:v>
      </x:c>
      <x:c r="D310" t="n">
        <x:f>Match_Data!E310</x:f>
        <x:v>0</x:v>
      </x:c>
      <x:c r="E310" t="n">
        <x:f>Match_Data!F310</x:f>
        <x:v>0</x:v>
      </x:c>
      <x:c r="F310" t="n">
        <x:f>Match_Data!AC310</x:f>
        <x:v>0</x:v>
      </x:c>
      <x:c r="G310" t="str">
        <x:f>IF(OR(Match_Data!K310="",Match_Data!L310=""),"",AVERAGE(Match_Data!K310:L310))</x:f>
      </x:c>
      <x:c r="H310" t="str">
        <x:f>IF(OR(Match_Data!M310="",Match_Data!N310=""),"",AVERAGE(Match_Data!M310:N310))</x:f>
      </x:c>
      <x:c r="I310" t="str">
        <x:f>IF(OR(Match_Data!O310="",Match_Data!Q310=""),"",Match_Data!O310+Match_Data!Q310)</x:f>
      </x:c>
      <x:c r="J310" t="str">
        <x:f>IF(OR(Match_Data!P310="",Match_Data!R310=""),"",Match_Data!P310+Match_Data!R310)</x:f>
      </x:c>
      <x:c r="K310" t="str">
        <x:f>IF(OR(Match_Data!S310="",Match_Data!T310=""),"",Match_Data!S310+Match_Data!T310)</x:f>
      </x:c>
      <x:c r="L310" t="str">
        <x:f>IF(OR(Match_Data!U310="",Match_Data!V310=""),"",Match_Data!U310-Match_Data!V310)</x:f>
      </x:c>
      <x:c r="M310" s="32" t="str">
        <x:f>IF(Match_Data!Y310="","",1/Match_Data!Y310)</x:f>
      </x:c>
      <x:c r="N310" s="32" t="str">
        <x:f>IF(Match_Data!AA310="","",1/Match_Data!AA310)</x:f>
      </x:c>
      <x:c r="O310" s="32" t="str">
        <x:f>IF(OR(M310="",N310=""),"",N310-M310)</x:f>
      </x:c>
      <x:c r="P310" t="str">
        <x:f>IF(Match_Data!J310="","",IF(Match_Data!J310="OVER",1,0))</x:f>
      </x:c>
    </x:row>
    <x:row r="311">
      <x:c r="A311" t="n">
        <x:f>Match_Data!A311</x:f>
        <x:v>0</x:v>
      </x:c>
      <x:c r="B311" s="28" t="n">
        <x:f>Match_Data!B311</x:f>
        <x:v>0</x:v>
      </x:c>
      <x:c r="C311" t="n">
        <x:f>Match_Data!C311</x:f>
        <x:v>0</x:v>
      </x:c>
      <x:c r="D311" t="n">
        <x:f>Match_Data!E311</x:f>
        <x:v>0</x:v>
      </x:c>
      <x:c r="E311" t="n">
        <x:f>Match_Data!F311</x:f>
        <x:v>0</x:v>
      </x:c>
      <x:c r="F311" t="n">
        <x:f>Match_Data!AC311</x:f>
        <x:v>0</x:v>
      </x:c>
      <x:c r="G311" t="str">
        <x:f>IF(OR(Match_Data!K311="",Match_Data!L311=""),"",AVERAGE(Match_Data!K311:L311))</x:f>
      </x:c>
      <x:c r="H311" t="str">
        <x:f>IF(OR(Match_Data!M311="",Match_Data!N311=""),"",AVERAGE(Match_Data!M311:N311))</x:f>
      </x:c>
      <x:c r="I311" t="str">
        <x:f>IF(OR(Match_Data!O311="",Match_Data!Q311=""),"",Match_Data!O311+Match_Data!Q311)</x:f>
      </x:c>
      <x:c r="J311" t="str">
        <x:f>IF(OR(Match_Data!P311="",Match_Data!R311=""),"",Match_Data!P311+Match_Data!R311)</x:f>
      </x:c>
      <x:c r="K311" t="str">
        <x:f>IF(OR(Match_Data!S311="",Match_Data!T311=""),"",Match_Data!S311+Match_Data!T311)</x:f>
      </x:c>
      <x:c r="L311" t="str">
        <x:f>IF(OR(Match_Data!U311="",Match_Data!V311=""),"",Match_Data!U311-Match_Data!V311)</x:f>
      </x:c>
      <x:c r="M311" s="32" t="str">
        <x:f>IF(Match_Data!Y311="","",1/Match_Data!Y311)</x:f>
      </x:c>
      <x:c r="N311" s="32" t="str">
        <x:f>IF(Match_Data!AA311="","",1/Match_Data!AA311)</x:f>
      </x:c>
      <x:c r="O311" s="32" t="str">
        <x:f>IF(OR(M311="",N311=""),"",N311-M311)</x:f>
      </x:c>
      <x:c r="P311" t="str">
        <x:f>IF(Match_Data!J311="","",IF(Match_Data!J311="OVER",1,0))</x:f>
      </x:c>
    </x:row>
    <x:row r="312">
      <x:c r="A312" t="n">
        <x:f>Match_Data!A312</x:f>
        <x:v>0</x:v>
      </x:c>
      <x:c r="B312" s="28" t="n">
        <x:f>Match_Data!B312</x:f>
        <x:v>0</x:v>
      </x:c>
      <x:c r="C312" t="n">
        <x:f>Match_Data!C312</x:f>
        <x:v>0</x:v>
      </x:c>
      <x:c r="D312" t="n">
        <x:f>Match_Data!E312</x:f>
        <x:v>0</x:v>
      </x:c>
      <x:c r="E312" t="n">
        <x:f>Match_Data!F312</x:f>
        <x:v>0</x:v>
      </x:c>
      <x:c r="F312" t="n">
        <x:f>Match_Data!AC312</x:f>
        <x:v>0</x:v>
      </x:c>
      <x:c r="G312" t="str">
        <x:f>IF(OR(Match_Data!K312="",Match_Data!L312=""),"",AVERAGE(Match_Data!K312:L312))</x:f>
      </x:c>
      <x:c r="H312" t="str">
        <x:f>IF(OR(Match_Data!M312="",Match_Data!N312=""),"",AVERAGE(Match_Data!M312:N312))</x:f>
      </x:c>
      <x:c r="I312" t="str">
        <x:f>IF(OR(Match_Data!O312="",Match_Data!Q312=""),"",Match_Data!O312+Match_Data!Q312)</x:f>
      </x:c>
      <x:c r="J312" t="str">
        <x:f>IF(OR(Match_Data!P312="",Match_Data!R312=""),"",Match_Data!P312+Match_Data!R312)</x:f>
      </x:c>
      <x:c r="K312" t="str">
        <x:f>IF(OR(Match_Data!S312="",Match_Data!T312=""),"",Match_Data!S312+Match_Data!T312)</x:f>
      </x:c>
      <x:c r="L312" t="str">
        <x:f>IF(OR(Match_Data!U312="",Match_Data!V312=""),"",Match_Data!U312-Match_Data!V312)</x:f>
      </x:c>
      <x:c r="M312" s="32" t="str">
        <x:f>IF(Match_Data!Y312="","",1/Match_Data!Y312)</x:f>
      </x:c>
      <x:c r="N312" s="32" t="str">
        <x:f>IF(Match_Data!AA312="","",1/Match_Data!AA312)</x:f>
      </x:c>
      <x:c r="O312" s="32" t="str">
        <x:f>IF(OR(M312="",N312=""),"",N312-M312)</x:f>
      </x:c>
      <x:c r="P312" t="str">
        <x:f>IF(Match_Data!J312="","",IF(Match_Data!J312="OVER",1,0))</x:f>
      </x:c>
    </x:row>
    <x:row r="313">
      <x:c r="A313" t="n">
        <x:f>Match_Data!A313</x:f>
        <x:v>0</x:v>
      </x:c>
      <x:c r="B313" s="28" t="n">
        <x:f>Match_Data!B313</x:f>
        <x:v>0</x:v>
      </x:c>
      <x:c r="C313" t="n">
        <x:f>Match_Data!C313</x:f>
        <x:v>0</x:v>
      </x:c>
      <x:c r="D313" t="n">
        <x:f>Match_Data!E313</x:f>
        <x:v>0</x:v>
      </x:c>
      <x:c r="E313" t="n">
        <x:f>Match_Data!F313</x:f>
        <x:v>0</x:v>
      </x:c>
      <x:c r="F313" t="n">
        <x:f>Match_Data!AC313</x:f>
        <x:v>0</x:v>
      </x:c>
      <x:c r="G313" t="str">
        <x:f>IF(OR(Match_Data!K313="",Match_Data!L313=""),"",AVERAGE(Match_Data!K313:L313))</x:f>
      </x:c>
      <x:c r="H313" t="str">
        <x:f>IF(OR(Match_Data!M313="",Match_Data!N313=""),"",AVERAGE(Match_Data!M313:N313))</x:f>
      </x:c>
      <x:c r="I313" t="str">
        <x:f>IF(OR(Match_Data!O313="",Match_Data!Q313=""),"",Match_Data!O313+Match_Data!Q313)</x:f>
      </x:c>
      <x:c r="J313" t="str">
        <x:f>IF(OR(Match_Data!P313="",Match_Data!R313=""),"",Match_Data!P313+Match_Data!R313)</x:f>
      </x:c>
      <x:c r="K313" t="str">
        <x:f>IF(OR(Match_Data!S313="",Match_Data!T313=""),"",Match_Data!S313+Match_Data!T313)</x:f>
      </x:c>
      <x:c r="L313" t="str">
        <x:f>IF(OR(Match_Data!U313="",Match_Data!V313=""),"",Match_Data!U313-Match_Data!V313)</x:f>
      </x:c>
      <x:c r="M313" s="32" t="str">
        <x:f>IF(Match_Data!Y313="","",1/Match_Data!Y313)</x:f>
      </x:c>
      <x:c r="N313" s="32" t="str">
        <x:f>IF(Match_Data!AA313="","",1/Match_Data!AA313)</x:f>
      </x:c>
      <x:c r="O313" s="32" t="str">
        <x:f>IF(OR(M313="",N313=""),"",N313-M313)</x:f>
      </x:c>
      <x:c r="P313" t="str">
        <x:f>IF(Match_Data!J313="","",IF(Match_Data!J313="OVER",1,0))</x:f>
      </x:c>
    </x:row>
    <x:row r="314">
      <x:c r="A314" t="n">
        <x:f>Match_Data!A314</x:f>
        <x:v>0</x:v>
      </x:c>
      <x:c r="B314" s="28" t="n">
        <x:f>Match_Data!B314</x:f>
        <x:v>0</x:v>
      </x:c>
      <x:c r="C314" t="n">
        <x:f>Match_Data!C314</x:f>
        <x:v>0</x:v>
      </x:c>
      <x:c r="D314" t="n">
        <x:f>Match_Data!E314</x:f>
        <x:v>0</x:v>
      </x:c>
      <x:c r="E314" t="n">
        <x:f>Match_Data!F314</x:f>
        <x:v>0</x:v>
      </x:c>
      <x:c r="F314" t="n">
        <x:f>Match_Data!AC314</x:f>
        <x:v>0</x:v>
      </x:c>
      <x:c r="G314" t="str">
        <x:f>IF(OR(Match_Data!K314="",Match_Data!L314=""),"",AVERAGE(Match_Data!K314:L314))</x:f>
      </x:c>
      <x:c r="H314" t="str">
        <x:f>IF(OR(Match_Data!M314="",Match_Data!N314=""),"",AVERAGE(Match_Data!M314:N314))</x:f>
      </x:c>
      <x:c r="I314" t="str">
        <x:f>IF(OR(Match_Data!O314="",Match_Data!Q314=""),"",Match_Data!O314+Match_Data!Q314)</x:f>
      </x:c>
      <x:c r="J314" t="str">
        <x:f>IF(OR(Match_Data!P314="",Match_Data!R314=""),"",Match_Data!P314+Match_Data!R314)</x:f>
      </x:c>
      <x:c r="K314" t="str">
        <x:f>IF(OR(Match_Data!S314="",Match_Data!T314=""),"",Match_Data!S314+Match_Data!T314)</x:f>
      </x:c>
      <x:c r="L314" t="str">
        <x:f>IF(OR(Match_Data!U314="",Match_Data!V314=""),"",Match_Data!U314-Match_Data!V314)</x:f>
      </x:c>
      <x:c r="M314" s="32" t="str">
        <x:f>IF(Match_Data!Y314="","",1/Match_Data!Y314)</x:f>
      </x:c>
      <x:c r="N314" s="32" t="str">
        <x:f>IF(Match_Data!AA314="","",1/Match_Data!AA314)</x:f>
      </x:c>
      <x:c r="O314" s="32" t="str">
        <x:f>IF(OR(M314="",N314=""),"",N314-M314)</x:f>
      </x:c>
      <x:c r="P314" t="str">
        <x:f>IF(Match_Data!J314="","",IF(Match_Data!J314="OVER",1,0))</x:f>
      </x:c>
    </x:row>
    <x:row r="315">
      <x:c r="A315" t="n">
        <x:f>Match_Data!A315</x:f>
        <x:v>0</x:v>
      </x:c>
      <x:c r="B315" s="28" t="n">
        <x:f>Match_Data!B315</x:f>
        <x:v>0</x:v>
      </x:c>
      <x:c r="C315" t="n">
        <x:f>Match_Data!C315</x:f>
        <x:v>0</x:v>
      </x:c>
      <x:c r="D315" t="n">
        <x:f>Match_Data!E315</x:f>
        <x:v>0</x:v>
      </x:c>
      <x:c r="E315" t="n">
        <x:f>Match_Data!F315</x:f>
        <x:v>0</x:v>
      </x:c>
      <x:c r="F315" t="n">
        <x:f>Match_Data!AC315</x:f>
        <x:v>0</x:v>
      </x:c>
      <x:c r="G315" t="str">
        <x:f>IF(OR(Match_Data!K315="",Match_Data!L315=""),"",AVERAGE(Match_Data!K315:L315))</x:f>
      </x:c>
      <x:c r="H315" t="str">
        <x:f>IF(OR(Match_Data!M315="",Match_Data!N315=""),"",AVERAGE(Match_Data!M315:N315))</x:f>
      </x:c>
      <x:c r="I315" t="str">
        <x:f>IF(OR(Match_Data!O315="",Match_Data!Q315=""),"",Match_Data!O315+Match_Data!Q315)</x:f>
      </x:c>
      <x:c r="J315" t="str">
        <x:f>IF(OR(Match_Data!P315="",Match_Data!R315=""),"",Match_Data!P315+Match_Data!R315)</x:f>
      </x:c>
      <x:c r="K315" t="str">
        <x:f>IF(OR(Match_Data!S315="",Match_Data!T315=""),"",Match_Data!S315+Match_Data!T315)</x:f>
      </x:c>
      <x:c r="L315" t="str">
        <x:f>IF(OR(Match_Data!U315="",Match_Data!V315=""),"",Match_Data!U315-Match_Data!V315)</x:f>
      </x:c>
      <x:c r="M315" s="32" t="str">
        <x:f>IF(Match_Data!Y315="","",1/Match_Data!Y315)</x:f>
      </x:c>
      <x:c r="N315" s="32" t="str">
        <x:f>IF(Match_Data!AA315="","",1/Match_Data!AA315)</x:f>
      </x:c>
      <x:c r="O315" s="32" t="str">
        <x:f>IF(OR(M315="",N315=""),"",N315-M315)</x:f>
      </x:c>
      <x:c r="P315" t="str">
        <x:f>IF(Match_Data!J315="","",IF(Match_Data!J315="OVER",1,0))</x:f>
      </x:c>
    </x:row>
    <x:row r="316">
      <x:c r="A316" t="n">
        <x:f>Match_Data!A316</x:f>
        <x:v>0</x:v>
      </x:c>
      <x:c r="B316" s="28" t="n">
        <x:f>Match_Data!B316</x:f>
        <x:v>0</x:v>
      </x:c>
      <x:c r="C316" t="n">
        <x:f>Match_Data!C316</x:f>
        <x:v>0</x:v>
      </x:c>
      <x:c r="D316" t="n">
        <x:f>Match_Data!E316</x:f>
        <x:v>0</x:v>
      </x:c>
      <x:c r="E316" t="n">
        <x:f>Match_Data!F316</x:f>
        <x:v>0</x:v>
      </x:c>
      <x:c r="F316" t="n">
        <x:f>Match_Data!AC316</x:f>
        <x:v>0</x:v>
      </x:c>
      <x:c r="G316" t="str">
        <x:f>IF(OR(Match_Data!K316="",Match_Data!L316=""),"",AVERAGE(Match_Data!K316:L316))</x:f>
      </x:c>
      <x:c r="H316" t="str">
        <x:f>IF(OR(Match_Data!M316="",Match_Data!N316=""),"",AVERAGE(Match_Data!M316:N316))</x:f>
      </x:c>
      <x:c r="I316" t="str">
        <x:f>IF(OR(Match_Data!O316="",Match_Data!Q316=""),"",Match_Data!O316+Match_Data!Q316)</x:f>
      </x:c>
      <x:c r="J316" t="str">
        <x:f>IF(OR(Match_Data!P316="",Match_Data!R316=""),"",Match_Data!P316+Match_Data!R316)</x:f>
      </x:c>
      <x:c r="K316" t="str">
        <x:f>IF(OR(Match_Data!S316="",Match_Data!T316=""),"",Match_Data!S316+Match_Data!T316)</x:f>
      </x:c>
      <x:c r="L316" t="str">
        <x:f>IF(OR(Match_Data!U316="",Match_Data!V316=""),"",Match_Data!U316-Match_Data!V316)</x:f>
      </x:c>
      <x:c r="M316" s="32" t="str">
        <x:f>IF(Match_Data!Y316="","",1/Match_Data!Y316)</x:f>
      </x:c>
      <x:c r="N316" s="32" t="str">
        <x:f>IF(Match_Data!AA316="","",1/Match_Data!AA316)</x:f>
      </x:c>
      <x:c r="O316" s="32" t="str">
        <x:f>IF(OR(M316="",N316=""),"",N316-M316)</x:f>
      </x:c>
      <x:c r="P316" t="str">
        <x:f>IF(Match_Data!J316="","",IF(Match_Data!J316="OVER",1,0))</x:f>
      </x:c>
    </x:row>
    <x:row r="317">
      <x:c r="A317" t="n">
        <x:f>Match_Data!A317</x:f>
        <x:v>0</x:v>
      </x:c>
      <x:c r="B317" s="28" t="n">
        <x:f>Match_Data!B317</x:f>
        <x:v>0</x:v>
      </x:c>
      <x:c r="C317" t="n">
        <x:f>Match_Data!C317</x:f>
        <x:v>0</x:v>
      </x:c>
      <x:c r="D317" t="n">
        <x:f>Match_Data!E317</x:f>
        <x:v>0</x:v>
      </x:c>
      <x:c r="E317" t="n">
        <x:f>Match_Data!F317</x:f>
        <x:v>0</x:v>
      </x:c>
      <x:c r="F317" t="n">
        <x:f>Match_Data!AC317</x:f>
        <x:v>0</x:v>
      </x:c>
      <x:c r="G317" t="str">
        <x:f>IF(OR(Match_Data!K317="",Match_Data!L317=""),"",AVERAGE(Match_Data!K317:L317))</x:f>
      </x:c>
      <x:c r="H317" t="str">
        <x:f>IF(OR(Match_Data!M317="",Match_Data!N317=""),"",AVERAGE(Match_Data!M317:N317))</x:f>
      </x:c>
      <x:c r="I317" t="str">
        <x:f>IF(OR(Match_Data!O317="",Match_Data!Q317=""),"",Match_Data!O317+Match_Data!Q317)</x:f>
      </x:c>
      <x:c r="J317" t="str">
        <x:f>IF(OR(Match_Data!P317="",Match_Data!R317=""),"",Match_Data!P317+Match_Data!R317)</x:f>
      </x:c>
      <x:c r="K317" t="str">
        <x:f>IF(OR(Match_Data!S317="",Match_Data!T317=""),"",Match_Data!S317+Match_Data!T317)</x:f>
      </x:c>
      <x:c r="L317" t="str">
        <x:f>IF(OR(Match_Data!U317="",Match_Data!V317=""),"",Match_Data!U317-Match_Data!V317)</x:f>
      </x:c>
      <x:c r="M317" s="32" t="str">
        <x:f>IF(Match_Data!Y317="","",1/Match_Data!Y317)</x:f>
      </x:c>
      <x:c r="N317" s="32" t="str">
        <x:f>IF(Match_Data!AA317="","",1/Match_Data!AA317)</x:f>
      </x:c>
      <x:c r="O317" s="32" t="str">
        <x:f>IF(OR(M317="",N317=""),"",N317-M317)</x:f>
      </x:c>
      <x:c r="P317" t="str">
        <x:f>IF(Match_Data!J317="","",IF(Match_Data!J317="OVER",1,0))</x:f>
      </x:c>
    </x:row>
    <x:row r="318">
      <x:c r="A318" t="n">
        <x:f>Match_Data!A318</x:f>
        <x:v>0</x:v>
      </x:c>
      <x:c r="B318" s="28" t="n">
        <x:f>Match_Data!B318</x:f>
        <x:v>0</x:v>
      </x:c>
      <x:c r="C318" t="n">
        <x:f>Match_Data!C318</x:f>
        <x:v>0</x:v>
      </x:c>
      <x:c r="D318" t="n">
        <x:f>Match_Data!E318</x:f>
        <x:v>0</x:v>
      </x:c>
      <x:c r="E318" t="n">
        <x:f>Match_Data!F318</x:f>
        <x:v>0</x:v>
      </x:c>
      <x:c r="F318" t="n">
        <x:f>Match_Data!AC318</x:f>
        <x:v>0</x:v>
      </x:c>
      <x:c r="G318" t="str">
        <x:f>IF(OR(Match_Data!K318="",Match_Data!L318=""),"",AVERAGE(Match_Data!K318:L318))</x:f>
      </x:c>
      <x:c r="H318" t="str">
        <x:f>IF(OR(Match_Data!M318="",Match_Data!N318=""),"",AVERAGE(Match_Data!M318:N318))</x:f>
      </x:c>
      <x:c r="I318" t="str">
        <x:f>IF(OR(Match_Data!O318="",Match_Data!Q318=""),"",Match_Data!O318+Match_Data!Q318)</x:f>
      </x:c>
      <x:c r="J318" t="str">
        <x:f>IF(OR(Match_Data!P318="",Match_Data!R318=""),"",Match_Data!P318+Match_Data!R318)</x:f>
      </x:c>
      <x:c r="K318" t="str">
        <x:f>IF(OR(Match_Data!S318="",Match_Data!T318=""),"",Match_Data!S318+Match_Data!T318)</x:f>
      </x:c>
      <x:c r="L318" t="str">
        <x:f>IF(OR(Match_Data!U318="",Match_Data!V318=""),"",Match_Data!U318-Match_Data!V318)</x:f>
      </x:c>
      <x:c r="M318" s="32" t="str">
        <x:f>IF(Match_Data!Y318="","",1/Match_Data!Y318)</x:f>
      </x:c>
      <x:c r="N318" s="32" t="str">
        <x:f>IF(Match_Data!AA318="","",1/Match_Data!AA318)</x:f>
      </x:c>
      <x:c r="O318" s="32" t="str">
        <x:f>IF(OR(M318="",N318=""),"",N318-M318)</x:f>
      </x:c>
      <x:c r="P318" t="str">
        <x:f>IF(Match_Data!J318="","",IF(Match_Data!J318="OVER",1,0))</x:f>
      </x:c>
    </x:row>
    <x:row r="319">
      <x:c r="A319" t="n">
        <x:f>Match_Data!A319</x:f>
        <x:v>0</x:v>
      </x:c>
      <x:c r="B319" s="28" t="n">
        <x:f>Match_Data!B319</x:f>
        <x:v>0</x:v>
      </x:c>
      <x:c r="C319" t="n">
        <x:f>Match_Data!C319</x:f>
        <x:v>0</x:v>
      </x:c>
      <x:c r="D319" t="n">
        <x:f>Match_Data!E319</x:f>
        <x:v>0</x:v>
      </x:c>
      <x:c r="E319" t="n">
        <x:f>Match_Data!F319</x:f>
        <x:v>0</x:v>
      </x:c>
      <x:c r="F319" t="n">
        <x:f>Match_Data!AC319</x:f>
        <x:v>0</x:v>
      </x:c>
      <x:c r="G319" t="str">
        <x:f>IF(OR(Match_Data!K319="",Match_Data!L319=""),"",AVERAGE(Match_Data!K319:L319))</x:f>
      </x:c>
      <x:c r="H319" t="str">
        <x:f>IF(OR(Match_Data!M319="",Match_Data!N319=""),"",AVERAGE(Match_Data!M319:N319))</x:f>
      </x:c>
      <x:c r="I319" t="str">
        <x:f>IF(OR(Match_Data!O319="",Match_Data!Q319=""),"",Match_Data!O319+Match_Data!Q319)</x:f>
      </x:c>
      <x:c r="J319" t="str">
        <x:f>IF(OR(Match_Data!P319="",Match_Data!R319=""),"",Match_Data!P319+Match_Data!R319)</x:f>
      </x:c>
      <x:c r="K319" t="str">
        <x:f>IF(OR(Match_Data!S319="",Match_Data!T319=""),"",Match_Data!S319+Match_Data!T319)</x:f>
      </x:c>
      <x:c r="L319" t="str">
        <x:f>IF(OR(Match_Data!U319="",Match_Data!V319=""),"",Match_Data!U319-Match_Data!V319)</x:f>
      </x:c>
      <x:c r="M319" s="32" t="str">
        <x:f>IF(Match_Data!Y319="","",1/Match_Data!Y319)</x:f>
      </x:c>
      <x:c r="N319" s="32" t="str">
        <x:f>IF(Match_Data!AA319="","",1/Match_Data!AA319)</x:f>
      </x:c>
      <x:c r="O319" s="32" t="str">
        <x:f>IF(OR(M319="",N319=""),"",N319-M319)</x:f>
      </x:c>
      <x:c r="P319" t="str">
        <x:f>IF(Match_Data!J319="","",IF(Match_Data!J319="OVER",1,0))</x:f>
      </x:c>
    </x:row>
    <x:row r="320">
      <x:c r="A320" t="n">
        <x:f>Match_Data!A320</x:f>
        <x:v>0</x:v>
      </x:c>
      <x:c r="B320" s="28" t="n">
        <x:f>Match_Data!B320</x:f>
        <x:v>0</x:v>
      </x:c>
      <x:c r="C320" t="n">
        <x:f>Match_Data!C320</x:f>
        <x:v>0</x:v>
      </x:c>
      <x:c r="D320" t="n">
        <x:f>Match_Data!E320</x:f>
        <x:v>0</x:v>
      </x:c>
      <x:c r="E320" t="n">
        <x:f>Match_Data!F320</x:f>
        <x:v>0</x:v>
      </x:c>
      <x:c r="F320" t="n">
        <x:f>Match_Data!AC320</x:f>
        <x:v>0</x:v>
      </x:c>
      <x:c r="G320" t="str">
        <x:f>IF(OR(Match_Data!K320="",Match_Data!L320=""),"",AVERAGE(Match_Data!K320:L320))</x:f>
      </x:c>
      <x:c r="H320" t="str">
        <x:f>IF(OR(Match_Data!M320="",Match_Data!N320=""),"",AVERAGE(Match_Data!M320:N320))</x:f>
      </x:c>
      <x:c r="I320" t="str">
        <x:f>IF(OR(Match_Data!O320="",Match_Data!Q320=""),"",Match_Data!O320+Match_Data!Q320)</x:f>
      </x:c>
      <x:c r="J320" t="str">
        <x:f>IF(OR(Match_Data!P320="",Match_Data!R320=""),"",Match_Data!P320+Match_Data!R320)</x:f>
      </x:c>
      <x:c r="K320" t="str">
        <x:f>IF(OR(Match_Data!S320="",Match_Data!T320=""),"",Match_Data!S320+Match_Data!T320)</x:f>
      </x:c>
      <x:c r="L320" t="str">
        <x:f>IF(OR(Match_Data!U320="",Match_Data!V320=""),"",Match_Data!U320-Match_Data!V320)</x:f>
      </x:c>
      <x:c r="M320" s="32" t="str">
        <x:f>IF(Match_Data!Y320="","",1/Match_Data!Y320)</x:f>
      </x:c>
      <x:c r="N320" s="32" t="str">
        <x:f>IF(Match_Data!AA320="","",1/Match_Data!AA320)</x:f>
      </x:c>
      <x:c r="O320" s="32" t="str">
        <x:f>IF(OR(M320="",N320=""),"",N320-M320)</x:f>
      </x:c>
      <x:c r="P320" t="str">
        <x:f>IF(Match_Data!J320="","",IF(Match_Data!J320="OVER",1,0))</x:f>
      </x:c>
    </x:row>
    <x:row r="321">
      <x:c r="A321" t="n">
        <x:f>Match_Data!A321</x:f>
        <x:v>0</x:v>
      </x:c>
      <x:c r="B321" s="28" t="n">
        <x:f>Match_Data!B321</x:f>
        <x:v>0</x:v>
      </x:c>
      <x:c r="C321" t="n">
        <x:f>Match_Data!C321</x:f>
        <x:v>0</x:v>
      </x:c>
      <x:c r="D321" t="n">
        <x:f>Match_Data!E321</x:f>
        <x:v>0</x:v>
      </x:c>
      <x:c r="E321" t="n">
        <x:f>Match_Data!F321</x:f>
        <x:v>0</x:v>
      </x:c>
      <x:c r="F321" t="n">
        <x:f>Match_Data!AC321</x:f>
        <x:v>0</x:v>
      </x:c>
      <x:c r="G321" t="str">
        <x:f>IF(OR(Match_Data!K321="",Match_Data!L321=""),"",AVERAGE(Match_Data!K321:L321))</x:f>
      </x:c>
      <x:c r="H321" t="str">
        <x:f>IF(OR(Match_Data!M321="",Match_Data!N321=""),"",AVERAGE(Match_Data!M321:N321))</x:f>
      </x:c>
      <x:c r="I321" t="str">
        <x:f>IF(OR(Match_Data!O321="",Match_Data!Q321=""),"",Match_Data!O321+Match_Data!Q321)</x:f>
      </x:c>
      <x:c r="J321" t="str">
        <x:f>IF(OR(Match_Data!P321="",Match_Data!R321=""),"",Match_Data!P321+Match_Data!R321)</x:f>
      </x:c>
      <x:c r="K321" t="str">
        <x:f>IF(OR(Match_Data!S321="",Match_Data!T321=""),"",Match_Data!S321+Match_Data!T321)</x:f>
      </x:c>
      <x:c r="L321" t="str">
        <x:f>IF(OR(Match_Data!U321="",Match_Data!V321=""),"",Match_Data!U321-Match_Data!V321)</x:f>
      </x:c>
      <x:c r="M321" s="32" t="str">
        <x:f>IF(Match_Data!Y321="","",1/Match_Data!Y321)</x:f>
      </x:c>
      <x:c r="N321" s="32" t="str">
        <x:f>IF(Match_Data!AA321="","",1/Match_Data!AA321)</x:f>
      </x:c>
      <x:c r="O321" s="32" t="str">
        <x:f>IF(OR(M321="",N321=""),"",N321-M321)</x:f>
      </x:c>
      <x:c r="P321" t="str">
        <x:f>IF(Match_Data!J321="","",IF(Match_Data!J321="OVER",1,0))</x:f>
      </x:c>
    </x:row>
    <x:row r="322">
      <x:c r="A322" t="n">
        <x:f>Match_Data!A322</x:f>
        <x:v>0</x:v>
      </x:c>
      <x:c r="B322" s="28" t="n">
        <x:f>Match_Data!B322</x:f>
        <x:v>0</x:v>
      </x:c>
      <x:c r="C322" t="n">
        <x:f>Match_Data!C322</x:f>
        <x:v>0</x:v>
      </x:c>
      <x:c r="D322" t="n">
        <x:f>Match_Data!E322</x:f>
        <x:v>0</x:v>
      </x:c>
      <x:c r="E322" t="n">
        <x:f>Match_Data!F322</x:f>
        <x:v>0</x:v>
      </x:c>
      <x:c r="F322" t="n">
        <x:f>Match_Data!AC322</x:f>
        <x:v>0</x:v>
      </x:c>
      <x:c r="G322" t="str">
        <x:f>IF(OR(Match_Data!K322="",Match_Data!L322=""),"",AVERAGE(Match_Data!K322:L322))</x:f>
      </x:c>
      <x:c r="H322" t="str">
        <x:f>IF(OR(Match_Data!M322="",Match_Data!N322=""),"",AVERAGE(Match_Data!M322:N322))</x:f>
      </x:c>
      <x:c r="I322" t="str">
        <x:f>IF(OR(Match_Data!O322="",Match_Data!Q322=""),"",Match_Data!O322+Match_Data!Q322)</x:f>
      </x:c>
      <x:c r="J322" t="str">
        <x:f>IF(OR(Match_Data!P322="",Match_Data!R322=""),"",Match_Data!P322+Match_Data!R322)</x:f>
      </x:c>
      <x:c r="K322" t="str">
        <x:f>IF(OR(Match_Data!S322="",Match_Data!T322=""),"",Match_Data!S322+Match_Data!T322)</x:f>
      </x:c>
      <x:c r="L322" t="str">
        <x:f>IF(OR(Match_Data!U322="",Match_Data!V322=""),"",Match_Data!U322-Match_Data!V322)</x:f>
      </x:c>
      <x:c r="M322" s="32" t="str">
        <x:f>IF(Match_Data!Y322="","",1/Match_Data!Y322)</x:f>
      </x:c>
      <x:c r="N322" s="32" t="str">
        <x:f>IF(Match_Data!AA322="","",1/Match_Data!AA322)</x:f>
      </x:c>
      <x:c r="O322" s="32" t="str">
        <x:f>IF(OR(M322="",N322=""),"",N322-M322)</x:f>
      </x:c>
      <x:c r="P322" t="str">
        <x:f>IF(Match_Data!J322="","",IF(Match_Data!J322="OVER",1,0))</x:f>
      </x:c>
    </x:row>
    <x:row r="323">
      <x:c r="A323" t="n">
        <x:f>Match_Data!A323</x:f>
        <x:v>0</x:v>
      </x:c>
      <x:c r="B323" s="28" t="n">
        <x:f>Match_Data!B323</x:f>
        <x:v>0</x:v>
      </x:c>
      <x:c r="C323" t="n">
        <x:f>Match_Data!C323</x:f>
        <x:v>0</x:v>
      </x:c>
      <x:c r="D323" t="n">
        <x:f>Match_Data!E323</x:f>
        <x:v>0</x:v>
      </x:c>
      <x:c r="E323" t="n">
        <x:f>Match_Data!F323</x:f>
        <x:v>0</x:v>
      </x:c>
      <x:c r="F323" t="n">
        <x:f>Match_Data!AC323</x:f>
        <x:v>0</x:v>
      </x:c>
      <x:c r="G323" t="str">
        <x:f>IF(OR(Match_Data!K323="",Match_Data!L323=""),"",AVERAGE(Match_Data!K323:L323))</x:f>
      </x:c>
      <x:c r="H323" t="str">
        <x:f>IF(OR(Match_Data!M323="",Match_Data!N323=""),"",AVERAGE(Match_Data!M323:N323))</x:f>
      </x:c>
      <x:c r="I323" t="str">
        <x:f>IF(OR(Match_Data!O323="",Match_Data!Q323=""),"",Match_Data!O323+Match_Data!Q323)</x:f>
      </x:c>
      <x:c r="J323" t="str">
        <x:f>IF(OR(Match_Data!P323="",Match_Data!R323=""),"",Match_Data!P323+Match_Data!R323)</x:f>
      </x:c>
      <x:c r="K323" t="str">
        <x:f>IF(OR(Match_Data!S323="",Match_Data!T323=""),"",Match_Data!S323+Match_Data!T323)</x:f>
      </x:c>
      <x:c r="L323" t="str">
        <x:f>IF(OR(Match_Data!U323="",Match_Data!V323=""),"",Match_Data!U323-Match_Data!V323)</x:f>
      </x:c>
      <x:c r="M323" s="32" t="str">
        <x:f>IF(Match_Data!Y323="","",1/Match_Data!Y323)</x:f>
      </x:c>
      <x:c r="N323" s="32" t="str">
        <x:f>IF(Match_Data!AA323="","",1/Match_Data!AA323)</x:f>
      </x:c>
      <x:c r="O323" s="32" t="str">
        <x:f>IF(OR(M323="",N323=""),"",N323-M323)</x:f>
      </x:c>
      <x:c r="P323" t="str">
        <x:f>IF(Match_Data!J323="","",IF(Match_Data!J323="OVER",1,0))</x:f>
      </x:c>
    </x:row>
    <x:row r="324">
      <x:c r="A324" t="n">
        <x:f>Match_Data!A324</x:f>
        <x:v>0</x:v>
      </x:c>
      <x:c r="B324" s="28" t="n">
        <x:f>Match_Data!B324</x:f>
        <x:v>0</x:v>
      </x:c>
      <x:c r="C324" t="n">
        <x:f>Match_Data!C324</x:f>
        <x:v>0</x:v>
      </x:c>
      <x:c r="D324" t="n">
        <x:f>Match_Data!E324</x:f>
        <x:v>0</x:v>
      </x:c>
      <x:c r="E324" t="n">
        <x:f>Match_Data!F324</x:f>
        <x:v>0</x:v>
      </x:c>
      <x:c r="F324" t="n">
        <x:f>Match_Data!AC324</x:f>
        <x:v>0</x:v>
      </x:c>
      <x:c r="G324" t="str">
        <x:f>IF(OR(Match_Data!K324="",Match_Data!L324=""),"",AVERAGE(Match_Data!K324:L324))</x:f>
      </x:c>
      <x:c r="H324" t="str">
        <x:f>IF(OR(Match_Data!M324="",Match_Data!N324=""),"",AVERAGE(Match_Data!M324:N324))</x:f>
      </x:c>
      <x:c r="I324" t="str">
        <x:f>IF(OR(Match_Data!O324="",Match_Data!Q324=""),"",Match_Data!O324+Match_Data!Q324)</x:f>
      </x:c>
      <x:c r="J324" t="str">
        <x:f>IF(OR(Match_Data!P324="",Match_Data!R324=""),"",Match_Data!P324+Match_Data!R324)</x:f>
      </x:c>
      <x:c r="K324" t="str">
        <x:f>IF(OR(Match_Data!S324="",Match_Data!T324=""),"",Match_Data!S324+Match_Data!T324)</x:f>
      </x:c>
      <x:c r="L324" t="str">
        <x:f>IF(OR(Match_Data!U324="",Match_Data!V324=""),"",Match_Data!U324-Match_Data!V324)</x:f>
      </x:c>
      <x:c r="M324" s="32" t="str">
        <x:f>IF(Match_Data!Y324="","",1/Match_Data!Y324)</x:f>
      </x:c>
      <x:c r="N324" s="32" t="str">
        <x:f>IF(Match_Data!AA324="","",1/Match_Data!AA324)</x:f>
      </x:c>
      <x:c r="O324" s="32" t="str">
        <x:f>IF(OR(M324="",N324=""),"",N324-M324)</x:f>
      </x:c>
      <x:c r="P324" t="str">
        <x:f>IF(Match_Data!J324="","",IF(Match_Data!J324="OVER",1,0))</x:f>
      </x:c>
    </x:row>
    <x:row r="325">
      <x:c r="A325" t="n">
        <x:f>Match_Data!A325</x:f>
        <x:v>0</x:v>
      </x:c>
      <x:c r="B325" s="28" t="n">
        <x:f>Match_Data!B325</x:f>
        <x:v>0</x:v>
      </x:c>
      <x:c r="C325" t="n">
        <x:f>Match_Data!C325</x:f>
        <x:v>0</x:v>
      </x:c>
      <x:c r="D325" t="n">
        <x:f>Match_Data!E325</x:f>
        <x:v>0</x:v>
      </x:c>
      <x:c r="E325" t="n">
        <x:f>Match_Data!F325</x:f>
        <x:v>0</x:v>
      </x:c>
      <x:c r="F325" t="n">
        <x:f>Match_Data!AC325</x:f>
        <x:v>0</x:v>
      </x:c>
      <x:c r="G325" t="str">
        <x:f>IF(OR(Match_Data!K325="",Match_Data!L325=""),"",AVERAGE(Match_Data!K325:L325))</x:f>
      </x:c>
      <x:c r="H325" t="str">
        <x:f>IF(OR(Match_Data!M325="",Match_Data!N325=""),"",AVERAGE(Match_Data!M325:N325))</x:f>
      </x:c>
      <x:c r="I325" t="str">
        <x:f>IF(OR(Match_Data!O325="",Match_Data!Q325=""),"",Match_Data!O325+Match_Data!Q325)</x:f>
      </x:c>
      <x:c r="J325" t="str">
        <x:f>IF(OR(Match_Data!P325="",Match_Data!R325=""),"",Match_Data!P325+Match_Data!R325)</x:f>
      </x:c>
      <x:c r="K325" t="str">
        <x:f>IF(OR(Match_Data!S325="",Match_Data!T325=""),"",Match_Data!S325+Match_Data!T325)</x:f>
      </x:c>
      <x:c r="L325" t="str">
        <x:f>IF(OR(Match_Data!U325="",Match_Data!V325=""),"",Match_Data!U325-Match_Data!V325)</x:f>
      </x:c>
      <x:c r="M325" s="32" t="str">
        <x:f>IF(Match_Data!Y325="","",1/Match_Data!Y325)</x:f>
      </x:c>
      <x:c r="N325" s="32" t="str">
        <x:f>IF(Match_Data!AA325="","",1/Match_Data!AA325)</x:f>
      </x:c>
      <x:c r="O325" s="32" t="str">
        <x:f>IF(OR(M325="",N325=""),"",N325-M325)</x:f>
      </x:c>
      <x:c r="P325" t="str">
        <x:f>IF(Match_Data!J325="","",IF(Match_Data!J325="OVER",1,0))</x:f>
      </x:c>
    </x:row>
    <x:row r="326">
      <x:c r="A326" t="n">
        <x:f>Match_Data!A326</x:f>
        <x:v>0</x:v>
      </x:c>
      <x:c r="B326" s="28" t="n">
        <x:f>Match_Data!B326</x:f>
        <x:v>0</x:v>
      </x:c>
      <x:c r="C326" t="n">
        <x:f>Match_Data!C326</x:f>
        <x:v>0</x:v>
      </x:c>
      <x:c r="D326" t="n">
        <x:f>Match_Data!E326</x:f>
        <x:v>0</x:v>
      </x:c>
      <x:c r="E326" t="n">
        <x:f>Match_Data!F326</x:f>
        <x:v>0</x:v>
      </x:c>
      <x:c r="F326" t="n">
        <x:f>Match_Data!AC326</x:f>
        <x:v>0</x:v>
      </x:c>
      <x:c r="G326" t="str">
        <x:f>IF(OR(Match_Data!K326="",Match_Data!L326=""),"",AVERAGE(Match_Data!K326:L326))</x:f>
      </x:c>
      <x:c r="H326" t="str">
        <x:f>IF(OR(Match_Data!M326="",Match_Data!N326=""),"",AVERAGE(Match_Data!M326:N326))</x:f>
      </x:c>
      <x:c r="I326" t="str">
        <x:f>IF(OR(Match_Data!O326="",Match_Data!Q326=""),"",Match_Data!O326+Match_Data!Q326)</x:f>
      </x:c>
      <x:c r="J326" t="str">
        <x:f>IF(OR(Match_Data!P326="",Match_Data!R326=""),"",Match_Data!P326+Match_Data!R326)</x:f>
      </x:c>
      <x:c r="K326" t="str">
        <x:f>IF(OR(Match_Data!S326="",Match_Data!T326=""),"",Match_Data!S326+Match_Data!T326)</x:f>
      </x:c>
      <x:c r="L326" t="str">
        <x:f>IF(OR(Match_Data!U326="",Match_Data!V326=""),"",Match_Data!U326-Match_Data!V326)</x:f>
      </x:c>
      <x:c r="M326" s="32" t="str">
        <x:f>IF(Match_Data!Y326="","",1/Match_Data!Y326)</x:f>
      </x:c>
      <x:c r="N326" s="32" t="str">
        <x:f>IF(Match_Data!AA326="","",1/Match_Data!AA326)</x:f>
      </x:c>
      <x:c r="O326" s="32" t="str">
        <x:f>IF(OR(M326="",N326=""),"",N326-M326)</x:f>
      </x:c>
      <x:c r="P326" t="str">
        <x:f>IF(Match_Data!J326="","",IF(Match_Data!J326="OVER",1,0))</x:f>
      </x:c>
    </x:row>
    <x:row r="327">
      <x:c r="A327" t="n">
        <x:f>Match_Data!A327</x:f>
        <x:v>0</x:v>
      </x:c>
      <x:c r="B327" s="28" t="n">
        <x:f>Match_Data!B327</x:f>
        <x:v>0</x:v>
      </x:c>
      <x:c r="C327" t="n">
        <x:f>Match_Data!C327</x:f>
        <x:v>0</x:v>
      </x:c>
      <x:c r="D327" t="n">
        <x:f>Match_Data!E327</x:f>
        <x:v>0</x:v>
      </x:c>
      <x:c r="E327" t="n">
        <x:f>Match_Data!F327</x:f>
        <x:v>0</x:v>
      </x:c>
      <x:c r="F327" t="n">
        <x:f>Match_Data!AC327</x:f>
        <x:v>0</x:v>
      </x:c>
      <x:c r="G327" t="str">
        <x:f>IF(OR(Match_Data!K327="",Match_Data!L327=""),"",AVERAGE(Match_Data!K327:L327))</x:f>
      </x:c>
      <x:c r="H327" t="str">
        <x:f>IF(OR(Match_Data!M327="",Match_Data!N327=""),"",AVERAGE(Match_Data!M327:N327))</x:f>
      </x:c>
      <x:c r="I327" t="str">
        <x:f>IF(OR(Match_Data!O327="",Match_Data!Q327=""),"",Match_Data!O327+Match_Data!Q327)</x:f>
      </x:c>
      <x:c r="J327" t="str">
        <x:f>IF(OR(Match_Data!P327="",Match_Data!R327=""),"",Match_Data!P327+Match_Data!R327)</x:f>
      </x:c>
      <x:c r="K327" t="str">
        <x:f>IF(OR(Match_Data!S327="",Match_Data!T327=""),"",Match_Data!S327+Match_Data!T327)</x:f>
      </x:c>
      <x:c r="L327" t="str">
        <x:f>IF(OR(Match_Data!U327="",Match_Data!V327=""),"",Match_Data!U327-Match_Data!V327)</x:f>
      </x:c>
      <x:c r="M327" s="32" t="str">
        <x:f>IF(Match_Data!Y327="","",1/Match_Data!Y327)</x:f>
      </x:c>
      <x:c r="N327" s="32" t="str">
        <x:f>IF(Match_Data!AA327="","",1/Match_Data!AA327)</x:f>
      </x:c>
      <x:c r="O327" s="32" t="str">
        <x:f>IF(OR(M327="",N327=""),"",N327-M327)</x:f>
      </x:c>
      <x:c r="P327" t="str">
        <x:f>IF(Match_Data!J327="","",IF(Match_Data!J327="OVER",1,0))</x:f>
      </x:c>
    </x:row>
    <x:row r="328">
      <x:c r="A328" t="n">
        <x:f>Match_Data!A328</x:f>
        <x:v>0</x:v>
      </x:c>
      <x:c r="B328" s="28" t="n">
        <x:f>Match_Data!B328</x:f>
        <x:v>0</x:v>
      </x:c>
      <x:c r="C328" t="n">
        <x:f>Match_Data!C328</x:f>
        <x:v>0</x:v>
      </x:c>
      <x:c r="D328" t="n">
        <x:f>Match_Data!E328</x:f>
        <x:v>0</x:v>
      </x:c>
      <x:c r="E328" t="n">
        <x:f>Match_Data!F328</x:f>
        <x:v>0</x:v>
      </x:c>
      <x:c r="F328" t="n">
        <x:f>Match_Data!AC328</x:f>
        <x:v>0</x:v>
      </x:c>
      <x:c r="G328" t="str">
        <x:f>IF(OR(Match_Data!K328="",Match_Data!L328=""),"",AVERAGE(Match_Data!K328:L328))</x:f>
      </x:c>
      <x:c r="H328" t="str">
        <x:f>IF(OR(Match_Data!M328="",Match_Data!N328=""),"",AVERAGE(Match_Data!M328:N328))</x:f>
      </x:c>
      <x:c r="I328" t="str">
        <x:f>IF(OR(Match_Data!O328="",Match_Data!Q328=""),"",Match_Data!O328+Match_Data!Q328)</x:f>
      </x:c>
      <x:c r="J328" t="str">
        <x:f>IF(OR(Match_Data!P328="",Match_Data!R328=""),"",Match_Data!P328+Match_Data!R328)</x:f>
      </x:c>
      <x:c r="K328" t="str">
        <x:f>IF(OR(Match_Data!S328="",Match_Data!T328=""),"",Match_Data!S328+Match_Data!T328)</x:f>
      </x:c>
      <x:c r="L328" t="str">
        <x:f>IF(OR(Match_Data!U328="",Match_Data!V328=""),"",Match_Data!U328-Match_Data!V328)</x:f>
      </x:c>
      <x:c r="M328" s="32" t="str">
        <x:f>IF(Match_Data!Y328="","",1/Match_Data!Y328)</x:f>
      </x:c>
      <x:c r="N328" s="32" t="str">
        <x:f>IF(Match_Data!AA328="","",1/Match_Data!AA328)</x:f>
      </x:c>
      <x:c r="O328" s="32" t="str">
        <x:f>IF(OR(M328="",N328=""),"",N328-M328)</x:f>
      </x:c>
      <x:c r="P328" t="str">
        <x:f>IF(Match_Data!J328="","",IF(Match_Data!J328="OVER",1,0))</x:f>
      </x:c>
    </x:row>
    <x:row r="329">
      <x:c r="A329" t="n">
        <x:f>Match_Data!A329</x:f>
        <x:v>0</x:v>
      </x:c>
      <x:c r="B329" s="28" t="n">
        <x:f>Match_Data!B329</x:f>
        <x:v>0</x:v>
      </x:c>
      <x:c r="C329" t="n">
        <x:f>Match_Data!C329</x:f>
        <x:v>0</x:v>
      </x:c>
      <x:c r="D329" t="n">
        <x:f>Match_Data!E329</x:f>
        <x:v>0</x:v>
      </x:c>
      <x:c r="E329" t="n">
        <x:f>Match_Data!F329</x:f>
        <x:v>0</x:v>
      </x:c>
      <x:c r="F329" t="n">
        <x:f>Match_Data!AC329</x:f>
        <x:v>0</x:v>
      </x:c>
      <x:c r="G329" t="str">
        <x:f>IF(OR(Match_Data!K329="",Match_Data!L329=""),"",AVERAGE(Match_Data!K329:L329))</x:f>
      </x:c>
      <x:c r="H329" t="str">
        <x:f>IF(OR(Match_Data!M329="",Match_Data!N329=""),"",AVERAGE(Match_Data!M329:N329))</x:f>
      </x:c>
      <x:c r="I329" t="str">
        <x:f>IF(OR(Match_Data!O329="",Match_Data!Q329=""),"",Match_Data!O329+Match_Data!Q329)</x:f>
      </x:c>
      <x:c r="J329" t="str">
        <x:f>IF(OR(Match_Data!P329="",Match_Data!R329=""),"",Match_Data!P329+Match_Data!R329)</x:f>
      </x:c>
      <x:c r="K329" t="str">
        <x:f>IF(OR(Match_Data!S329="",Match_Data!T329=""),"",Match_Data!S329+Match_Data!T329)</x:f>
      </x:c>
      <x:c r="L329" t="str">
        <x:f>IF(OR(Match_Data!U329="",Match_Data!V329=""),"",Match_Data!U329-Match_Data!V329)</x:f>
      </x:c>
      <x:c r="M329" s="32" t="str">
        <x:f>IF(Match_Data!Y329="","",1/Match_Data!Y329)</x:f>
      </x:c>
      <x:c r="N329" s="32" t="str">
        <x:f>IF(Match_Data!AA329="","",1/Match_Data!AA329)</x:f>
      </x:c>
      <x:c r="O329" s="32" t="str">
        <x:f>IF(OR(M329="",N329=""),"",N329-M329)</x:f>
      </x:c>
      <x:c r="P329" t="str">
        <x:f>IF(Match_Data!J329="","",IF(Match_Data!J329="OVER",1,0))</x:f>
      </x:c>
    </x:row>
    <x:row r="330">
      <x:c r="A330" t="n">
        <x:f>Match_Data!A330</x:f>
        <x:v>0</x:v>
      </x:c>
      <x:c r="B330" s="28" t="n">
        <x:f>Match_Data!B330</x:f>
        <x:v>0</x:v>
      </x:c>
      <x:c r="C330" t="n">
        <x:f>Match_Data!C330</x:f>
        <x:v>0</x:v>
      </x:c>
      <x:c r="D330" t="n">
        <x:f>Match_Data!E330</x:f>
        <x:v>0</x:v>
      </x:c>
      <x:c r="E330" t="n">
        <x:f>Match_Data!F330</x:f>
        <x:v>0</x:v>
      </x:c>
      <x:c r="F330" t="n">
        <x:f>Match_Data!AC330</x:f>
        <x:v>0</x:v>
      </x:c>
      <x:c r="G330" t="str">
        <x:f>IF(OR(Match_Data!K330="",Match_Data!L330=""),"",AVERAGE(Match_Data!K330:L330))</x:f>
      </x:c>
      <x:c r="H330" t="str">
        <x:f>IF(OR(Match_Data!M330="",Match_Data!N330=""),"",AVERAGE(Match_Data!M330:N330))</x:f>
      </x:c>
      <x:c r="I330" t="str">
        <x:f>IF(OR(Match_Data!O330="",Match_Data!Q330=""),"",Match_Data!O330+Match_Data!Q330)</x:f>
      </x:c>
      <x:c r="J330" t="str">
        <x:f>IF(OR(Match_Data!P330="",Match_Data!R330=""),"",Match_Data!P330+Match_Data!R330)</x:f>
      </x:c>
      <x:c r="K330" t="str">
        <x:f>IF(OR(Match_Data!S330="",Match_Data!T330=""),"",Match_Data!S330+Match_Data!T330)</x:f>
      </x:c>
      <x:c r="L330" t="str">
        <x:f>IF(OR(Match_Data!U330="",Match_Data!V330=""),"",Match_Data!U330-Match_Data!V330)</x:f>
      </x:c>
      <x:c r="M330" s="32" t="str">
        <x:f>IF(Match_Data!Y330="","",1/Match_Data!Y330)</x:f>
      </x:c>
      <x:c r="N330" s="32" t="str">
        <x:f>IF(Match_Data!AA330="","",1/Match_Data!AA330)</x:f>
      </x:c>
      <x:c r="O330" s="32" t="str">
        <x:f>IF(OR(M330="",N330=""),"",N330-M330)</x:f>
      </x:c>
      <x:c r="P330" t="str">
        <x:f>IF(Match_Data!J330="","",IF(Match_Data!J330="OVER",1,0))</x:f>
      </x:c>
    </x:row>
    <x:row r="331">
      <x:c r="A331" t="n">
        <x:f>Match_Data!A331</x:f>
        <x:v>0</x:v>
      </x:c>
      <x:c r="B331" s="28" t="n">
        <x:f>Match_Data!B331</x:f>
        <x:v>0</x:v>
      </x:c>
      <x:c r="C331" t="n">
        <x:f>Match_Data!C331</x:f>
        <x:v>0</x:v>
      </x:c>
      <x:c r="D331" t="n">
        <x:f>Match_Data!E331</x:f>
        <x:v>0</x:v>
      </x:c>
      <x:c r="E331" t="n">
        <x:f>Match_Data!F331</x:f>
        <x:v>0</x:v>
      </x:c>
      <x:c r="F331" t="n">
        <x:f>Match_Data!AC331</x:f>
        <x:v>0</x:v>
      </x:c>
      <x:c r="G331" t="str">
        <x:f>IF(OR(Match_Data!K331="",Match_Data!L331=""),"",AVERAGE(Match_Data!K331:L331))</x:f>
      </x:c>
      <x:c r="H331" t="str">
        <x:f>IF(OR(Match_Data!M331="",Match_Data!N331=""),"",AVERAGE(Match_Data!M331:N331))</x:f>
      </x:c>
      <x:c r="I331" t="str">
        <x:f>IF(OR(Match_Data!O331="",Match_Data!Q331=""),"",Match_Data!O331+Match_Data!Q331)</x:f>
      </x:c>
      <x:c r="J331" t="str">
        <x:f>IF(OR(Match_Data!P331="",Match_Data!R331=""),"",Match_Data!P331+Match_Data!R331)</x:f>
      </x:c>
      <x:c r="K331" t="str">
        <x:f>IF(OR(Match_Data!S331="",Match_Data!T331=""),"",Match_Data!S331+Match_Data!T331)</x:f>
      </x:c>
      <x:c r="L331" t="str">
        <x:f>IF(OR(Match_Data!U331="",Match_Data!V331=""),"",Match_Data!U331-Match_Data!V331)</x:f>
      </x:c>
      <x:c r="M331" s="32" t="str">
        <x:f>IF(Match_Data!Y331="","",1/Match_Data!Y331)</x:f>
      </x:c>
      <x:c r="N331" s="32" t="str">
        <x:f>IF(Match_Data!AA331="","",1/Match_Data!AA331)</x:f>
      </x:c>
      <x:c r="O331" s="32" t="str">
        <x:f>IF(OR(M331="",N331=""),"",N331-M331)</x:f>
      </x:c>
      <x:c r="P331" t="str">
        <x:f>IF(Match_Data!J331="","",IF(Match_Data!J331="OVER",1,0))</x:f>
      </x:c>
    </x:row>
    <x:row r="332">
      <x:c r="A332" t="n">
        <x:f>Match_Data!A332</x:f>
        <x:v>0</x:v>
      </x:c>
      <x:c r="B332" s="28" t="n">
        <x:f>Match_Data!B332</x:f>
        <x:v>0</x:v>
      </x:c>
      <x:c r="C332" t="n">
        <x:f>Match_Data!C332</x:f>
        <x:v>0</x:v>
      </x:c>
      <x:c r="D332" t="n">
        <x:f>Match_Data!E332</x:f>
        <x:v>0</x:v>
      </x:c>
      <x:c r="E332" t="n">
        <x:f>Match_Data!F332</x:f>
        <x:v>0</x:v>
      </x:c>
      <x:c r="F332" t="n">
        <x:f>Match_Data!AC332</x:f>
        <x:v>0</x:v>
      </x:c>
      <x:c r="G332" t="str">
        <x:f>IF(OR(Match_Data!K332="",Match_Data!L332=""),"",AVERAGE(Match_Data!K332:L332))</x:f>
      </x:c>
      <x:c r="H332" t="str">
        <x:f>IF(OR(Match_Data!M332="",Match_Data!N332=""),"",AVERAGE(Match_Data!M332:N332))</x:f>
      </x:c>
      <x:c r="I332" t="str">
        <x:f>IF(OR(Match_Data!O332="",Match_Data!Q332=""),"",Match_Data!O332+Match_Data!Q332)</x:f>
      </x:c>
      <x:c r="J332" t="str">
        <x:f>IF(OR(Match_Data!P332="",Match_Data!R332=""),"",Match_Data!P332+Match_Data!R332)</x:f>
      </x:c>
      <x:c r="K332" t="str">
        <x:f>IF(OR(Match_Data!S332="",Match_Data!T332=""),"",Match_Data!S332+Match_Data!T332)</x:f>
      </x:c>
      <x:c r="L332" t="str">
        <x:f>IF(OR(Match_Data!U332="",Match_Data!V332=""),"",Match_Data!U332-Match_Data!V332)</x:f>
      </x:c>
      <x:c r="M332" s="32" t="str">
        <x:f>IF(Match_Data!Y332="","",1/Match_Data!Y332)</x:f>
      </x:c>
      <x:c r="N332" s="32" t="str">
        <x:f>IF(Match_Data!AA332="","",1/Match_Data!AA332)</x:f>
      </x:c>
      <x:c r="O332" s="32" t="str">
        <x:f>IF(OR(M332="",N332=""),"",N332-M332)</x:f>
      </x:c>
      <x:c r="P332" t="str">
        <x:f>IF(Match_Data!J332="","",IF(Match_Data!J332="OVER",1,0))</x:f>
      </x:c>
    </x:row>
    <x:row r="333">
      <x:c r="A333" t="n">
        <x:f>Match_Data!A333</x:f>
        <x:v>0</x:v>
      </x:c>
      <x:c r="B333" s="28" t="n">
        <x:f>Match_Data!B333</x:f>
        <x:v>0</x:v>
      </x:c>
      <x:c r="C333" t="n">
        <x:f>Match_Data!C333</x:f>
        <x:v>0</x:v>
      </x:c>
      <x:c r="D333" t="n">
        <x:f>Match_Data!E333</x:f>
        <x:v>0</x:v>
      </x:c>
      <x:c r="E333" t="n">
        <x:f>Match_Data!F333</x:f>
        <x:v>0</x:v>
      </x:c>
      <x:c r="F333" t="n">
        <x:f>Match_Data!AC333</x:f>
        <x:v>0</x:v>
      </x:c>
      <x:c r="G333" t="str">
        <x:f>IF(OR(Match_Data!K333="",Match_Data!L333=""),"",AVERAGE(Match_Data!K333:L333))</x:f>
      </x:c>
      <x:c r="H333" t="str">
        <x:f>IF(OR(Match_Data!M333="",Match_Data!N333=""),"",AVERAGE(Match_Data!M333:N333))</x:f>
      </x:c>
      <x:c r="I333" t="str">
        <x:f>IF(OR(Match_Data!O333="",Match_Data!Q333=""),"",Match_Data!O333+Match_Data!Q333)</x:f>
      </x:c>
      <x:c r="J333" t="str">
        <x:f>IF(OR(Match_Data!P333="",Match_Data!R333=""),"",Match_Data!P333+Match_Data!R333)</x:f>
      </x:c>
      <x:c r="K333" t="str">
        <x:f>IF(OR(Match_Data!S333="",Match_Data!T333=""),"",Match_Data!S333+Match_Data!T333)</x:f>
      </x:c>
      <x:c r="L333" t="str">
        <x:f>IF(OR(Match_Data!U333="",Match_Data!V333=""),"",Match_Data!U333-Match_Data!V333)</x:f>
      </x:c>
      <x:c r="M333" s="32" t="str">
        <x:f>IF(Match_Data!Y333="","",1/Match_Data!Y333)</x:f>
      </x:c>
      <x:c r="N333" s="32" t="str">
        <x:f>IF(Match_Data!AA333="","",1/Match_Data!AA333)</x:f>
      </x:c>
      <x:c r="O333" s="32" t="str">
        <x:f>IF(OR(M333="",N333=""),"",N333-M333)</x:f>
      </x:c>
      <x:c r="P333" t="str">
        <x:f>IF(Match_Data!J333="","",IF(Match_Data!J333="OVER",1,0))</x:f>
      </x:c>
    </x:row>
    <x:row r="334">
      <x:c r="A334" t="n">
        <x:f>Match_Data!A334</x:f>
        <x:v>0</x:v>
      </x:c>
      <x:c r="B334" s="28" t="n">
        <x:f>Match_Data!B334</x:f>
        <x:v>0</x:v>
      </x:c>
      <x:c r="C334" t="n">
        <x:f>Match_Data!C334</x:f>
        <x:v>0</x:v>
      </x:c>
      <x:c r="D334" t="n">
        <x:f>Match_Data!E334</x:f>
        <x:v>0</x:v>
      </x:c>
      <x:c r="E334" t="n">
        <x:f>Match_Data!F334</x:f>
        <x:v>0</x:v>
      </x:c>
      <x:c r="F334" t="n">
        <x:f>Match_Data!AC334</x:f>
        <x:v>0</x:v>
      </x:c>
      <x:c r="G334" t="str">
        <x:f>IF(OR(Match_Data!K334="",Match_Data!L334=""),"",AVERAGE(Match_Data!K334:L334))</x:f>
      </x:c>
      <x:c r="H334" t="str">
        <x:f>IF(OR(Match_Data!M334="",Match_Data!N334=""),"",AVERAGE(Match_Data!M334:N334))</x:f>
      </x:c>
      <x:c r="I334" t="str">
        <x:f>IF(OR(Match_Data!O334="",Match_Data!Q334=""),"",Match_Data!O334+Match_Data!Q334)</x:f>
      </x:c>
      <x:c r="J334" t="str">
        <x:f>IF(OR(Match_Data!P334="",Match_Data!R334=""),"",Match_Data!P334+Match_Data!R334)</x:f>
      </x:c>
      <x:c r="K334" t="str">
        <x:f>IF(OR(Match_Data!S334="",Match_Data!T334=""),"",Match_Data!S334+Match_Data!T334)</x:f>
      </x:c>
      <x:c r="L334" t="str">
        <x:f>IF(OR(Match_Data!U334="",Match_Data!V334=""),"",Match_Data!U334-Match_Data!V334)</x:f>
      </x:c>
      <x:c r="M334" s="32" t="str">
        <x:f>IF(Match_Data!Y334="","",1/Match_Data!Y334)</x:f>
      </x:c>
      <x:c r="N334" s="32" t="str">
        <x:f>IF(Match_Data!AA334="","",1/Match_Data!AA334)</x:f>
      </x:c>
      <x:c r="O334" s="32" t="str">
        <x:f>IF(OR(M334="",N334=""),"",N334-M334)</x:f>
      </x:c>
      <x:c r="P334" t="str">
        <x:f>IF(Match_Data!J334="","",IF(Match_Data!J334="OVER",1,0))</x:f>
      </x:c>
    </x:row>
    <x:row r="335">
      <x:c r="A335" t="n">
        <x:f>Match_Data!A335</x:f>
        <x:v>0</x:v>
      </x:c>
      <x:c r="B335" s="28" t="n">
        <x:f>Match_Data!B335</x:f>
        <x:v>0</x:v>
      </x:c>
      <x:c r="C335" t="n">
        <x:f>Match_Data!C335</x:f>
        <x:v>0</x:v>
      </x:c>
      <x:c r="D335" t="n">
        <x:f>Match_Data!E335</x:f>
        <x:v>0</x:v>
      </x:c>
      <x:c r="E335" t="n">
        <x:f>Match_Data!F335</x:f>
        <x:v>0</x:v>
      </x:c>
      <x:c r="F335" t="n">
        <x:f>Match_Data!AC335</x:f>
        <x:v>0</x:v>
      </x:c>
      <x:c r="G335" t="str">
        <x:f>IF(OR(Match_Data!K335="",Match_Data!L335=""),"",AVERAGE(Match_Data!K335:L335))</x:f>
      </x:c>
      <x:c r="H335" t="str">
        <x:f>IF(OR(Match_Data!M335="",Match_Data!N335=""),"",AVERAGE(Match_Data!M335:N335))</x:f>
      </x:c>
      <x:c r="I335" t="str">
        <x:f>IF(OR(Match_Data!O335="",Match_Data!Q335=""),"",Match_Data!O335+Match_Data!Q335)</x:f>
      </x:c>
      <x:c r="J335" t="str">
        <x:f>IF(OR(Match_Data!P335="",Match_Data!R335=""),"",Match_Data!P335+Match_Data!R335)</x:f>
      </x:c>
      <x:c r="K335" t="str">
        <x:f>IF(OR(Match_Data!S335="",Match_Data!T335=""),"",Match_Data!S335+Match_Data!T335)</x:f>
      </x:c>
      <x:c r="L335" t="str">
        <x:f>IF(OR(Match_Data!U335="",Match_Data!V335=""),"",Match_Data!U335-Match_Data!V335)</x:f>
      </x:c>
      <x:c r="M335" s="32" t="str">
        <x:f>IF(Match_Data!Y335="","",1/Match_Data!Y335)</x:f>
      </x:c>
      <x:c r="N335" s="32" t="str">
        <x:f>IF(Match_Data!AA335="","",1/Match_Data!AA335)</x:f>
      </x:c>
      <x:c r="O335" s="32" t="str">
        <x:f>IF(OR(M335="",N335=""),"",N335-M335)</x:f>
      </x:c>
      <x:c r="P335" t="str">
        <x:f>IF(Match_Data!J335="","",IF(Match_Data!J335="OVER",1,0))</x:f>
      </x:c>
    </x:row>
    <x:row r="336">
      <x:c r="A336" t="n">
        <x:f>Match_Data!A336</x:f>
        <x:v>0</x:v>
      </x:c>
      <x:c r="B336" s="28" t="n">
        <x:f>Match_Data!B336</x:f>
        <x:v>0</x:v>
      </x:c>
      <x:c r="C336" t="n">
        <x:f>Match_Data!C336</x:f>
        <x:v>0</x:v>
      </x:c>
      <x:c r="D336" t="n">
        <x:f>Match_Data!E336</x:f>
        <x:v>0</x:v>
      </x:c>
      <x:c r="E336" t="n">
        <x:f>Match_Data!F336</x:f>
        <x:v>0</x:v>
      </x:c>
      <x:c r="F336" t="n">
        <x:f>Match_Data!AC336</x:f>
        <x:v>0</x:v>
      </x:c>
      <x:c r="G336" t="str">
        <x:f>IF(OR(Match_Data!K336="",Match_Data!L336=""),"",AVERAGE(Match_Data!K336:L336))</x:f>
      </x:c>
      <x:c r="H336" t="str">
        <x:f>IF(OR(Match_Data!M336="",Match_Data!N336=""),"",AVERAGE(Match_Data!M336:N336))</x:f>
      </x:c>
      <x:c r="I336" t="str">
        <x:f>IF(OR(Match_Data!O336="",Match_Data!Q336=""),"",Match_Data!O336+Match_Data!Q336)</x:f>
      </x:c>
      <x:c r="J336" t="str">
        <x:f>IF(OR(Match_Data!P336="",Match_Data!R336=""),"",Match_Data!P336+Match_Data!R336)</x:f>
      </x:c>
      <x:c r="K336" t="str">
        <x:f>IF(OR(Match_Data!S336="",Match_Data!T336=""),"",Match_Data!S336+Match_Data!T336)</x:f>
      </x:c>
      <x:c r="L336" t="str">
        <x:f>IF(OR(Match_Data!U336="",Match_Data!V336=""),"",Match_Data!U336-Match_Data!V336)</x:f>
      </x:c>
      <x:c r="M336" s="32" t="str">
        <x:f>IF(Match_Data!Y336="","",1/Match_Data!Y336)</x:f>
      </x:c>
      <x:c r="N336" s="32" t="str">
        <x:f>IF(Match_Data!AA336="","",1/Match_Data!AA336)</x:f>
      </x:c>
      <x:c r="O336" s="32" t="str">
        <x:f>IF(OR(M336="",N336=""),"",N336-M336)</x:f>
      </x:c>
      <x:c r="P336" t="str">
        <x:f>IF(Match_Data!J336="","",IF(Match_Data!J336="OVER",1,0))</x:f>
      </x:c>
    </x:row>
    <x:row r="337">
      <x:c r="A337" t="n">
        <x:f>Match_Data!A337</x:f>
        <x:v>0</x:v>
      </x:c>
      <x:c r="B337" s="28" t="n">
        <x:f>Match_Data!B337</x:f>
        <x:v>0</x:v>
      </x:c>
      <x:c r="C337" t="n">
        <x:f>Match_Data!C337</x:f>
        <x:v>0</x:v>
      </x:c>
      <x:c r="D337" t="n">
        <x:f>Match_Data!E337</x:f>
        <x:v>0</x:v>
      </x:c>
      <x:c r="E337" t="n">
        <x:f>Match_Data!F337</x:f>
        <x:v>0</x:v>
      </x:c>
      <x:c r="F337" t="n">
        <x:f>Match_Data!AC337</x:f>
        <x:v>0</x:v>
      </x:c>
      <x:c r="G337" t="str">
        <x:f>IF(OR(Match_Data!K337="",Match_Data!L337=""),"",AVERAGE(Match_Data!K337:L337))</x:f>
      </x:c>
      <x:c r="H337" t="str">
        <x:f>IF(OR(Match_Data!M337="",Match_Data!N337=""),"",AVERAGE(Match_Data!M337:N337))</x:f>
      </x:c>
      <x:c r="I337" t="str">
        <x:f>IF(OR(Match_Data!O337="",Match_Data!Q337=""),"",Match_Data!O337+Match_Data!Q337)</x:f>
      </x:c>
      <x:c r="J337" t="str">
        <x:f>IF(OR(Match_Data!P337="",Match_Data!R337=""),"",Match_Data!P337+Match_Data!R337)</x:f>
      </x:c>
      <x:c r="K337" t="str">
        <x:f>IF(OR(Match_Data!S337="",Match_Data!T337=""),"",Match_Data!S337+Match_Data!T337)</x:f>
      </x:c>
      <x:c r="L337" t="str">
        <x:f>IF(OR(Match_Data!U337="",Match_Data!V337=""),"",Match_Data!U337-Match_Data!V337)</x:f>
      </x:c>
      <x:c r="M337" s="32" t="str">
        <x:f>IF(Match_Data!Y337="","",1/Match_Data!Y337)</x:f>
      </x:c>
      <x:c r="N337" s="32" t="str">
        <x:f>IF(Match_Data!AA337="","",1/Match_Data!AA337)</x:f>
      </x:c>
      <x:c r="O337" s="32" t="str">
        <x:f>IF(OR(M337="",N337=""),"",N337-M337)</x:f>
      </x:c>
      <x:c r="P337" t="str">
        <x:f>IF(Match_Data!J337="","",IF(Match_Data!J337="OVER",1,0))</x:f>
      </x:c>
    </x:row>
    <x:row r="338">
      <x:c r="A338" t="n">
        <x:f>Match_Data!A338</x:f>
        <x:v>0</x:v>
      </x:c>
      <x:c r="B338" s="28" t="n">
        <x:f>Match_Data!B338</x:f>
        <x:v>0</x:v>
      </x:c>
      <x:c r="C338" t="n">
        <x:f>Match_Data!C338</x:f>
        <x:v>0</x:v>
      </x:c>
      <x:c r="D338" t="n">
        <x:f>Match_Data!E338</x:f>
        <x:v>0</x:v>
      </x:c>
      <x:c r="E338" t="n">
        <x:f>Match_Data!F338</x:f>
        <x:v>0</x:v>
      </x:c>
      <x:c r="F338" t="n">
        <x:f>Match_Data!AC338</x:f>
        <x:v>0</x:v>
      </x:c>
      <x:c r="G338" t="str">
        <x:f>IF(OR(Match_Data!K338="",Match_Data!L338=""),"",AVERAGE(Match_Data!K338:L338))</x:f>
      </x:c>
      <x:c r="H338" t="str">
        <x:f>IF(OR(Match_Data!M338="",Match_Data!N338=""),"",AVERAGE(Match_Data!M338:N338))</x:f>
      </x:c>
      <x:c r="I338" t="str">
        <x:f>IF(OR(Match_Data!O338="",Match_Data!Q338=""),"",Match_Data!O338+Match_Data!Q338)</x:f>
      </x:c>
      <x:c r="J338" t="str">
        <x:f>IF(OR(Match_Data!P338="",Match_Data!R338=""),"",Match_Data!P338+Match_Data!R338)</x:f>
      </x:c>
      <x:c r="K338" t="str">
        <x:f>IF(OR(Match_Data!S338="",Match_Data!T338=""),"",Match_Data!S338+Match_Data!T338)</x:f>
      </x:c>
      <x:c r="L338" t="str">
        <x:f>IF(OR(Match_Data!U338="",Match_Data!V338=""),"",Match_Data!U338-Match_Data!V338)</x:f>
      </x:c>
      <x:c r="M338" s="32" t="str">
        <x:f>IF(Match_Data!Y338="","",1/Match_Data!Y338)</x:f>
      </x:c>
      <x:c r="N338" s="32" t="str">
        <x:f>IF(Match_Data!AA338="","",1/Match_Data!AA338)</x:f>
      </x:c>
      <x:c r="O338" s="32" t="str">
        <x:f>IF(OR(M338="",N338=""),"",N338-M338)</x:f>
      </x:c>
      <x:c r="P338" t="str">
        <x:f>IF(Match_Data!J338="","",IF(Match_Data!J338="OVER",1,0))</x:f>
      </x:c>
    </x:row>
    <x:row r="339">
      <x:c r="A339" t="n">
        <x:f>Match_Data!A339</x:f>
        <x:v>0</x:v>
      </x:c>
      <x:c r="B339" s="28" t="n">
        <x:f>Match_Data!B339</x:f>
        <x:v>0</x:v>
      </x:c>
      <x:c r="C339" t="n">
        <x:f>Match_Data!C339</x:f>
        <x:v>0</x:v>
      </x:c>
      <x:c r="D339" t="n">
        <x:f>Match_Data!E339</x:f>
        <x:v>0</x:v>
      </x:c>
      <x:c r="E339" t="n">
        <x:f>Match_Data!F339</x:f>
        <x:v>0</x:v>
      </x:c>
      <x:c r="F339" t="n">
        <x:f>Match_Data!AC339</x:f>
        <x:v>0</x:v>
      </x:c>
      <x:c r="G339" t="str">
        <x:f>IF(OR(Match_Data!K339="",Match_Data!L339=""),"",AVERAGE(Match_Data!K339:L339))</x:f>
      </x:c>
      <x:c r="H339" t="str">
        <x:f>IF(OR(Match_Data!M339="",Match_Data!N339=""),"",AVERAGE(Match_Data!M339:N339))</x:f>
      </x:c>
      <x:c r="I339" t="str">
        <x:f>IF(OR(Match_Data!O339="",Match_Data!Q339=""),"",Match_Data!O339+Match_Data!Q339)</x:f>
      </x:c>
      <x:c r="J339" t="str">
        <x:f>IF(OR(Match_Data!P339="",Match_Data!R339=""),"",Match_Data!P339+Match_Data!R339)</x:f>
      </x:c>
      <x:c r="K339" t="str">
        <x:f>IF(OR(Match_Data!S339="",Match_Data!T339=""),"",Match_Data!S339+Match_Data!T339)</x:f>
      </x:c>
      <x:c r="L339" t="str">
        <x:f>IF(OR(Match_Data!U339="",Match_Data!V339=""),"",Match_Data!U339-Match_Data!V339)</x:f>
      </x:c>
      <x:c r="M339" s="32" t="str">
        <x:f>IF(Match_Data!Y339="","",1/Match_Data!Y339)</x:f>
      </x:c>
      <x:c r="N339" s="32" t="str">
        <x:f>IF(Match_Data!AA339="","",1/Match_Data!AA339)</x:f>
      </x:c>
      <x:c r="O339" s="32" t="str">
        <x:f>IF(OR(M339="",N339=""),"",N339-M339)</x:f>
      </x:c>
      <x:c r="P339" t="str">
        <x:f>IF(Match_Data!J339="","",IF(Match_Data!J339="OVER",1,0))</x:f>
      </x:c>
    </x:row>
    <x:row r="340">
      <x:c r="A340" t="n">
        <x:f>Match_Data!A340</x:f>
        <x:v>0</x:v>
      </x:c>
      <x:c r="B340" s="28" t="n">
        <x:f>Match_Data!B340</x:f>
        <x:v>0</x:v>
      </x:c>
      <x:c r="C340" t="n">
        <x:f>Match_Data!C340</x:f>
        <x:v>0</x:v>
      </x:c>
      <x:c r="D340" t="n">
        <x:f>Match_Data!E340</x:f>
        <x:v>0</x:v>
      </x:c>
      <x:c r="E340" t="n">
        <x:f>Match_Data!F340</x:f>
        <x:v>0</x:v>
      </x:c>
      <x:c r="F340" t="n">
        <x:f>Match_Data!AC340</x:f>
        <x:v>0</x:v>
      </x:c>
      <x:c r="G340" t="str">
        <x:f>IF(OR(Match_Data!K340="",Match_Data!L340=""),"",AVERAGE(Match_Data!K340:L340))</x:f>
      </x:c>
      <x:c r="H340" t="str">
        <x:f>IF(OR(Match_Data!M340="",Match_Data!N340=""),"",AVERAGE(Match_Data!M340:N340))</x:f>
      </x:c>
      <x:c r="I340" t="str">
        <x:f>IF(OR(Match_Data!O340="",Match_Data!Q340=""),"",Match_Data!O340+Match_Data!Q340)</x:f>
      </x:c>
      <x:c r="J340" t="str">
        <x:f>IF(OR(Match_Data!P340="",Match_Data!R340=""),"",Match_Data!P340+Match_Data!R340)</x:f>
      </x:c>
      <x:c r="K340" t="str">
        <x:f>IF(OR(Match_Data!S340="",Match_Data!T340=""),"",Match_Data!S340+Match_Data!T340)</x:f>
      </x:c>
      <x:c r="L340" t="str">
        <x:f>IF(OR(Match_Data!U340="",Match_Data!V340=""),"",Match_Data!U340-Match_Data!V340)</x:f>
      </x:c>
      <x:c r="M340" s="32" t="str">
        <x:f>IF(Match_Data!Y340="","",1/Match_Data!Y340)</x:f>
      </x:c>
      <x:c r="N340" s="32" t="str">
        <x:f>IF(Match_Data!AA340="","",1/Match_Data!AA340)</x:f>
      </x:c>
      <x:c r="O340" s="32" t="str">
        <x:f>IF(OR(M340="",N340=""),"",N340-M340)</x:f>
      </x:c>
      <x:c r="P340" t="str">
        <x:f>IF(Match_Data!J340="","",IF(Match_Data!J340="OVER",1,0))</x:f>
      </x:c>
    </x:row>
    <x:row r="341">
      <x:c r="A341" t="n">
        <x:f>Match_Data!A341</x:f>
        <x:v>0</x:v>
      </x:c>
      <x:c r="B341" s="28" t="n">
        <x:f>Match_Data!B341</x:f>
        <x:v>0</x:v>
      </x:c>
      <x:c r="C341" t="n">
        <x:f>Match_Data!C341</x:f>
        <x:v>0</x:v>
      </x:c>
      <x:c r="D341" t="n">
        <x:f>Match_Data!E341</x:f>
        <x:v>0</x:v>
      </x:c>
      <x:c r="E341" t="n">
        <x:f>Match_Data!F341</x:f>
        <x:v>0</x:v>
      </x:c>
      <x:c r="F341" t="n">
        <x:f>Match_Data!AC341</x:f>
        <x:v>0</x:v>
      </x:c>
      <x:c r="G341" t="str">
        <x:f>IF(OR(Match_Data!K341="",Match_Data!L341=""),"",AVERAGE(Match_Data!K341:L341))</x:f>
      </x:c>
      <x:c r="H341" t="str">
        <x:f>IF(OR(Match_Data!M341="",Match_Data!N341=""),"",AVERAGE(Match_Data!M341:N341))</x:f>
      </x:c>
      <x:c r="I341" t="str">
        <x:f>IF(OR(Match_Data!O341="",Match_Data!Q341=""),"",Match_Data!O341+Match_Data!Q341)</x:f>
      </x:c>
      <x:c r="J341" t="str">
        <x:f>IF(OR(Match_Data!P341="",Match_Data!R341=""),"",Match_Data!P341+Match_Data!R341)</x:f>
      </x:c>
      <x:c r="K341" t="str">
        <x:f>IF(OR(Match_Data!S341="",Match_Data!T341=""),"",Match_Data!S341+Match_Data!T341)</x:f>
      </x:c>
      <x:c r="L341" t="str">
        <x:f>IF(OR(Match_Data!U341="",Match_Data!V341=""),"",Match_Data!U341-Match_Data!V341)</x:f>
      </x:c>
      <x:c r="M341" s="32" t="str">
        <x:f>IF(Match_Data!Y341="","",1/Match_Data!Y341)</x:f>
      </x:c>
      <x:c r="N341" s="32" t="str">
        <x:f>IF(Match_Data!AA341="","",1/Match_Data!AA341)</x:f>
      </x:c>
      <x:c r="O341" s="32" t="str">
        <x:f>IF(OR(M341="",N341=""),"",N341-M341)</x:f>
      </x:c>
      <x:c r="P341" t="str">
        <x:f>IF(Match_Data!J341="","",IF(Match_Data!J341="OVER",1,0))</x:f>
      </x:c>
    </x:row>
    <x:row r="342">
      <x:c r="A342" t="n">
        <x:f>Match_Data!A342</x:f>
        <x:v>0</x:v>
      </x:c>
      <x:c r="B342" s="28" t="n">
        <x:f>Match_Data!B342</x:f>
        <x:v>0</x:v>
      </x:c>
      <x:c r="C342" t="n">
        <x:f>Match_Data!C342</x:f>
        <x:v>0</x:v>
      </x:c>
      <x:c r="D342" t="n">
        <x:f>Match_Data!E342</x:f>
        <x:v>0</x:v>
      </x:c>
      <x:c r="E342" t="n">
        <x:f>Match_Data!F342</x:f>
        <x:v>0</x:v>
      </x:c>
      <x:c r="F342" t="n">
        <x:f>Match_Data!AC342</x:f>
        <x:v>0</x:v>
      </x:c>
      <x:c r="G342" t="str">
        <x:f>IF(OR(Match_Data!K342="",Match_Data!L342=""),"",AVERAGE(Match_Data!K342:L342))</x:f>
      </x:c>
      <x:c r="H342" t="str">
        <x:f>IF(OR(Match_Data!M342="",Match_Data!N342=""),"",AVERAGE(Match_Data!M342:N342))</x:f>
      </x:c>
      <x:c r="I342" t="str">
        <x:f>IF(OR(Match_Data!O342="",Match_Data!Q342=""),"",Match_Data!O342+Match_Data!Q342)</x:f>
      </x:c>
      <x:c r="J342" t="str">
        <x:f>IF(OR(Match_Data!P342="",Match_Data!R342=""),"",Match_Data!P342+Match_Data!R342)</x:f>
      </x:c>
      <x:c r="K342" t="str">
        <x:f>IF(OR(Match_Data!S342="",Match_Data!T342=""),"",Match_Data!S342+Match_Data!T342)</x:f>
      </x:c>
      <x:c r="L342" t="str">
        <x:f>IF(OR(Match_Data!U342="",Match_Data!V342=""),"",Match_Data!U342-Match_Data!V342)</x:f>
      </x:c>
      <x:c r="M342" s="32" t="str">
        <x:f>IF(Match_Data!Y342="","",1/Match_Data!Y342)</x:f>
      </x:c>
      <x:c r="N342" s="32" t="str">
        <x:f>IF(Match_Data!AA342="","",1/Match_Data!AA342)</x:f>
      </x:c>
      <x:c r="O342" s="32" t="str">
        <x:f>IF(OR(M342="",N342=""),"",N342-M342)</x:f>
      </x:c>
      <x:c r="P342" t="str">
        <x:f>IF(Match_Data!J342="","",IF(Match_Data!J342="OVER",1,0))</x:f>
      </x:c>
    </x:row>
    <x:row r="343">
      <x:c r="A343" t="n">
        <x:f>Match_Data!A343</x:f>
        <x:v>0</x:v>
      </x:c>
      <x:c r="B343" s="28" t="n">
        <x:f>Match_Data!B343</x:f>
        <x:v>0</x:v>
      </x:c>
      <x:c r="C343" t="n">
        <x:f>Match_Data!C343</x:f>
        <x:v>0</x:v>
      </x:c>
      <x:c r="D343" t="n">
        <x:f>Match_Data!E343</x:f>
        <x:v>0</x:v>
      </x:c>
      <x:c r="E343" t="n">
        <x:f>Match_Data!F343</x:f>
        <x:v>0</x:v>
      </x:c>
      <x:c r="F343" t="n">
        <x:f>Match_Data!AC343</x:f>
        <x:v>0</x:v>
      </x:c>
      <x:c r="G343" t="str">
        <x:f>IF(OR(Match_Data!K343="",Match_Data!L343=""),"",AVERAGE(Match_Data!K343:L343))</x:f>
      </x:c>
      <x:c r="H343" t="str">
        <x:f>IF(OR(Match_Data!M343="",Match_Data!N343=""),"",AVERAGE(Match_Data!M343:N343))</x:f>
      </x:c>
      <x:c r="I343" t="str">
        <x:f>IF(OR(Match_Data!O343="",Match_Data!Q343=""),"",Match_Data!O343+Match_Data!Q343)</x:f>
      </x:c>
      <x:c r="J343" t="str">
        <x:f>IF(OR(Match_Data!P343="",Match_Data!R343=""),"",Match_Data!P343+Match_Data!R343)</x:f>
      </x:c>
      <x:c r="K343" t="str">
        <x:f>IF(OR(Match_Data!S343="",Match_Data!T343=""),"",Match_Data!S343+Match_Data!T343)</x:f>
      </x:c>
      <x:c r="L343" t="str">
        <x:f>IF(OR(Match_Data!U343="",Match_Data!V343=""),"",Match_Data!U343-Match_Data!V343)</x:f>
      </x:c>
      <x:c r="M343" s="32" t="str">
        <x:f>IF(Match_Data!Y343="","",1/Match_Data!Y343)</x:f>
      </x:c>
      <x:c r="N343" s="32" t="str">
        <x:f>IF(Match_Data!AA343="","",1/Match_Data!AA343)</x:f>
      </x:c>
      <x:c r="O343" s="32" t="str">
        <x:f>IF(OR(M343="",N343=""),"",N343-M343)</x:f>
      </x:c>
      <x:c r="P343" t="str">
        <x:f>IF(Match_Data!J343="","",IF(Match_Data!J343="OVER",1,0))</x:f>
      </x:c>
    </x:row>
    <x:row r="344">
      <x:c r="A344" t="n">
        <x:f>Match_Data!A344</x:f>
        <x:v>0</x:v>
      </x:c>
      <x:c r="B344" s="28" t="n">
        <x:f>Match_Data!B344</x:f>
        <x:v>0</x:v>
      </x:c>
      <x:c r="C344" t="n">
        <x:f>Match_Data!C344</x:f>
        <x:v>0</x:v>
      </x:c>
      <x:c r="D344" t="n">
        <x:f>Match_Data!E344</x:f>
        <x:v>0</x:v>
      </x:c>
      <x:c r="E344" t="n">
        <x:f>Match_Data!F344</x:f>
        <x:v>0</x:v>
      </x:c>
      <x:c r="F344" t="n">
        <x:f>Match_Data!AC344</x:f>
        <x:v>0</x:v>
      </x:c>
      <x:c r="G344" t="str">
        <x:f>IF(OR(Match_Data!K344="",Match_Data!L344=""),"",AVERAGE(Match_Data!K344:L344))</x:f>
      </x:c>
      <x:c r="H344" t="str">
        <x:f>IF(OR(Match_Data!M344="",Match_Data!N344=""),"",AVERAGE(Match_Data!M344:N344))</x:f>
      </x:c>
      <x:c r="I344" t="str">
        <x:f>IF(OR(Match_Data!O344="",Match_Data!Q344=""),"",Match_Data!O344+Match_Data!Q344)</x:f>
      </x:c>
      <x:c r="J344" t="str">
        <x:f>IF(OR(Match_Data!P344="",Match_Data!R344=""),"",Match_Data!P344+Match_Data!R344)</x:f>
      </x:c>
      <x:c r="K344" t="str">
        <x:f>IF(OR(Match_Data!S344="",Match_Data!T344=""),"",Match_Data!S344+Match_Data!T344)</x:f>
      </x:c>
      <x:c r="L344" t="str">
        <x:f>IF(OR(Match_Data!U344="",Match_Data!V344=""),"",Match_Data!U344-Match_Data!V344)</x:f>
      </x:c>
      <x:c r="M344" s="32" t="str">
        <x:f>IF(Match_Data!Y344="","",1/Match_Data!Y344)</x:f>
      </x:c>
      <x:c r="N344" s="32" t="str">
        <x:f>IF(Match_Data!AA344="","",1/Match_Data!AA344)</x:f>
      </x:c>
      <x:c r="O344" s="32" t="str">
        <x:f>IF(OR(M344="",N344=""),"",N344-M344)</x:f>
      </x:c>
      <x:c r="P344" t="str">
        <x:f>IF(Match_Data!J344="","",IF(Match_Data!J344="OVER",1,0))</x:f>
      </x:c>
    </x:row>
    <x:row r="345">
      <x:c r="A345" t="n">
        <x:f>Match_Data!A345</x:f>
        <x:v>0</x:v>
      </x:c>
      <x:c r="B345" s="28" t="n">
        <x:f>Match_Data!B345</x:f>
        <x:v>0</x:v>
      </x:c>
      <x:c r="C345" t="n">
        <x:f>Match_Data!C345</x:f>
        <x:v>0</x:v>
      </x:c>
      <x:c r="D345" t="n">
        <x:f>Match_Data!E345</x:f>
        <x:v>0</x:v>
      </x:c>
      <x:c r="E345" t="n">
        <x:f>Match_Data!F345</x:f>
        <x:v>0</x:v>
      </x:c>
      <x:c r="F345" t="n">
        <x:f>Match_Data!AC345</x:f>
        <x:v>0</x:v>
      </x:c>
      <x:c r="G345" t="str">
        <x:f>IF(OR(Match_Data!K345="",Match_Data!L345=""),"",AVERAGE(Match_Data!K345:L345))</x:f>
      </x:c>
      <x:c r="H345" t="str">
        <x:f>IF(OR(Match_Data!M345="",Match_Data!N345=""),"",AVERAGE(Match_Data!M345:N345))</x:f>
      </x:c>
      <x:c r="I345" t="str">
        <x:f>IF(OR(Match_Data!O345="",Match_Data!Q345=""),"",Match_Data!O345+Match_Data!Q345)</x:f>
      </x:c>
      <x:c r="J345" t="str">
        <x:f>IF(OR(Match_Data!P345="",Match_Data!R345=""),"",Match_Data!P345+Match_Data!R345)</x:f>
      </x:c>
      <x:c r="K345" t="str">
        <x:f>IF(OR(Match_Data!S345="",Match_Data!T345=""),"",Match_Data!S345+Match_Data!T345)</x:f>
      </x:c>
      <x:c r="L345" t="str">
        <x:f>IF(OR(Match_Data!U345="",Match_Data!V345=""),"",Match_Data!U345-Match_Data!V345)</x:f>
      </x:c>
      <x:c r="M345" s="32" t="str">
        <x:f>IF(Match_Data!Y345="","",1/Match_Data!Y345)</x:f>
      </x:c>
      <x:c r="N345" s="32" t="str">
        <x:f>IF(Match_Data!AA345="","",1/Match_Data!AA345)</x:f>
      </x:c>
      <x:c r="O345" s="32" t="str">
        <x:f>IF(OR(M345="",N345=""),"",N345-M345)</x:f>
      </x:c>
      <x:c r="P345" t="str">
        <x:f>IF(Match_Data!J345="","",IF(Match_Data!J345="OVER",1,0))</x:f>
      </x:c>
    </x:row>
    <x:row r="346">
      <x:c r="A346" t="n">
        <x:f>Match_Data!A346</x:f>
        <x:v>0</x:v>
      </x:c>
      <x:c r="B346" s="28" t="n">
        <x:f>Match_Data!B346</x:f>
        <x:v>0</x:v>
      </x:c>
      <x:c r="C346" t="n">
        <x:f>Match_Data!C346</x:f>
        <x:v>0</x:v>
      </x:c>
      <x:c r="D346" t="n">
        <x:f>Match_Data!E346</x:f>
        <x:v>0</x:v>
      </x:c>
      <x:c r="E346" t="n">
        <x:f>Match_Data!F346</x:f>
        <x:v>0</x:v>
      </x:c>
      <x:c r="F346" t="n">
        <x:f>Match_Data!AC346</x:f>
        <x:v>0</x:v>
      </x:c>
      <x:c r="G346" t="str">
        <x:f>IF(OR(Match_Data!K346="",Match_Data!L346=""),"",AVERAGE(Match_Data!K346:L346))</x:f>
      </x:c>
      <x:c r="H346" t="str">
        <x:f>IF(OR(Match_Data!M346="",Match_Data!N346=""),"",AVERAGE(Match_Data!M346:N346))</x:f>
      </x:c>
      <x:c r="I346" t="str">
        <x:f>IF(OR(Match_Data!O346="",Match_Data!Q346=""),"",Match_Data!O346+Match_Data!Q346)</x:f>
      </x:c>
      <x:c r="J346" t="str">
        <x:f>IF(OR(Match_Data!P346="",Match_Data!R346=""),"",Match_Data!P346+Match_Data!R346)</x:f>
      </x:c>
      <x:c r="K346" t="str">
        <x:f>IF(OR(Match_Data!S346="",Match_Data!T346=""),"",Match_Data!S346+Match_Data!T346)</x:f>
      </x:c>
      <x:c r="L346" t="str">
        <x:f>IF(OR(Match_Data!U346="",Match_Data!V346=""),"",Match_Data!U346-Match_Data!V346)</x:f>
      </x:c>
      <x:c r="M346" s="32" t="str">
        <x:f>IF(Match_Data!Y346="","",1/Match_Data!Y346)</x:f>
      </x:c>
      <x:c r="N346" s="32" t="str">
        <x:f>IF(Match_Data!AA346="","",1/Match_Data!AA346)</x:f>
      </x:c>
      <x:c r="O346" s="32" t="str">
        <x:f>IF(OR(M346="",N346=""),"",N346-M346)</x:f>
      </x:c>
      <x:c r="P346" t="str">
        <x:f>IF(Match_Data!J346="","",IF(Match_Data!J346="OVER",1,0))</x:f>
      </x:c>
    </x:row>
    <x:row r="347">
      <x:c r="A347" t="n">
        <x:f>Match_Data!A347</x:f>
        <x:v>0</x:v>
      </x:c>
      <x:c r="B347" s="28" t="n">
        <x:f>Match_Data!B347</x:f>
        <x:v>0</x:v>
      </x:c>
      <x:c r="C347" t="n">
        <x:f>Match_Data!C347</x:f>
        <x:v>0</x:v>
      </x:c>
      <x:c r="D347" t="n">
        <x:f>Match_Data!E347</x:f>
        <x:v>0</x:v>
      </x:c>
      <x:c r="E347" t="n">
        <x:f>Match_Data!F347</x:f>
        <x:v>0</x:v>
      </x:c>
      <x:c r="F347" t="n">
        <x:f>Match_Data!AC347</x:f>
        <x:v>0</x:v>
      </x:c>
      <x:c r="G347" t="str">
        <x:f>IF(OR(Match_Data!K347="",Match_Data!L347=""),"",AVERAGE(Match_Data!K347:L347))</x:f>
      </x:c>
      <x:c r="H347" t="str">
        <x:f>IF(OR(Match_Data!M347="",Match_Data!N347=""),"",AVERAGE(Match_Data!M347:N347))</x:f>
      </x:c>
      <x:c r="I347" t="str">
        <x:f>IF(OR(Match_Data!O347="",Match_Data!Q347=""),"",Match_Data!O347+Match_Data!Q347)</x:f>
      </x:c>
      <x:c r="J347" t="str">
        <x:f>IF(OR(Match_Data!P347="",Match_Data!R347=""),"",Match_Data!P347+Match_Data!R347)</x:f>
      </x:c>
      <x:c r="K347" t="str">
        <x:f>IF(OR(Match_Data!S347="",Match_Data!T347=""),"",Match_Data!S347+Match_Data!T347)</x:f>
      </x:c>
      <x:c r="L347" t="str">
        <x:f>IF(OR(Match_Data!U347="",Match_Data!V347=""),"",Match_Data!U347-Match_Data!V347)</x:f>
      </x:c>
      <x:c r="M347" s="32" t="str">
        <x:f>IF(Match_Data!Y347="","",1/Match_Data!Y347)</x:f>
      </x:c>
      <x:c r="N347" s="32" t="str">
        <x:f>IF(Match_Data!AA347="","",1/Match_Data!AA347)</x:f>
      </x:c>
      <x:c r="O347" s="32" t="str">
        <x:f>IF(OR(M347="",N347=""),"",N347-M347)</x:f>
      </x:c>
      <x:c r="P347" t="str">
        <x:f>IF(Match_Data!J347="","",IF(Match_Data!J347="OVER",1,0))</x:f>
      </x:c>
    </x:row>
    <x:row r="348">
      <x:c r="A348" t="n">
        <x:f>Match_Data!A348</x:f>
        <x:v>0</x:v>
      </x:c>
      <x:c r="B348" s="28" t="n">
        <x:f>Match_Data!B348</x:f>
        <x:v>0</x:v>
      </x:c>
      <x:c r="C348" t="n">
        <x:f>Match_Data!C348</x:f>
        <x:v>0</x:v>
      </x:c>
      <x:c r="D348" t="n">
        <x:f>Match_Data!E348</x:f>
        <x:v>0</x:v>
      </x:c>
      <x:c r="E348" t="n">
        <x:f>Match_Data!F348</x:f>
        <x:v>0</x:v>
      </x:c>
      <x:c r="F348" t="n">
        <x:f>Match_Data!AC348</x:f>
        <x:v>0</x:v>
      </x:c>
      <x:c r="G348" t="str">
        <x:f>IF(OR(Match_Data!K348="",Match_Data!L348=""),"",AVERAGE(Match_Data!K348:L348))</x:f>
      </x:c>
      <x:c r="H348" t="str">
        <x:f>IF(OR(Match_Data!M348="",Match_Data!N348=""),"",AVERAGE(Match_Data!M348:N348))</x:f>
      </x:c>
      <x:c r="I348" t="str">
        <x:f>IF(OR(Match_Data!O348="",Match_Data!Q348=""),"",Match_Data!O348+Match_Data!Q348)</x:f>
      </x:c>
      <x:c r="J348" t="str">
        <x:f>IF(OR(Match_Data!P348="",Match_Data!R348=""),"",Match_Data!P348+Match_Data!R348)</x:f>
      </x:c>
      <x:c r="K348" t="str">
        <x:f>IF(OR(Match_Data!S348="",Match_Data!T348=""),"",Match_Data!S348+Match_Data!T348)</x:f>
      </x:c>
      <x:c r="L348" t="str">
        <x:f>IF(OR(Match_Data!U348="",Match_Data!V348=""),"",Match_Data!U348-Match_Data!V348)</x:f>
      </x:c>
      <x:c r="M348" s="32" t="str">
        <x:f>IF(Match_Data!Y348="","",1/Match_Data!Y348)</x:f>
      </x:c>
      <x:c r="N348" s="32" t="str">
        <x:f>IF(Match_Data!AA348="","",1/Match_Data!AA348)</x:f>
      </x:c>
      <x:c r="O348" s="32" t="str">
        <x:f>IF(OR(M348="",N348=""),"",N348-M348)</x:f>
      </x:c>
      <x:c r="P348" t="str">
        <x:f>IF(Match_Data!J348="","",IF(Match_Data!J348="OVER",1,0))</x:f>
      </x:c>
    </x:row>
    <x:row r="349">
      <x:c r="A349" t="n">
        <x:f>Match_Data!A349</x:f>
        <x:v>0</x:v>
      </x:c>
      <x:c r="B349" s="28" t="n">
        <x:f>Match_Data!B349</x:f>
        <x:v>0</x:v>
      </x:c>
      <x:c r="C349" t="n">
        <x:f>Match_Data!C349</x:f>
        <x:v>0</x:v>
      </x:c>
      <x:c r="D349" t="n">
        <x:f>Match_Data!E349</x:f>
        <x:v>0</x:v>
      </x:c>
      <x:c r="E349" t="n">
        <x:f>Match_Data!F349</x:f>
        <x:v>0</x:v>
      </x:c>
      <x:c r="F349" t="n">
        <x:f>Match_Data!AC349</x:f>
        <x:v>0</x:v>
      </x:c>
      <x:c r="G349" t="str">
        <x:f>IF(OR(Match_Data!K349="",Match_Data!L349=""),"",AVERAGE(Match_Data!K349:L349))</x:f>
      </x:c>
      <x:c r="H349" t="str">
        <x:f>IF(OR(Match_Data!M349="",Match_Data!N349=""),"",AVERAGE(Match_Data!M349:N349))</x:f>
      </x:c>
      <x:c r="I349" t="str">
        <x:f>IF(OR(Match_Data!O349="",Match_Data!Q349=""),"",Match_Data!O349+Match_Data!Q349)</x:f>
      </x:c>
      <x:c r="J349" t="str">
        <x:f>IF(OR(Match_Data!P349="",Match_Data!R349=""),"",Match_Data!P349+Match_Data!R349)</x:f>
      </x:c>
      <x:c r="K349" t="str">
        <x:f>IF(OR(Match_Data!S349="",Match_Data!T349=""),"",Match_Data!S349+Match_Data!T349)</x:f>
      </x:c>
      <x:c r="L349" t="str">
        <x:f>IF(OR(Match_Data!U349="",Match_Data!V349=""),"",Match_Data!U349-Match_Data!V349)</x:f>
      </x:c>
      <x:c r="M349" s="32" t="str">
        <x:f>IF(Match_Data!Y349="","",1/Match_Data!Y349)</x:f>
      </x:c>
      <x:c r="N349" s="32" t="str">
        <x:f>IF(Match_Data!AA349="","",1/Match_Data!AA349)</x:f>
      </x:c>
      <x:c r="O349" s="32" t="str">
        <x:f>IF(OR(M349="",N349=""),"",N349-M349)</x:f>
      </x:c>
      <x:c r="P349" t="str">
        <x:f>IF(Match_Data!J349="","",IF(Match_Data!J349="OVER",1,0))</x:f>
      </x:c>
    </x:row>
    <x:row r="350">
      <x:c r="A350" t="n">
        <x:f>Match_Data!A350</x:f>
        <x:v>0</x:v>
      </x:c>
      <x:c r="B350" s="28" t="n">
        <x:f>Match_Data!B350</x:f>
        <x:v>0</x:v>
      </x:c>
      <x:c r="C350" t="n">
        <x:f>Match_Data!C350</x:f>
        <x:v>0</x:v>
      </x:c>
      <x:c r="D350" t="n">
        <x:f>Match_Data!E350</x:f>
        <x:v>0</x:v>
      </x:c>
      <x:c r="E350" t="n">
        <x:f>Match_Data!F350</x:f>
        <x:v>0</x:v>
      </x:c>
      <x:c r="F350" t="n">
        <x:f>Match_Data!AC350</x:f>
        <x:v>0</x:v>
      </x:c>
      <x:c r="G350" t="str">
        <x:f>IF(OR(Match_Data!K350="",Match_Data!L350=""),"",AVERAGE(Match_Data!K350:L350))</x:f>
      </x:c>
      <x:c r="H350" t="str">
        <x:f>IF(OR(Match_Data!M350="",Match_Data!N350=""),"",AVERAGE(Match_Data!M350:N350))</x:f>
      </x:c>
      <x:c r="I350" t="str">
        <x:f>IF(OR(Match_Data!O350="",Match_Data!Q350=""),"",Match_Data!O350+Match_Data!Q350)</x:f>
      </x:c>
      <x:c r="J350" t="str">
        <x:f>IF(OR(Match_Data!P350="",Match_Data!R350=""),"",Match_Data!P350+Match_Data!R350)</x:f>
      </x:c>
      <x:c r="K350" t="str">
        <x:f>IF(OR(Match_Data!S350="",Match_Data!T350=""),"",Match_Data!S350+Match_Data!T350)</x:f>
      </x:c>
      <x:c r="L350" t="str">
        <x:f>IF(OR(Match_Data!U350="",Match_Data!V350=""),"",Match_Data!U350-Match_Data!V350)</x:f>
      </x:c>
      <x:c r="M350" s="32" t="str">
        <x:f>IF(Match_Data!Y350="","",1/Match_Data!Y350)</x:f>
      </x:c>
      <x:c r="N350" s="32" t="str">
        <x:f>IF(Match_Data!AA350="","",1/Match_Data!AA350)</x:f>
      </x:c>
      <x:c r="O350" s="32" t="str">
        <x:f>IF(OR(M350="",N350=""),"",N350-M350)</x:f>
      </x:c>
      <x:c r="P350" t="str">
        <x:f>IF(Match_Data!J350="","",IF(Match_Data!J350="OVER",1,0))</x:f>
      </x:c>
    </x:row>
    <x:row r="351">
      <x:c r="A351" t="n">
        <x:f>Match_Data!A351</x:f>
        <x:v>0</x:v>
      </x:c>
      <x:c r="B351" s="28" t="n">
        <x:f>Match_Data!B351</x:f>
        <x:v>0</x:v>
      </x:c>
      <x:c r="C351" t="n">
        <x:f>Match_Data!C351</x:f>
        <x:v>0</x:v>
      </x:c>
      <x:c r="D351" t="n">
        <x:f>Match_Data!E351</x:f>
        <x:v>0</x:v>
      </x:c>
      <x:c r="E351" t="n">
        <x:f>Match_Data!F351</x:f>
        <x:v>0</x:v>
      </x:c>
      <x:c r="F351" t="n">
        <x:f>Match_Data!AC351</x:f>
        <x:v>0</x:v>
      </x:c>
      <x:c r="G351" t="str">
        <x:f>IF(OR(Match_Data!K351="",Match_Data!L351=""),"",AVERAGE(Match_Data!K351:L351))</x:f>
      </x:c>
      <x:c r="H351" t="str">
        <x:f>IF(OR(Match_Data!M351="",Match_Data!N351=""),"",AVERAGE(Match_Data!M351:N351))</x:f>
      </x:c>
      <x:c r="I351" t="str">
        <x:f>IF(OR(Match_Data!O351="",Match_Data!Q351=""),"",Match_Data!O351+Match_Data!Q351)</x:f>
      </x:c>
      <x:c r="J351" t="str">
        <x:f>IF(OR(Match_Data!P351="",Match_Data!R351=""),"",Match_Data!P351+Match_Data!R351)</x:f>
      </x:c>
      <x:c r="K351" t="str">
        <x:f>IF(OR(Match_Data!S351="",Match_Data!T351=""),"",Match_Data!S351+Match_Data!T351)</x:f>
      </x:c>
      <x:c r="L351" t="str">
        <x:f>IF(OR(Match_Data!U351="",Match_Data!V351=""),"",Match_Data!U351-Match_Data!V351)</x:f>
      </x:c>
      <x:c r="M351" s="32" t="str">
        <x:f>IF(Match_Data!Y351="","",1/Match_Data!Y351)</x:f>
      </x:c>
      <x:c r="N351" s="32" t="str">
        <x:f>IF(Match_Data!AA351="","",1/Match_Data!AA351)</x:f>
      </x:c>
      <x:c r="O351" s="32" t="str">
        <x:f>IF(OR(M351="",N351=""),"",N351-M351)</x:f>
      </x:c>
      <x:c r="P351" t="str">
        <x:f>IF(Match_Data!J351="","",IF(Match_Data!J351="OVER",1,0))</x:f>
      </x:c>
    </x:row>
    <x:row r="352">
      <x:c r="A352" t="n">
        <x:f>Match_Data!A352</x:f>
        <x:v>0</x:v>
      </x:c>
      <x:c r="B352" s="28" t="n">
        <x:f>Match_Data!B352</x:f>
        <x:v>0</x:v>
      </x:c>
      <x:c r="C352" t="n">
        <x:f>Match_Data!C352</x:f>
        <x:v>0</x:v>
      </x:c>
      <x:c r="D352" t="n">
        <x:f>Match_Data!E352</x:f>
        <x:v>0</x:v>
      </x:c>
      <x:c r="E352" t="n">
        <x:f>Match_Data!F352</x:f>
        <x:v>0</x:v>
      </x:c>
      <x:c r="F352" t="n">
        <x:f>Match_Data!AC352</x:f>
        <x:v>0</x:v>
      </x:c>
      <x:c r="G352" t="str">
        <x:f>IF(OR(Match_Data!K352="",Match_Data!L352=""),"",AVERAGE(Match_Data!K352:L352))</x:f>
      </x:c>
      <x:c r="H352" t="str">
        <x:f>IF(OR(Match_Data!M352="",Match_Data!N352=""),"",AVERAGE(Match_Data!M352:N352))</x:f>
      </x:c>
      <x:c r="I352" t="str">
        <x:f>IF(OR(Match_Data!O352="",Match_Data!Q352=""),"",Match_Data!O352+Match_Data!Q352)</x:f>
      </x:c>
      <x:c r="J352" t="str">
        <x:f>IF(OR(Match_Data!P352="",Match_Data!R352=""),"",Match_Data!P352+Match_Data!R352)</x:f>
      </x:c>
      <x:c r="K352" t="str">
        <x:f>IF(OR(Match_Data!S352="",Match_Data!T352=""),"",Match_Data!S352+Match_Data!T352)</x:f>
      </x:c>
      <x:c r="L352" t="str">
        <x:f>IF(OR(Match_Data!U352="",Match_Data!V352=""),"",Match_Data!U352-Match_Data!V352)</x:f>
      </x:c>
      <x:c r="M352" s="32" t="str">
        <x:f>IF(Match_Data!Y352="","",1/Match_Data!Y352)</x:f>
      </x:c>
      <x:c r="N352" s="32" t="str">
        <x:f>IF(Match_Data!AA352="","",1/Match_Data!AA352)</x:f>
      </x:c>
      <x:c r="O352" s="32" t="str">
        <x:f>IF(OR(M352="",N352=""),"",N352-M352)</x:f>
      </x:c>
      <x:c r="P352" t="str">
        <x:f>IF(Match_Data!J352="","",IF(Match_Data!J352="OVER",1,0))</x:f>
      </x:c>
    </x:row>
    <x:row r="353">
      <x:c r="A353" t="n">
        <x:f>Match_Data!A353</x:f>
        <x:v>0</x:v>
      </x:c>
      <x:c r="B353" s="28" t="n">
        <x:f>Match_Data!B353</x:f>
        <x:v>0</x:v>
      </x:c>
      <x:c r="C353" t="n">
        <x:f>Match_Data!C353</x:f>
        <x:v>0</x:v>
      </x:c>
      <x:c r="D353" t="n">
        <x:f>Match_Data!E353</x:f>
        <x:v>0</x:v>
      </x:c>
      <x:c r="E353" t="n">
        <x:f>Match_Data!F353</x:f>
        <x:v>0</x:v>
      </x:c>
      <x:c r="F353" t="n">
        <x:f>Match_Data!AC353</x:f>
        <x:v>0</x:v>
      </x:c>
      <x:c r="G353" t="str">
        <x:f>IF(OR(Match_Data!K353="",Match_Data!L353=""),"",AVERAGE(Match_Data!K353:L353))</x:f>
      </x:c>
      <x:c r="H353" t="str">
        <x:f>IF(OR(Match_Data!M353="",Match_Data!N353=""),"",AVERAGE(Match_Data!M353:N353))</x:f>
      </x:c>
      <x:c r="I353" t="str">
        <x:f>IF(OR(Match_Data!O353="",Match_Data!Q353=""),"",Match_Data!O353+Match_Data!Q353)</x:f>
      </x:c>
      <x:c r="J353" t="str">
        <x:f>IF(OR(Match_Data!P353="",Match_Data!R353=""),"",Match_Data!P353+Match_Data!R353)</x:f>
      </x:c>
      <x:c r="K353" t="str">
        <x:f>IF(OR(Match_Data!S353="",Match_Data!T353=""),"",Match_Data!S353+Match_Data!T353)</x:f>
      </x:c>
      <x:c r="L353" t="str">
        <x:f>IF(OR(Match_Data!U353="",Match_Data!V353=""),"",Match_Data!U353-Match_Data!V353)</x:f>
      </x:c>
      <x:c r="M353" s="32" t="str">
        <x:f>IF(Match_Data!Y353="","",1/Match_Data!Y353)</x:f>
      </x:c>
      <x:c r="N353" s="32" t="str">
        <x:f>IF(Match_Data!AA353="","",1/Match_Data!AA353)</x:f>
      </x:c>
      <x:c r="O353" s="32" t="str">
        <x:f>IF(OR(M353="",N353=""),"",N353-M353)</x:f>
      </x:c>
      <x:c r="P353" t="str">
        <x:f>IF(Match_Data!J353="","",IF(Match_Data!J353="OVER",1,0))</x:f>
      </x:c>
    </x:row>
    <x:row r="354">
      <x:c r="A354" t="n">
        <x:f>Match_Data!A354</x:f>
        <x:v>0</x:v>
      </x:c>
      <x:c r="B354" s="28" t="n">
        <x:f>Match_Data!B354</x:f>
        <x:v>0</x:v>
      </x:c>
      <x:c r="C354" t="n">
        <x:f>Match_Data!C354</x:f>
        <x:v>0</x:v>
      </x:c>
      <x:c r="D354" t="n">
        <x:f>Match_Data!E354</x:f>
        <x:v>0</x:v>
      </x:c>
      <x:c r="E354" t="n">
        <x:f>Match_Data!F354</x:f>
        <x:v>0</x:v>
      </x:c>
      <x:c r="F354" t="n">
        <x:f>Match_Data!AC354</x:f>
        <x:v>0</x:v>
      </x:c>
      <x:c r="G354" t="str">
        <x:f>IF(OR(Match_Data!K354="",Match_Data!L354=""),"",AVERAGE(Match_Data!K354:L354))</x:f>
      </x:c>
      <x:c r="H354" t="str">
        <x:f>IF(OR(Match_Data!M354="",Match_Data!N354=""),"",AVERAGE(Match_Data!M354:N354))</x:f>
      </x:c>
      <x:c r="I354" t="str">
        <x:f>IF(OR(Match_Data!O354="",Match_Data!Q354=""),"",Match_Data!O354+Match_Data!Q354)</x:f>
      </x:c>
      <x:c r="J354" t="str">
        <x:f>IF(OR(Match_Data!P354="",Match_Data!R354=""),"",Match_Data!P354+Match_Data!R354)</x:f>
      </x:c>
      <x:c r="K354" t="str">
        <x:f>IF(OR(Match_Data!S354="",Match_Data!T354=""),"",Match_Data!S354+Match_Data!T354)</x:f>
      </x:c>
      <x:c r="L354" t="str">
        <x:f>IF(OR(Match_Data!U354="",Match_Data!V354=""),"",Match_Data!U354-Match_Data!V354)</x:f>
      </x:c>
      <x:c r="M354" s="32" t="str">
        <x:f>IF(Match_Data!Y354="","",1/Match_Data!Y354)</x:f>
      </x:c>
      <x:c r="N354" s="32" t="str">
        <x:f>IF(Match_Data!AA354="","",1/Match_Data!AA354)</x:f>
      </x:c>
      <x:c r="O354" s="32" t="str">
        <x:f>IF(OR(M354="",N354=""),"",N354-M354)</x:f>
      </x:c>
      <x:c r="P354" t="str">
        <x:f>IF(Match_Data!J354="","",IF(Match_Data!J354="OVER",1,0))</x:f>
      </x:c>
    </x:row>
    <x:row r="355">
      <x:c r="A355" t="n">
        <x:f>Match_Data!A355</x:f>
        <x:v>0</x:v>
      </x:c>
      <x:c r="B355" s="28" t="n">
        <x:f>Match_Data!B355</x:f>
        <x:v>0</x:v>
      </x:c>
      <x:c r="C355" t="n">
        <x:f>Match_Data!C355</x:f>
        <x:v>0</x:v>
      </x:c>
      <x:c r="D355" t="n">
        <x:f>Match_Data!E355</x:f>
        <x:v>0</x:v>
      </x:c>
      <x:c r="E355" t="n">
        <x:f>Match_Data!F355</x:f>
        <x:v>0</x:v>
      </x:c>
      <x:c r="F355" t="n">
        <x:f>Match_Data!AC355</x:f>
        <x:v>0</x:v>
      </x:c>
      <x:c r="G355" t="str">
        <x:f>IF(OR(Match_Data!K355="",Match_Data!L355=""),"",AVERAGE(Match_Data!K355:L355))</x:f>
      </x:c>
      <x:c r="H355" t="str">
        <x:f>IF(OR(Match_Data!M355="",Match_Data!N355=""),"",AVERAGE(Match_Data!M355:N355))</x:f>
      </x:c>
      <x:c r="I355" t="str">
        <x:f>IF(OR(Match_Data!O355="",Match_Data!Q355=""),"",Match_Data!O355+Match_Data!Q355)</x:f>
      </x:c>
      <x:c r="J355" t="str">
        <x:f>IF(OR(Match_Data!P355="",Match_Data!R355=""),"",Match_Data!P355+Match_Data!R355)</x:f>
      </x:c>
      <x:c r="K355" t="str">
        <x:f>IF(OR(Match_Data!S355="",Match_Data!T355=""),"",Match_Data!S355+Match_Data!T355)</x:f>
      </x:c>
      <x:c r="L355" t="str">
        <x:f>IF(OR(Match_Data!U355="",Match_Data!V355=""),"",Match_Data!U355-Match_Data!V355)</x:f>
      </x:c>
      <x:c r="M355" s="32" t="str">
        <x:f>IF(Match_Data!Y355="","",1/Match_Data!Y355)</x:f>
      </x:c>
      <x:c r="N355" s="32" t="str">
        <x:f>IF(Match_Data!AA355="","",1/Match_Data!AA355)</x:f>
      </x:c>
      <x:c r="O355" s="32" t="str">
        <x:f>IF(OR(M355="",N355=""),"",N355-M355)</x:f>
      </x:c>
      <x:c r="P355" t="str">
        <x:f>IF(Match_Data!J355="","",IF(Match_Data!J355="OVER",1,0))</x:f>
      </x:c>
    </x:row>
    <x:row r="356">
      <x:c r="A356" t="n">
        <x:f>Match_Data!A356</x:f>
        <x:v>0</x:v>
      </x:c>
      <x:c r="B356" s="28" t="n">
        <x:f>Match_Data!B356</x:f>
        <x:v>0</x:v>
      </x:c>
      <x:c r="C356" t="n">
        <x:f>Match_Data!C356</x:f>
        <x:v>0</x:v>
      </x:c>
      <x:c r="D356" t="n">
        <x:f>Match_Data!E356</x:f>
        <x:v>0</x:v>
      </x:c>
      <x:c r="E356" t="n">
        <x:f>Match_Data!F356</x:f>
        <x:v>0</x:v>
      </x:c>
      <x:c r="F356" t="n">
        <x:f>Match_Data!AC356</x:f>
        <x:v>0</x:v>
      </x:c>
      <x:c r="G356" t="str">
        <x:f>IF(OR(Match_Data!K356="",Match_Data!L356=""),"",AVERAGE(Match_Data!K356:L356))</x:f>
      </x:c>
      <x:c r="H356" t="str">
        <x:f>IF(OR(Match_Data!M356="",Match_Data!N356=""),"",AVERAGE(Match_Data!M356:N356))</x:f>
      </x:c>
      <x:c r="I356" t="str">
        <x:f>IF(OR(Match_Data!O356="",Match_Data!Q356=""),"",Match_Data!O356+Match_Data!Q356)</x:f>
      </x:c>
      <x:c r="J356" t="str">
        <x:f>IF(OR(Match_Data!P356="",Match_Data!R356=""),"",Match_Data!P356+Match_Data!R356)</x:f>
      </x:c>
      <x:c r="K356" t="str">
        <x:f>IF(OR(Match_Data!S356="",Match_Data!T356=""),"",Match_Data!S356+Match_Data!T356)</x:f>
      </x:c>
      <x:c r="L356" t="str">
        <x:f>IF(OR(Match_Data!U356="",Match_Data!V356=""),"",Match_Data!U356-Match_Data!V356)</x:f>
      </x:c>
      <x:c r="M356" s="32" t="str">
        <x:f>IF(Match_Data!Y356="","",1/Match_Data!Y356)</x:f>
      </x:c>
      <x:c r="N356" s="32" t="str">
        <x:f>IF(Match_Data!AA356="","",1/Match_Data!AA356)</x:f>
      </x:c>
      <x:c r="O356" s="32" t="str">
        <x:f>IF(OR(M356="",N356=""),"",N356-M356)</x:f>
      </x:c>
      <x:c r="P356" t="str">
        <x:f>IF(Match_Data!J356="","",IF(Match_Data!J356="OVER",1,0))</x:f>
      </x:c>
    </x:row>
    <x:row r="357">
      <x:c r="A357" t="n">
        <x:f>Match_Data!A357</x:f>
        <x:v>0</x:v>
      </x:c>
      <x:c r="B357" s="28" t="n">
        <x:f>Match_Data!B357</x:f>
        <x:v>0</x:v>
      </x:c>
      <x:c r="C357" t="n">
        <x:f>Match_Data!C357</x:f>
        <x:v>0</x:v>
      </x:c>
      <x:c r="D357" t="n">
        <x:f>Match_Data!E357</x:f>
        <x:v>0</x:v>
      </x:c>
      <x:c r="E357" t="n">
        <x:f>Match_Data!F357</x:f>
        <x:v>0</x:v>
      </x:c>
      <x:c r="F357" t="n">
        <x:f>Match_Data!AC357</x:f>
        <x:v>0</x:v>
      </x:c>
      <x:c r="G357" t="str">
        <x:f>IF(OR(Match_Data!K357="",Match_Data!L357=""),"",AVERAGE(Match_Data!K357:L357))</x:f>
      </x:c>
      <x:c r="H357" t="str">
        <x:f>IF(OR(Match_Data!M357="",Match_Data!N357=""),"",AVERAGE(Match_Data!M357:N357))</x:f>
      </x:c>
      <x:c r="I357" t="str">
        <x:f>IF(OR(Match_Data!O357="",Match_Data!Q357=""),"",Match_Data!O357+Match_Data!Q357)</x:f>
      </x:c>
      <x:c r="J357" t="str">
        <x:f>IF(OR(Match_Data!P357="",Match_Data!R357=""),"",Match_Data!P357+Match_Data!R357)</x:f>
      </x:c>
      <x:c r="K357" t="str">
        <x:f>IF(OR(Match_Data!S357="",Match_Data!T357=""),"",Match_Data!S357+Match_Data!T357)</x:f>
      </x:c>
      <x:c r="L357" t="str">
        <x:f>IF(OR(Match_Data!U357="",Match_Data!V357=""),"",Match_Data!U357-Match_Data!V357)</x:f>
      </x:c>
      <x:c r="M357" s="32" t="str">
        <x:f>IF(Match_Data!Y357="","",1/Match_Data!Y357)</x:f>
      </x:c>
      <x:c r="N357" s="32" t="str">
        <x:f>IF(Match_Data!AA357="","",1/Match_Data!AA357)</x:f>
      </x:c>
      <x:c r="O357" s="32" t="str">
        <x:f>IF(OR(M357="",N357=""),"",N357-M357)</x:f>
      </x:c>
      <x:c r="P357" t="str">
        <x:f>IF(Match_Data!J357="","",IF(Match_Data!J357="OVER",1,0))</x:f>
      </x:c>
    </x:row>
    <x:row r="358">
      <x:c r="A358" t="n">
        <x:f>Match_Data!A358</x:f>
        <x:v>0</x:v>
      </x:c>
      <x:c r="B358" s="28" t="n">
        <x:f>Match_Data!B358</x:f>
        <x:v>0</x:v>
      </x:c>
      <x:c r="C358" t="n">
        <x:f>Match_Data!C358</x:f>
        <x:v>0</x:v>
      </x:c>
      <x:c r="D358" t="n">
        <x:f>Match_Data!E358</x:f>
        <x:v>0</x:v>
      </x:c>
      <x:c r="E358" t="n">
        <x:f>Match_Data!F358</x:f>
        <x:v>0</x:v>
      </x:c>
      <x:c r="F358" t="n">
        <x:f>Match_Data!AC358</x:f>
        <x:v>0</x:v>
      </x:c>
      <x:c r="G358" t="str">
        <x:f>IF(OR(Match_Data!K358="",Match_Data!L358=""),"",AVERAGE(Match_Data!K358:L358))</x:f>
      </x:c>
      <x:c r="H358" t="str">
        <x:f>IF(OR(Match_Data!M358="",Match_Data!N358=""),"",AVERAGE(Match_Data!M358:N358))</x:f>
      </x:c>
      <x:c r="I358" t="str">
        <x:f>IF(OR(Match_Data!O358="",Match_Data!Q358=""),"",Match_Data!O358+Match_Data!Q358)</x:f>
      </x:c>
      <x:c r="J358" t="str">
        <x:f>IF(OR(Match_Data!P358="",Match_Data!R358=""),"",Match_Data!P358+Match_Data!R358)</x:f>
      </x:c>
      <x:c r="K358" t="str">
        <x:f>IF(OR(Match_Data!S358="",Match_Data!T358=""),"",Match_Data!S358+Match_Data!T358)</x:f>
      </x:c>
      <x:c r="L358" t="str">
        <x:f>IF(OR(Match_Data!U358="",Match_Data!V358=""),"",Match_Data!U358-Match_Data!V358)</x:f>
      </x:c>
      <x:c r="M358" s="32" t="str">
        <x:f>IF(Match_Data!Y358="","",1/Match_Data!Y358)</x:f>
      </x:c>
      <x:c r="N358" s="32" t="str">
        <x:f>IF(Match_Data!AA358="","",1/Match_Data!AA358)</x:f>
      </x:c>
      <x:c r="O358" s="32" t="str">
        <x:f>IF(OR(M358="",N358=""),"",N358-M358)</x:f>
      </x:c>
      <x:c r="P358" t="str">
        <x:f>IF(Match_Data!J358="","",IF(Match_Data!J358="OVER",1,0))</x:f>
      </x:c>
    </x:row>
    <x:row r="359">
      <x:c r="A359" t="n">
        <x:f>Match_Data!A359</x:f>
        <x:v>0</x:v>
      </x:c>
      <x:c r="B359" s="28" t="n">
        <x:f>Match_Data!B359</x:f>
        <x:v>0</x:v>
      </x:c>
      <x:c r="C359" t="n">
        <x:f>Match_Data!C359</x:f>
        <x:v>0</x:v>
      </x:c>
      <x:c r="D359" t="n">
        <x:f>Match_Data!E359</x:f>
        <x:v>0</x:v>
      </x:c>
      <x:c r="E359" t="n">
        <x:f>Match_Data!F359</x:f>
        <x:v>0</x:v>
      </x:c>
      <x:c r="F359" t="n">
        <x:f>Match_Data!AC359</x:f>
        <x:v>0</x:v>
      </x:c>
      <x:c r="G359" t="str">
        <x:f>IF(OR(Match_Data!K359="",Match_Data!L359=""),"",AVERAGE(Match_Data!K359:L359))</x:f>
      </x:c>
      <x:c r="H359" t="str">
        <x:f>IF(OR(Match_Data!M359="",Match_Data!N359=""),"",AVERAGE(Match_Data!M359:N359))</x:f>
      </x:c>
      <x:c r="I359" t="str">
        <x:f>IF(OR(Match_Data!O359="",Match_Data!Q359=""),"",Match_Data!O359+Match_Data!Q359)</x:f>
      </x:c>
      <x:c r="J359" t="str">
        <x:f>IF(OR(Match_Data!P359="",Match_Data!R359=""),"",Match_Data!P359+Match_Data!R359)</x:f>
      </x:c>
      <x:c r="K359" t="str">
        <x:f>IF(OR(Match_Data!S359="",Match_Data!T359=""),"",Match_Data!S359+Match_Data!T359)</x:f>
      </x:c>
      <x:c r="L359" t="str">
        <x:f>IF(OR(Match_Data!U359="",Match_Data!V359=""),"",Match_Data!U359-Match_Data!V359)</x:f>
      </x:c>
      <x:c r="M359" s="32" t="str">
        <x:f>IF(Match_Data!Y359="","",1/Match_Data!Y359)</x:f>
      </x:c>
      <x:c r="N359" s="32" t="str">
        <x:f>IF(Match_Data!AA359="","",1/Match_Data!AA359)</x:f>
      </x:c>
      <x:c r="O359" s="32" t="str">
        <x:f>IF(OR(M359="",N359=""),"",N359-M359)</x:f>
      </x:c>
      <x:c r="P359" t="str">
        <x:f>IF(Match_Data!J359="","",IF(Match_Data!J359="OVER",1,0))</x:f>
      </x:c>
    </x:row>
    <x:row r="360">
      <x:c r="A360" t="n">
        <x:f>Match_Data!A360</x:f>
        <x:v>0</x:v>
      </x:c>
      <x:c r="B360" s="28" t="n">
        <x:f>Match_Data!B360</x:f>
        <x:v>0</x:v>
      </x:c>
      <x:c r="C360" t="n">
        <x:f>Match_Data!C360</x:f>
        <x:v>0</x:v>
      </x:c>
      <x:c r="D360" t="n">
        <x:f>Match_Data!E360</x:f>
        <x:v>0</x:v>
      </x:c>
      <x:c r="E360" t="n">
        <x:f>Match_Data!F360</x:f>
        <x:v>0</x:v>
      </x:c>
      <x:c r="F360" t="n">
        <x:f>Match_Data!AC360</x:f>
        <x:v>0</x:v>
      </x:c>
      <x:c r="G360" t="str">
        <x:f>IF(OR(Match_Data!K360="",Match_Data!L360=""),"",AVERAGE(Match_Data!K360:L360))</x:f>
      </x:c>
      <x:c r="H360" t="str">
        <x:f>IF(OR(Match_Data!M360="",Match_Data!N360=""),"",AVERAGE(Match_Data!M360:N360))</x:f>
      </x:c>
      <x:c r="I360" t="str">
        <x:f>IF(OR(Match_Data!O360="",Match_Data!Q360=""),"",Match_Data!O360+Match_Data!Q360)</x:f>
      </x:c>
      <x:c r="J360" t="str">
        <x:f>IF(OR(Match_Data!P360="",Match_Data!R360=""),"",Match_Data!P360+Match_Data!R360)</x:f>
      </x:c>
      <x:c r="K360" t="str">
        <x:f>IF(OR(Match_Data!S360="",Match_Data!T360=""),"",Match_Data!S360+Match_Data!T360)</x:f>
      </x:c>
      <x:c r="L360" t="str">
        <x:f>IF(OR(Match_Data!U360="",Match_Data!V360=""),"",Match_Data!U360-Match_Data!V360)</x:f>
      </x:c>
      <x:c r="M360" s="32" t="str">
        <x:f>IF(Match_Data!Y360="","",1/Match_Data!Y360)</x:f>
      </x:c>
      <x:c r="N360" s="32" t="str">
        <x:f>IF(Match_Data!AA360="","",1/Match_Data!AA360)</x:f>
      </x:c>
      <x:c r="O360" s="32" t="str">
        <x:f>IF(OR(M360="",N360=""),"",N360-M360)</x:f>
      </x:c>
      <x:c r="P360" t="str">
        <x:f>IF(Match_Data!J360="","",IF(Match_Data!J360="OVER",1,0))</x:f>
      </x:c>
    </x:row>
    <x:row r="361">
      <x:c r="A361" t="n">
        <x:f>Match_Data!A361</x:f>
        <x:v>0</x:v>
      </x:c>
      <x:c r="B361" s="28" t="n">
        <x:f>Match_Data!B361</x:f>
        <x:v>0</x:v>
      </x:c>
      <x:c r="C361" t="n">
        <x:f>Match_Data!C361</x:f>
        <x:v>0</x:v>
      </x:c>
      <x:c r="D361" t="n">
        <x:f>Match_Data!E361</x:f>
        <x:v>0</x:v>
      </x:c>
      <x:c r="E361" t="n">
        <x:f>Match_Data!F361</x:f>
        <x:v>0</x:v>
      </x:c>
      <x:c r="F361" t="n">
        <x:f>Match_Data!AC361</x:f>
        <x:v>0</x:v>
      </x:c>
      <x:c r="G361" t="str">
        <x:f>IF(OR(Match_Data!K361="",Match_Data!L361=""),"",AVERAGE(Match_Data!K361:L361))</x:f>
      </x:c>
      <x:c r="H361" t="str">
        <x:f>IF(OR(Match_Data!M361="",Match_Data!N361=""),"",AVERAGE(Match_Data!M361:N361))</x:f>
      </x:c>
      <x:c r="I361" t="str">
        <x:f>IF(OR(Match_Data!O361="",Match_Data!Q361=""),"",Match_Data!O361+Match_Data!Q361)</x:f>
      </x:c>
      <x:c r="J361" t="str">
        <x:f>IF(OR(Match_Data!P361="",Match_Data!R361=""),"",Match_Data!P361+Match_Data!R361)</x:f>
      </x:c>
      <x:c r="K361" t="str">
        <x:f>IF(OR(Match_Data!S361="",Match_Data!T361=""),"",Match_Data!S361+Match_Data!T361)</x:f>
      </x:c>
      <x:c r="L361" t="str">
        <x:f>IF(OR(Match_Data!U361="",Match_Data!V361=""),"",Match_Data!U361-Match_Data!V361)</x:f>
      </x:c>
      <x:c r="M361" s="32" t="str">
        <x:f>IF(Match_Data!Y361="","",1/Match_Data!Y361)</x:f>
      </x:c>
      <x:c r="N361" s="32" t="str">
        <x:f>IF(Match_Data!AA361="","",1/Match_Data!AA361)</x:f>
      </x:c>
      <x:c r="O361" s="32" t="str">
        <x:f>IF(OR(M361="",N361=""),"",N361-M361)</x:f>
      </x:c>
      <x:c r="P361" t="str">
        <x:f>IF(Match_Data!J361="","",IF(Match_Data!J361="OVER",1,0))</x:f>
      </x:c>
    </x:row>
    <x:row r="362">
      <x:c r="A362" t="n">
        <x:f>Match_Data!A362</x:f>
        <x:v>0</x:v>
      </x:c>
      <x:c r="B362" s="28" t="n">
        <x:f>Match_Data!B362</x:f>
        <x:v>0</x:v>
      </x:c>
      <x:c r="C362" t="n">
        <x:f>Match_Data!C362</x:f>
        <x:v>0</x:v>
      </x:c>
      <x:c r="D362" t="n">
        <x:f>Match_Data!E362</x:f>
        <x:v>0</x:v>
      </x:c>
      <x:c r="E362" t="n">
        <x:f>Match_Data!F362</x:f>
        <x:v>0</x:v>
      </x:c>
      <x:c r="F362" t="n">
        <x:f>Match_Data!AC362</x:f>
        <x:v>0</x:v>
      </x:c>
      <x:c r="G362" t="str">
        <x:f>IF(OR(Match_Data!K362="",Match_Data!L362=""),"",AVERAGE(Match_Data!K362:L362))</x:f>
      </x:c>
      <x:c r="H362" t="str">
        <x:f>IF(OR(Match_Data!M362="",Match_Data!N362=""),"",AVERAGE(Match_Data!M362:N362))</x:f>
      </x:c>
      <x:c r="I362" t="str">
        <x:f>IF(OR(Match_Data!O362="",Match_Data!Q362=""),"",Match_Data!O362+Match_Data!Q362)</x:f>
      </x:c>
      <x:c r="J362" t="str">
        <x:f>IF(OR(Match_Data!P362="",Match_Data!R362=""),"",Match_Data!P362+Match_Data!R362)</x:f>
      </x:c>
      <x:c r="K362" t="str">
        <x:f>IF(OR(Match_Data!S362="",Match_Data!T362=""),"",Match_Data!S362+Match_Data!T362)</x:f>
      </x:c>
      <x:c r="L362" t="str">
        <x:f>IF(OR(Match_Data!U362="",Match_Data!V362=""),"",Match_Data!U362-Match_Data!V362)</x:f>
      </x:c>
      <x:c r="M362" s="32" t="str">
        <x:f>IF(Match_Data!Y362="","",1/Match_Data!Y362)</x:f>
      </x:c>
      <x:c r="N362" s="32" t="str">
        <x:f>IF(Match_Data!AA362="","",1/Match_Data!AA362)</x:f>
      </x:c>
      <x:c r="O362" s="32" t="str">
        <x:f>IF(OR(M362="",N362=""),"",N362-M362)</x:f>
      </x:c>
      <x:c r="P362" t="str">
        <x:f>IF(Match_Data!J362="","",IF(Match_Data!J362="OVER",1,0))</x:f>
      </x:c>
    </x:row>
    <x:row r="363">
      <x:c r="A363" t="n">
        <x:f>Match_Data!A363</x:f>
        <x:v>0</x:v>
      </x:c>
      <x:c r="B363" s="28" t="n">
        <x:f>Match_Data!B363</x:f>
        <x:v>0</x:v>
      </x:c>
      <x:c r="C363" t="n">
        <x:f>Match_Data!C363</x:f>
        <x:v>0</x:v>
      </x:c>
      <x:c r="D363" t="n">
        <x:f>Match_Data!E363</x:f>
        <x:v>0</x:v>
      </x:c>
      <x:c r="E363" t="n">
        <x:f>Match_Data!F363</x:f>
        <x:v>0</x:v>
      </x:c>
      <x:c r="F363" t="n">
        <x:f>Match_Data!AC363</x:f>
        <x:v>0</x:v>
      </x:c>
      <x:c r="G363" t="str">
        <x:f>IF(OR(Match_Data!K363="",Match_Data!L363=""),"",AVERAGE(Match_Data!K363:L363))</x:f>
      </x:c>
      <x:c r="H363" t="str">
        <x:f>IF(OR(Match_Data!M363="",Match_Data!N363=""),"",AVERAGE(Match_Data!M363:N363))</x:f>
      </x:c>
      <x:c r="I363" t="str">
        <x:f>IF(OR(Match_Data!O363="",Match_Data!Q363=""),"",Match_Data!O363+Match_Data!Q363)</x:f>
      </x:c>
      <x:c r="J363" t="str">
        <x:f>IF(OR(Match_Data!P363="",Match_Data!R363=""),"",Match_Data!P363+Match_Data!R363)</x:f>
      </x:c>
      <x:c r="K363" t="str">
        <x:f>IF(OR(Match_Data!S363="",Match_Data!T363=""),"",Match_Data!S363+Match_Data!T363)</x:f>
      </x:c>
      <x:c r="L363" t="str">
        <x:f>IF(OR(Match_Data!U363="",Match_Data!V363=""),"",Match_Data!U363-Match_Data!V363)</x:f>
      </x:c>
      <x:c r="M363" s="32" t="str">
        <x:f>IF(Match_Data!Y363="","",1/Match_Data!Y363)</x:f>
      </x:c>
      <x:c r="N363" s="32" t="str">
        <x:f>IF(Match_Data!AA363="","",1/Match_Data!AA363)</x:f>
      </x:c>
      <x:c r="O363" s="32" t="str">
        <x:f>IF(OR(M363="",N363=""),"",N363-M363)</x:f>
      </x:c>
      <x:c r="P363" t="str">
        <x:f>IF(Match_Data!J363="","",IF(Match_Data!J363="OVER",1,0))</x:f>
      </x:c>
    </x:row>
    <x:row r="364">
      <x:c r="A364" t="n">
        <x:f>Match_Data!A364</x:f>
        <x:v>0</x:v>
      </x:c>
      <x:c r="B364" s="28" t="n">
        <x:f>Match_Data!B364</x:f>
        <x:v>0</x:v>
      </x:c>
      <x:c r="C364" t="n">
        <x:f>Match_Data!C364</x:f>
        <x:v>0</x:v>
      </x:c>
      <x:c r="D364" t="n">
        <x:f>Match_Data!E364</x:f>
        <x:v>0</x:v>
      </x:c>
      <x:c r="E364" t="n">
        <x:f>Match_Data!F364</x:f>
        <x:v>0</x:v>
      </x:c>
      <x:c r="F364" t="n">
        <x:f>Match_Data!AC364</x:f>
        <x:v>0</x:v>
      </x:c>
      <x:c r="G364" t="str">
        <x:f>IF(OR(Match_Data!K364="",Match_Data!L364=""),"",AVERAGE(Match_Data!K364:L364))</x:f>
      </x:c>
      <x:c r="H364" t="str">
        <x:f>IF(OR(Match_Data!M364="",Match_Data!N364=""),"",AVERAGE(Match_Data!M364:N364))</x:f>
      </x:c>
      <x:c r="I364" t="str">
        <x:f>IF(OR(Match_Data!O364="",Match_Data!Q364=""),"",Match_Data!O364+Match_Data!Q364)</x:f>
      </x:c>
      <x:c r="J364" t="str">
        <x:f>IF(OR(Match_Data!P364="",Match_Data!R364=""),"",Match_Data!P364+Match_Data!R364)</x:f>
      </x:c>
      <x:c r="K364" t="str">
        <x:f>IF(OR(Match_Data!S364="",Match_Data!T364=""),"",Match_Data!S364+Match_Data!T364)</x:f>
      </x:c>
      <x:c r="L364" t="str">
        <x:f>IF(OR(Match_Data!U364="",Match_Data!V364=""),"",Match_Data!U364-Match_Data!V364)</x:f>
      </x:c>
      <x:c r="M364" s="32" t="str">
        <x:f>IF(Match_Data!Y364="","",1/Match_Data!Y364)</x:f>
      </x:c>
      <x:c r="N364" s="32" t="str">
        <x:f>IF(Match_Data!AA364="","",1/Match_Data!AA364)</x:f>
      </x:c>
      <x:c r="O364" s="32" t="str">
        <x:f>IF(OR(M364="",N364=""),"",N364-M364)</x:f>
      </x:c>
      <x:c r="P364" t="str">
        <x:f>IF(Match_Data!J364="","",IF(Match_Data!J364="OVER",1,0))</x:f>
      </x:c>
    </x:row>
    <x:row r="365">
      <x:c r="A365" t="n">
        <x:f>Match_Data!A365</x:f>
        <x:v>0</x:v>
      </x:c>
      <x:c r="B365" s="28" t="n">
        <x:f>Match_Data!B365</x:f>
        <x:v>0</x:v>
      </x:c>
      <x:c r="C365" t="n">
        <x:f>Match_Data!C365</x:f>
        <x:v>0</x:v>
      </x:c>
      <x:c r="D365" t="n">
        <x:f>Match_Data!E365</x:f>
        <x:v>0</x:v>
      </x:c>
      <x:c r="E365" t="n">
        <x:f>Match_Data!F365</x:f>
        <x:v>0</x:v>
      </x:c>
      <x:c r="F365" t="n">
        <x:f>Match_Data!AC365</x:f>
        <x:v>0</x:v>
      </x:c>
      <x:c r="G365" t="str">
        <x:f>IF(OR(Match_Data!K365="",Match_Data!L365=""),"",AVERAGE(Match_Data!K365:L365))</x:f>
      </x:c>
      <x:c r="H365" t="str">
        <x:f>IF(OR(Match_Data!M365="",Match_Data!N365=""),"",AVERAGE(Match_Data!M365:N365))</x:f>
      </x:c>
      <x:c r="I365" t="str">
        <x:f>IF(OR(Match_Data!O365="",Match_Data!Q365=""),"",Match_Data!O365+Match_Data!Q365)</x:f>
      </x:c>
      <x:c r="J365" t="str">
        <x:f>IF(OR(Match_Data!P365="",Match_Data!R365=""),"",Match_Data!P365+Match_Data!R365)</x:f>
      </x:c>
      <x:c r="K365" t="str">
        <x:f>IF(OR(Match_Data!S365="",Match_Data!T365=""),"",Match_Data!S365+Match_Data!T365)</x:f>
      </x:c>
      <x:c r="L365" t="str">
        <x:f>IF(OR(Match_Data!U365="",Match_Data!V365=""),"",Match_Data!U365-Match_Data!V365)</x:f>
      </x:c>
      <x:c r="M365" s="32" t="str">
        <x:f>IF(Match_Data!Y365="","",1/Match_Data!Y365)</x:f>
      </x:c>
      <x:c r="N365" s="32" t="str">
        <x:f>IF(Match_Data!AA365="","",1/Match_Data!AA365)</x:f>
      </x:c>
      <x:c r="O365" s="32" t="str">
        <x:f>IF(OR(M365="",N365=""),"",N365-M365)</x:f>
      </x:c>
      <x:c r="P365" t="str">
        <x:f>IF(Match_Data!J365="","",IF(Match_Data!J365="OVER",1,0))</x:f>
      </x:c>
    </x:row>
    <x:row r="366">
      <x:c r="A366" t="n">
        <x:f>Match_Data!A366</x:f>
        <x:v>0</x:v>
      </x:c>
      <x:c r="B366" s="28" t="n">
        <x:f>Match_Data!B366</x:f>
        <x:v>0</x:v>
      </x:c>
      <x:c r="C366" t="n">
        <x:f>Match_Data!C366</x:f>
        <x:v>0</x:v>
      </x:c>
      <x:c r="D366" t="n">
        <x:f>Match_Data!E366</x:f>
        <x:v>0</x:v>
      </x:c>
      <x:c r="E366" t="n">
        <x:f>Match_Data!F366</x:f>
        <x:v>0</x:v>
      </x:c>
      <x:c r="F366" t="n">
        <x:f>Match_Data!AC366</x:f>
        <x:v>0</x:v>
      </x:c>
      <x:c r="G366" t="str">
        <x:f>IF(OR(Match_Data!K366="",Match_Data!L366=""),"",AVERAGE(Match_Data!K366:L366))</x:f>
      </x:c>
      <x:c r="H366" t="str">
        <x:f>IF(OR(Match_Data!M366="",Match_Data!N366=""),"",AVERAGE(Match_Data!M366:N366))</x:f>
      </x:c>
      <x:c r="I366" t="str">
        <x:f>IF(OR(Match_Data!O366="",Match_Data!Q366=""),"",Match_Data!O366+Match_Data!Q366)</x:f>
      </x:c>
      <x:c r="J366" t="str">
        <x:f>IF(OR(Match_Data!P366="",Match_Data!R366=""),"",Match_Data!P366+Match_Data!R366)</x:f>
      </x:c>
      <x:c r="K366" t="str">
        <x:f>IF(OR(Match_Data!S366="",Match_Data!T366=""),"",Match_Data!S366+Match_Data!T366)</x:f>
      </x:c>
      <x:c r="L366" t="str">
        <x:f>IF(OR(Match_Data!U366="",Match_Data!V366=""),"",Match_Data!U366-Match_Data!V366)</x:f>
      </x:c>
      <x:c r="M366" s="32" t="str">
        <x:f>IF(Match_Data!Y366="","",1/Match_Data!Y366)</x:f>
      </x:c>
      <x:c r="N366" s="32" t="str">
        <x:f>IF(Match_Data!AA366="","",1/Match_Data!AA366)</x:f>
      </x:c>
      <x:c r="O366" s="32" t="str">
        <x:f>IF(OR(M366="",N366=""),"",N366-M366)</x:f>
      </x:c>
      <x:c r="P366" t="str">
        <x:f>IF(Match_Data!J366="","",IF(Match_Data!J366="OVER",1,0))</x:f>
      </x:c>
    </x:row>
    <x:row r="367">
      <x:c r="A367" t="n">
        <x:f>Match_Data!A367</x:f>
        <x:v>0</x:v>
      </x:c>
      <x:c r="B367" s="28" t="n">
        <x:f>Match_Data!B367</x:f>
        <x:v>0</x:v>
      </x:c>
      <x:c r="C367" t="n">
        <x:f>Match_Data!C367</x:f>
        <x:v>0</x:v>
      </x:c>
      <x:c r="D367" t="n">
        <x:f>Match_Data!E367</x:f>
        <x:v>0</x:v>
      </x:c>
      <x:c r="E367" t="n">
        <x:f>Match_Data!F367</x:f>
        <x:v>0</x:v>
      </x:c>
      <x:c r="F367" t="n">
        <x:f>Match_Data!AC367</x:f>
        <x:v>0</x:v>
      </x:c>
      <x:c r="G367" t="str">
        <x:f>IF(OR(Match_Data!K367="",Match_Data!L367=""),"",AVERAGE(Match_Data!K367:L367))</x:f>
      </x:c>
      <x:c r="H367" t="str">
        <x:f>IF(OR(Match_Data!M367="",Match_Data!N367=""),"",AVERAGE(Match_Data!M367:N367))</x:f>
      </x:c>
      <x:c r="I367" t="str">
        <x:f>IF(OR(Match_Data!O367="",Match_Data!Q367=""),"",Match_Data!O367+Match_Data!Q367)</x:f>
      </x:c>
      <x:c r="J367" t="str">
        <x:f>IF(OR(Match_Data!P367="",Match_Data!R367=""),"",Match_Data!P367+Match_Data!R367)</x:f>
      </x:c>
      <x:c r="K367" t="str">
        <x:f>IF(OR(Match_Data!S367="",Match_Data!T367=""),"",Match_Data!S367+Match_Data!T367)</x:f>
      </x:c>
      <x:c r="L367" t="str">
        <x:f>IF(OR(Match_Data!U367="",Match_Data!V367=""),"",Match_Data!U367-Match_Data!V367)</x:f>
      </x:c>
      <x:c r="M367" s="32" t="str">
        <x:f>IF(Match_Data!Y367="","",1/Match_Data!Y367)</x:f>
      </x:c>
      <x:c r="N367" s="32" t="str">
        <x:f>IF(Match_Data!AA367="","",1/Match_Data!AA367)</x:f>
      </x:c>
      <x:c r="O367" s="32" t="str">
        <x:f>IF(OR(M367="",N367=""),"",N367-M367)</x:f>
      </x:c>
      <x:c r="P367" t="str">
        <x:f>IF(Match_Data!J367="","",IF(Match_Data!J367="OVER",1,0))</x:f>
      </x:c>
    </x:row>
    <x:row r="368">
      <x:c r="A368" t="n">
        <x:f>Match_Data!A368</x:f>
        <x:v>0</x:v>
      </x:c>
      <x:c r="B368" s="28" t="n">
        <x:f>Match_Data!B368</x:f>
        <x:v>0</x:v>
      </x:c>
      <x:c r="C368" t="n">
        <x:f>Match_Data!C368</x:f>
        <x:v>0</x:v>
      </x:c>
      <x:c r="D368" t="n">
        <x:f>Match_Data!E368</x:f>
        <x:v>0</x:v>
      </x:c>
      <x:c r="E368" t="n">
        <x:f>Match_Data!F368</x:f>
        <x:v>0</x:v>
      </x:c>
      <x:c r="F368" t="n">
        <x:f>Match_Data!AC368</x:f>
        <x:v>0</x:v>
      </x:c>
      <x:c r="G368" t="str">
        <x:f>IF(OR(Match_Data!K368="",Match_Data!L368=""),"",AVERAGE(Match_Data!K368:L368))</x:f>
      </x:c>
      <x:c r="H368" t="str">
        <x:f>IF(OR(Match_Data!M368="",Match_Data!N368=""),"",AVERAGE(Match_Data!M368:N368))</x:f>
      </x:c>
      <x:c r="I368" t="str">
        <x:f>IF(OR(Match_Data!O368="",Match_Data!Q368=""),"",Match_Data!O368+Match_Data!Q368)</x:f>
      </x:c>
      <x:c r="J368" t="str">
        <x:f>IF(OR(Match_Data!P368="",Match_Data!R368=""),"",Match_Data!P368+Match_Data!R368)</x:f>
      </x:c>
      <x:c r="K368" t="str">
        <x:f>IF(OR(Match_Data!S368="",Match_Data!T368=""),"",Match_Data!S368+Match_Data!T368)</x:f>
      </x:c>
      <x:c r="L368" t="str">
        <x:f>IF(OR(Match_Data!U368="",Match_Data!V368=""),"",Match_Data!U368-Match_Data!V368)</x:f>
      </x:c>
      <x:c r="M368" s="32" t="str">
        <x:f>IF(Match_Data!Y368="","",1/Match_Data!Y368)</x:f>
      </x:c>
      <x:c r="N368" s="32" t="str">
        <x:f>IF(Match_Data!AA368="","",1/Match_Data!AA368)</x:f>
      </x:c>
      <x:c r="O368" s="32" t="str">
        <x:f>IF(OR(M368="",N368=""),"",N368-M368)</x:f>
      </x:c>
      <x:c r="P368" t="str">
        <x:f>IF(Match_Data!J368="","",IF(Match_Data!J368="OVER",1,0))</x:f>
      </x:c>
    </x:row>
    <x:row r="369">
      <x:c r="A369" t="n">
        <x:f>Match_Data!A369</x:f>
        <x:v>0</x:v>
      </x:c>
      <x:c r="B369" s="28" t="n">
        <x:f>Match_Data!B369</x:f>
        <x:v>0</x:v>
      </x:c>
      <x:c r="C369" t="n">
        <x:f>Match_Data!C369</x:f>
        <x:v>0</x:v>
      </x:c>
      <x:c r="D369" t="n">
        <x:f>Match_Data!E369</x:f>
        <x:v>0</x:v>
      </x:c>
      <x:c r="E369" t="n">
        <x:f>Match_Data!F369</x:f>
        <x:v>0</x:v>
      </x:c>
      <x:c r="F369" t="n">
        <x:f>Match_Data!AC369</x:f>
        <x:v>0</x:v>
      </x:c>
      <x:c r="G369" t="str">
        <x:f>IF(OR(Match_Data!K369="",Match_Data!L369=""),"",AVERAGE(Match_Data!K369:L369))</x:f>
      </x:c>
      <x:c r="H369" t="str">
        <x:f>IF(OR(Match_Data!M369="",Match_Data!N369=""),"",AVERAGE(Match_Data!M369:N369))</x:f>
      </x:c>
      <x:c r="I369" t="str">
        <x:f>IF(OR(Match_Data!O369="",Match_Data!Q369=""),"",Match_Data!O369+Match_Data!Q369)</x:f>
      </x:c>
      <x:c r="J369" t="str">
        <x:f>IF(OR(Match_Data!P369="",Match_Data!R369=""),"",Match_Data!P369+Match_Data!R369)</x:f>
      </x:c>
      <x:c r="K369" t="str">
        <x:f>IF(OR(Match_Data!S369="",Match_Data!T369=""),"",Match_Data!S369+Match_Data!T369)</x:f>
      </x:c>
      <x:c r="L369" t="str">
        <x:f>IF(OR(Match_Data!U369="",Match_Data!V369=""),"",Match_Data!U369-Match_Data!V369)</x:f>
      </x:c>
      <x:c r="M369" s="32" t="str">
        <x:f>IF(Match_Data!Y369="","",1/Match_Data!Y369)</x:f>
      </x:c>
      <x:c r="N369" s="32" t="str">
        <x:f>IF(Match_Data!AA369="","",1/Match_Data!AA369)</x:f>
      </x:c>
      <x:c r="O369" s="32" t="str">
        <x:f>IF(OR(M369="",N369=""),"",N369-M369)</x:f>
      </x:c>
      <x:c r="P369" t="str">
        <x:f>IF(Match_Data!J369="","",IF(Match_Data!J369="OVER",1,0))</x:f>
      </x:c>
    </x:row>
    <x:row r="370">
      <x:c r="A370" t="n">
        <x:f>Match_Data!A370</x:f>
        <x:v>0</x:v>
      </x:c>
      <x:c r="B370" s="28" t="n">
        <x:f>Match_Data!B370</x:f>
        <x:v>0</x:v>
      </x:c>
      <x:c r="C370" t="n">
        <x:f>Match_Data!C370</x:f>
        <x:v>0</x:v>
      </x:c>
      <x:c r="D370" t="n">
        <x:f>Match_Data!E370</x:f>
        <x:v>0</x:v>
      </x:c>
      <x:c r="E370" t="n">
        <x:f>Match_Data!F370</x:f>
        <x:v>0</x:v>
      </x:c>
      <x:c r="F370" t="n">
        <x:f>Match_Data!AC370</x:f>
        <x:v>0</x:v>
      </x:c>
      <x:c r="G370" t="str">
        <x:f>IF(OR(Match_Data!K370="",Match_Data!L370=""),"",AVERAGE(Match_Data!K370:L370))</x:f>
      </x:c>
      <x:c r="H370" t="str">
        <x:f>IF(OR(Match_Data!M370="",Match_Data!N370=""),"",AVERAGE(Match_Data!M370:N370))</x:f>
      </x:c>
      <x:c r="I370" t="str">
        <x:f>IF(OR(Match_Data!O370="",Match_Data!Q370=""),"",Match_Data!O370+Match_Data!Q370)</x:f>
      </x:c>
      <x:c r="J370" t="str">
        <x:f>IF(OR(Match_Data!P370="",Match_Data!R370=""),"",Match_Data!P370+Match_Data!R370)</x:f>
      </x:c>
      <x:c r="K370" t="str">
        <x:f>IF(OR(Match_Data!S370="",Match_Data!T370=""),"",Match_Data!S370+Match_Data!T370)</x:f>
      </x:c>
      <x:c r="L370" t="str">
        <x:f>IF(OR(Match_Data!U370="",Match_Data!V370=""),"",Match_Data!U370-Match_Data!V370)</x:f>
      </x:c>
      <x:c r="M370" s="32" t="str">
        <x:f>IF(Match_Data!Y370="","",1/Match_Data!Y370)</x:f>
      </x:c>
      <x:c r="N370" s="32" t="str">
        <x:f>IF(Match_Data!AA370="","",1/Match_Data!AA370)</x:f>
      </x:c>
      <x:c r="O370" s="32" t="str">
        <x:f>IF(OR(M370="",N370=""),"",N370-M370)</x:f>
      </x:c>
      <x:c r="P370" t="str">
        <x:f>IF(Match_Data!J370="","",IF(Match_Data!J370="OVER",1,0))</x:f>
      </x:c>
    </x:row>
    <x:row r="371">
      <x:c r="A371" t="n">
        <x:f>Match_Data!A371</x:f>
        <x:v>0</x:v>
      </x:c>
      <x:c r="B371" s="28" t="n">
        <x:f>Match_Data!B371</x:f>
        <x:v>0</x:v>
      </x:c>
      <x:c r="C371" t="n">
        <x:f>Match_Data!C371</x:f>
        <x:v>0</x:v>
      </x:c>
      <x:c r="D371" t="n">
        <x:f>Match_Data!E371</x:f>
        <x:v>0</x:v>
      </x:c>
      <x:c r="E371" t="n">
        <x:f>Match_Data!F371</x:f>
        <x:v>0</x:v>
      </x:c>
      <x:c r="F371" t="n">
        <x:f>Match_Data!AC371</x:f>
        <x:v>0</x:v>
      </x:c>
      <x:c r="G371" t="str">
        <x:f>IF(OR(Match_Data!K371="",Match_Data!L371=""),"",AVERAGE(Match_Data!K371:L371))</x:f>
      </x:c>
      <x:c r="H371" t="str">
        <x:f>IF(OR(Match_Data!M371="",Match_Data!N371=""),"",AVERAGE(Match_Data!M371:N371))</x:f>
      </x:c>
      <x:c r="I371" t="str">
        <x:f>IF(OR(Match_Data!O371="",Match_Data!Q371=""),"",Match_Data!O371+Match_Data!Q371)</x:f>
      </x:c>
      <x:c r="J371" t="str">
        <x:f>IF(OR(Match_Data!P371="",Match_Data!R371=""),"",Match_Data!P371+Match_Data!R371)</x:f>
      </x:c>
      <x:c r="K371" t="str">
        <x:f>IF(OR(Match_Data!S371="",Match_Data!T371=""),"",Match_Data!S371+Match_Data!T371)</x:f>
      </x:c>
      <x:c r="L371" t="str">
        <x:f>IF(OR(Match_Data!U371="",Match_Data!V371=""),"",Match_Data!U371-Match_Data!V371)</x:f>
      </x:c>
      <x:c r="M371" s="32" t="str">
        <x:f>IF(Match_Data!Y371="","",1/Match_Data!Y371)</x:f>
      </x:c>
      <x:c r="N371" s="32" t="str">
        <x:f>IF(Match_Data!AA371="","",1/Match_Data!AA371)</x:f>
      </x:c>
      <x:c r="O371" s="32" t="str">
        <x:f>IF(OR(M371="",N371=""),"",N371-M371)</x:f>
      </x:c>
      <x:c r="P371" t="str">
        <x:f>IF(Match_Data!J371="","",IF(Match_Data!J371="OVER",1,0))</x:f>
      </x:c>
    </x:row>
    <x:row r="372">
      <x:c r="A372" t="n">
        <x:f>Match_Data!A372</x:f>
        <x:v>0</x:v>
      </x:c>
      <x:c r="B372" s="28" t="n">
        <x:f>Match_Data!B372</x:f>
        <x:v>0</x:v>
      </x:c>
      <x:c r="C372" t="n">
        <x:f>Match_Data!C372</x:f>
        <x:v>0</x:v>
      </x:c>
      <x:c r="D372" t="n">
        <x:f>Match_Data!E372</x:f>
        <x:v>0</x:v>
      </x:c>
      <x:c r="E372" t="n">
        <x:f>Match_Data!F372</x:f>
        <x:v>0</x:v>
      </x:c>
      <x:c r="F372" t="n">
        <x:f>Match_Data!AC372</x:f>
        <x:v>0</x:v>
      </x:c>
      <x:c r="G372" t="str">
        <x:f>IF(OR(Match_Data!K372="",Match_Data!L372=""),"",AVERAGE(Match_Data!K372:L372))</x:f>
      </x:c>
      <x:c r="H372" t="str">
        <x:f>IF(OR(Match_Data!M372="",Match_Data!N372=""),"",AVERAGE(Match_Data!M372:N372))</x:f>
      </x:c>
      <x:c r="I372" t="str">
        <x:f>IF(OR(Match_Data!O372="",Match_Data!Q372=""),"",Match_Data!O372+Match_Data!Q372)</x:f>
      </x:c>
      <x:c r="J372" t="str">
        <x:f>IF(OR(Match_Data!P372="",Match_Data!R372=""),"",Match_Data!P372+Match_Data!R372)</x:f>
      </x:c>
      <x:c r="K372" t="str">
        <x:f>IF(OR(Match_Data!S372="",Match_Data!T372=""),"",Match_Data!S372+Match_Data!T372)</x:f>
      </x:c>
      <x:c r="L372" t="str">
        <x:f>IF(OR(Match_Data!U372="",Match_Data!V372=""),"",Match_Data!U372-Match_Data!V372)</x:f>
      </x:c>
      <x:c r="M372" s="32" t="str">
        <x:f>IF(Match_Data!Y372="","",1/Match_Data!Y372)</x:f>
      </x:c>
      <x:c r="N372" s="32" t="str">
        <x:f>IF(Match_Data!AA372="","",1/Match_Data!AA372)</x:f>
      </x:c>
      <x:c r="O372" s="32" t="str">
        <x:f>IF(OR(M372="",N372=""),"",N372-M372)</x:f>
      </x:c>
      <x:c r="P372" t="str">
        <x:f>IF(Match_Data!J372="","",IF(Match_Data!J372="OVER",1,0))</x:f>
      </x:c>
    </x:row>
    <x:row r="373">
      <x:c r="A373" t="n">
        <x:f>Match_Data!A373</x:f>
        <x:v>0</x:v>
      </x:c>
      <x:c r="B373" s="28" t="n">
        <x:f>Match_Data!B373</x:f>
        <x:v>0</x:v>
      </x:c>
      <x:c r="C373" t="n">
        <x:f>Match_Data!C373</x:f>
        <x:v>0</x:v>
      </x:c>
      <x:c r="D373" t="n">
        <x:f>Match_Data!E373</x:f>
        <x:v>0</x:v>
      </x:c>
      <x:c r="E373" t="n">
        <x:f>Match_Data!F373</x:f>
        <x:v>0</x:v>
      </x:c>
      <x:c r="F373" t="n">
        <x:f>Match_Data!AC373</x:f>
        <x:v>0</x:v>
      </x:c>
      <x:c r="G373" t="str">
        <x:f>IF(OR(Match_Data!K373="",Match_Data!L373=""),"",AVERAGE(Match_Data!K373:L373))</x:f>
      </x:c>
      <x:c r="H373" t="str">
        <x:f>IF(OR(Match_Data!M373="",Match_Data!N373=""),"",AVERAGE(Match_Data!M373:N373))</x:f>
      </x:c>
      <x:c r="I373" t="str">
        <x:f>IF(OR(Match_Data!O373="",Match_Data!Q373=""),"",Match_Data!O373+Match_Data!Q373)</x:f>
      </x:c>
      <x:c r="J373" t="str">
        <x:f>IF(OR(Match_Data!P373="",Match_Data!R373=""),"",Match_Data!P373+Match_Data!R373)</x:f>
      </x:c>
      <x:c r="K373" t="str">
        <x:f>IF(OR(Match_Data!S373="",Match_Data!T373=""),"",Match_Data!S373+Match_Data!T373)</x:f>
      </x:c>
      <x:c r="L373" t="str">
        <x:f>IF(OR(Match_Data!U373="",Match_Data!V373=""),"",Match_Data!U373-Match_Data!V373)</x:f>
      </x:c>
      <x:c r="M373" s="32" t="str">
        <x:f>IF(Match_Data!Y373="","",1/Match_Data!Y373)</x:f>
      </x:c>
      <x:c r="N373" s="32" t="str">
        <x:f>IF(Match_Data!AA373="","",1/Match_Data!AA373)</x:f>
      </x:c>
      <x:c r="O373" s="32" t="str">
        <x:f>IF(OR(M373="",N373=""),"",N373-M373)</x:f>
      </x:c>
      <x:c r="P373" t="str">
        <x:f>IF(Match_Data!J373="","",IF(Match_Data!J373="OVER",1,0))</x:f>
      </x:c>
    </x:row>
    <x:row r="374">
      <x:c r="A374" t="n">
        <x:f>Match_Data!A374</x:f>
        <x:v>0</x:v>
      </x:c>
      <x:c r="B374" s="28" t="n">
        <x:f>Match_Data!B374</x:f>
        <x:v>0</x:v>
      </x:c>
      <x:c r="C374" t="n">
        <x:f>Match_Data!C374</x:f>
        <x:v>0</x:v>
      </x:c>
      <x:c r="D374" t="n">
        <x:f>Match_Data!E374</x:f>
        <x:v>0</x:v>
      </x:c>
      <x:c r="E374" t="n">
        <x:f>Match_Data!F374</x:f>
        <x:v>0</x:v>
      </x:c>
      <x:c r="F374" t="n">
        <x:f>Match_Data!AC374</x:f>
        <x:v>0</x:v>
      </x:c>
      <x:c r="G374" t="str">
        <x:f>IF(OR(Match_Data!K374="",Match_Data!L374=""),"",AVERAGE(Match_Data!K374:L374))</x:f>
      </x:c>
      <x:c r="H374" t="str">
        <x:f>IF(OR(Match_Data!M374="",Match_Data!N374=""),"",AVERAGE(Match_Data!M374:N374))</x:f>
      </x:c>
      <x:c r="I374" t="str">
        <x:f>IF(OR(Match_Data!O374="",Match_Data!Q374=""),"",Match_Data!O374+Match_Data!Q374)</x:f>
      </x:c>
      <x:c r="J374" t="str">
        <x:f>IF(OR(Match_Data!P374="",Match_Data!R374=""),"",Match_Data!P374+Match_Data!R374)</x:f>
      </x:c>
      <x:c r="K374" t="str">
        <x:f>IF(OR(Match_Data!S374="",Match_Data!T374=""),"",Match_Data!S374+Match_Data!T374)</x:f>
      </x:c>
      <x:c r="L374" t="str">
        <x:f>IF(OR(Match_Data!U374="",Match_Data!V374=""),"",Match_Data!U374-Match_Data!V374)</x:f>
      </x:c>
      <x:c r="M374" s="32" t="str">
        <x:f>IF(Match_Data!Y374="","",1/Match_Data!Y374)</x:f>
      </x:c>
      <x:c r="N374" s="32" t="str">
        <x:f>IF(Match_Data!AA374="","",1/Match_Data!AA374)</x:f>
      </x:c>
      <x:c r="O374" s="32" t="str">
        <x:f>IF(OR(M374="",N374=""),"",N374-M374)</x:f>
      </x:c>
      <x:c r="P374" t="str">
        <x:f>IF(Match_Data!J374="","",IF(Match_Data!J374="OVER",1,0))</x:f>
      </x:c>
    </x:row>
    <x:row r="375">
      <x:c r="A375" t="n">
        <x:f>Match_Data!A375</x:f>
        <x:v>0</x:v>
      </x:c>
      <x:c r="B375" s="28" t="n">
        <x:f>Match_Data!B375</x:f>
        <x:v>0</x:v>
      </x:c>
      <x:c r="C375" t="n">
        <x:f>Match_Data!C375</x:f>
        <x:v>0</x:v>
      </x:c>
      <x:c r="D375" t="n">
        <x:f>Match_Data!E375</x:f>
        <x:v>0</x:v>
      </x:c>
      <x:c r="E375" t="n">
        <x:f>Match_Data!F375</x:f>
        <x:v>0</x:v>
      </x:c>
      <x:c r="F375" t="n">
        <x:f>Match_Data!AC375</x:f>
        <x:v>0</x:v>
      </x:c>
      <x:c r="G375" t="str">
        <x:f>IF(OR(Match_Data!K375="",Match_Data!L375=""),"",AVERAGE(Match_Data!K375:L375))</x:f>
      </x:c>
      <x:c r="H375" t="str">
        <x:f>IF(OR(Match_Data!M375="",Match_Data!N375=""),"",AVERAGE(Match_Data!M375:N375))</x:f>
      </x:c>
      <x:c r="I375" t="str">
        <x:f>IF(OR(Match_Data!O375="",Match_Data!Q375=""),"",Match_Data!O375+Match_Data!Q375)</x:f>
      </x:c>
      <x:c r="J375" t="str">
        <x:f>IF(OR(Match_Data!P375="",Match_Data!R375=""),"",Match_Data!P375+Match_Data!R375)</x:f>
      </x:c>
      <x:c r="K375" t="str">
        <x:f>IF(OR(Match_Data!S375="",Match_Data!T375=""),"",Match_Data!S375+Match_Data!T375)</x:f>
      </x:c>
      <x:c r="L375" t="str">
        <x:f>IF(OR(Match_Data!U375="",Match_Data!V375=""),"",Match_Data!U375-Match_Data!V375)</x:f>
      </x:c>
      <x:c r="M375" s="32" t="str">
        <x:f>IF(Match_Data!Y375="","",1/Match_Data!Y375)</x:f>
      </x:c>
      <x:c r="N375" s="32" t="str">
        <x:f>IF(Match_Data!AA375="","",1/Match_Data!AA375)</x:f>
      </x:c>
      <x:c r="O375" s="32" t="str">
        <x:f>IF(OR(M375="",N375=""),"",N375-M375)</x:f>
      </x:c>
      <x:c r="P375" t="str">
        <x:f>IF(Match_Data!J375="","",IF(Match_Data!J375="OVER",1,0))</x:f>
      </x:c>
    </x:row>
    <x:row r="376">
      <x:c r="A376" t="n">
        <x:f>Match_Data!A376</x:f>
        <x:v>0</x:v>
      </x:c>
      <x:c r="B376" s="28" t="n">
        <x:f>Match_Data!B376</x:f>
        <x:v>0</x:v>
      </x:c>
      <x:c r="C376" t="n">
        <x:f>Match_Data!C376</x:f>
        <x:v>0</x:v>
      </x:c>
      <x:c r="D376" t="n">
        <x:f>Match_Data!E376</x:f>
        <x:v>0</x:v>
      </x:c>
      <x:c r="E376" t="n">
        <x:f>Match_Data!F376</x:f>
        <x:v>0</x:v>
      </x:c>
      <x:c r="F376" t="n">
        <x:f>Match_Data!AC376</x:f>
        <x:v>0</x:v>
      </x:c>
      <x:c r="G376" t="str">
        <x:f>IF(OR(Match_Data!K376="",Match_Data!L376=""),"",AVERAGE(Match_Data!K376:L376))</x:f>
      </x:c>
      <x:c r="H376" t="str">
        <x:f>IF(OR(Match_Data!M376="",Match_Data!N376=""),"",AVERAGE(Match_Data!M376:N376))</x:f>
      </x:c>
      <x:c r="I376" t="str">
        <x:f>IF(OR(Match_Data!O376="",Match_Data!Q376=""),"",Match_Data!O376+Match_Data!Q376)</x:f>
      </x:c>
      <x:c r="J376" t="str">
        <x:f>IF(OR(Match_Data!P376="",Match_Data!R376=""),"",Match_Data!P376+Match_Data!R376)</x:f>
      </x:c>
      <x:c r="K376" t="str">
        <x:f>IF(OR(Match_Data!S376="",Match_Data!T376=""),"",Match_Data!S376+Match_Data!T376)</x:f>
      </x:c>
      <x:c r="L376" t="str">
        <x:f>IF(OR(Match_Data!U376="",Match_Data!V376=""),"",Match_Data!U376-Match_Data!V376)</x:f>
      </x:c>
      <x:c r="M376" s="32" t="str">
        <x:f>IF(Match_Data!Y376="","",1/Match_Data!Y376)</x:f>
      </x:c>
      <x:c r="N376" s="32" t="str">
        <x:f>IF(Match_Data!AA376="","",1/Match_Data!AA376)</x:f>
      </x:c>
      <x:c r="O376" s="32" t="str">
        <x:f>IF(OR(M376="",N376=""),"",N376-M376)</x:f>
      </x:c>
      <x:c r="P376" t="str">
        <x:f>IF(Match_Data!J376="","",IF(Match_Data!J376="OVER",1,0))</x:f>
      </x:c>
    </x:row>
    <x:row r="377">
      <x:c r="A377" t="n">
        <x:f>Match_Data!A377</x:f>
        <x:v>0</x:v>
      </x:c>
      <x:c r="B377" s="28" t="n">
        <x:f>Match_Data!B377</x:f>
        <x:v>0</x:v>
      </x:c>
      <x:c r="C377" t="n">
        <x:f>Match_Data!C377</x:f>
        <x:v>0</x:v>
      </x:c>
      <x:c r="D377" t="n">
        <x:f>Match_Data!E377</x:f>
        <x:v>0</x:v>
      </x:c>
      <x:c r="E377" t="n">
        <x:f>Match_Data!F377</x:f>
        <x:v>0</x:v>
      </x:c>
      <x:c r="F377" t="n">
        <x:f>Match_Data!AC377</x:f>
        <x:v>0</x:v>
      </x:c>
      <x:c r="G377" t="str">
        <x:f>IF(OR(Match_Data!K377="",Match_Data!L377=""),"",AVERAGE(Match_Data!K377:L377))</x:f>
      </x:c>
      <x:c r="H377" t="str">
        <x:f>IF(OR(Match_Data!M377="",Match_Data!N377=""),"",AVERAGE(Match_Data!M377:N377))</x:f>
      </x:c>
      <x:c r="I377" t="str">
        <x:f>IF(OR(Match_Data!O377="",Match_Data!Q377=""),"",Match_Data!O377+Match_Data!Q377)</x:f>
      </x:c>
      <x:c r="J377" t="str">
        <x:f>IF(OR(Match_Data!P377="",Match_Data!R377=""),"",Match_Data!P377+Match_Data!R377)</x:f>
      </x:c>
      <x:c r="K377" t="str">
        <x:f>IF(OR(Match_Data!S377="",Match_Data!T377=""),"",Match_Data!S377+Match_Data!T377)</x:f>
      </x:c>
      <x:c r="L377" t="str">
        <x:f>IF(OR(Match_Data!U377="",Match_Data!V377=""),"",Match_Data!U377-Match_Data!V377)</x:f>
      </x:c>
      <x:c r="M377" s="32" t="str">
        <x:f>IF(Match_Data!Y377="","",1/Match_Data!Y377)</x:f>
      </x:c>
      <x:c r="N377" s="32" t="str">
        <x:f>IF(Match_Data!AA377="","",1/Match_Data!AA377)</x:f>
      </x:c>
      <x:c r="O377" s="32" t="str">
        <x:f>IF(OR(M377="",N377=""),"",N377-M377)</x:f>
      </x:c>
      <x:c r="P377" t="str">
        <x:f>IF(Match_Data!J377="","",IF(Match_Data!J377="OVER",1,0))</x:f>
      </x:c>
    </x:row>
    <x:row r="378">
      <x:c r="A378" t="n">
        <x:f>Match_Data!A378</x:f>
        <x:v>0</x:v>
      </x:c>
      <x:c r="B378" s="28" t="n">
        <x:f>Match_Data!B378</x:f>
        <x:v>0</x:v>
      </x:c>
      <x:c r="C378" t="n">
        <x:f>Match_Data!C378</x:f>
        <x:v>0</x:v>
      </x:c>
      <x:c r="D378" t="n">
        <x:f>Match_Data!E378</x:f>
        <x:v>0</x:v>
      </x:c>
      <x:c r="E378" t="n">
        <x:f>Match_Data!F378</x:f>
        <x:v>0</x:v>
      </x:c>
      <x:c r="F378" t="n">
        <x:f>Match_Data!AC378</x:f>
        <x:v>0</x:v>
      </x:c>
      <x:c r="G378" t="str">
        <x:f>IF(OR(Match_Data!K378="",Match_Data!L378=""),"",AVERAGE(Match_Data!K378:L378))</x:f>
      </x:c>
      <x:c r="H378" t="str">
        <x:f>IF(OR(Match_Data!M378="",Match_Data!N378=""),"",AVERAGE(Match_Data!M378:N378))</x:f>
      </x:c>
      <x:c r="I378" t="str">
        <x:f>IF(OR(Match_Data!O378="",Match_Data!Q378=""),"",Match_Data!O378+Match_Data!Q378)</x:f>
      </x:c>
      <x:c r="J378" t="str">
        <x:f>IF(OR(Match_Data!P378="",Match_Data!R378=""),"",Match_Data!P378+Match_Data!R378)</x:f>
      </x:c>
      <x:c r="K378" t="str">
        <x:f>IF(OR(Match_Data!S378="",Match_Data!T378=""),"",Match_Data!S378+Match_Data!T378)</x:f>
      </x:c>
      <x:c r="L378" t="str">
        <x:f>IF(OR(Match_Data!U378="",Match_Data!V378=""),"",Match_Data!U378-Match_Data!V378)</x:f>
      </x:c>
      <x:c r="M378" s="32" t="str">
        <x:f>IF(Match_Data!Y378="","",1/Match_Data!Y378)</x:f>
      </x:c>
      <x:c r="N378" s="32" t="str">
        <x:f>IF(Match_Data!AA378="","",1/Match_Data!AA378)</x:f>
      </x:c>
      <x:c r="O378" s="32" t="str">
        <x:f>IF(OR(M378="",N378=""),"",N378-M378)</x:f>
      </x:c>
      <x:c r="P378" t="str">
        <x:f>IF(Match_Data!J378="","",IF(Match_Data!J378="OVER",1,0))</x:f>
      </x:c>
    </x:row>
    <x:row r="379">
      <x:c r="A379" t="n">
        <x:f>Match_Data!A379</x:f>
        <x:v>0</x:v>
      </x:c>
      <x:c r="B379" s="28" t="n">
        <x:f>Match_Data!B379</x:f>
        <x:v>0</x:v>
      </x:c>
      <x:c r="C379" t="n">
        <x:f>Match_Data!C379</x:f>
        <x:v>0</x:v>
      </x:c>
      <x:c r="D379" t="n">
        <x:f>Match_Data!E379</x:f>
        <x:v>0</x:v>
      </x:c>
      <x:c r="E379" t="n">
        <x:f>Match_Data!F379</x:f>
        <x:v>0</x:v>
      </x:c>
      <x:c r="F379" t="n">
        <x:f>Match_Data!AC379</x:f>
        <x:v>0</x:v>
      </x:c>
      <x:c r="G379" t="str">
        <x:f>IF(OR(Match_Data!K379="",Match_Data!L379=""),"",AVERAGE(Match_Data!K379:L379))</x:f>
      </x:c>
      <x:c r="H379" t="str">
        <x:f>IF(OR(Match_Data!M379="",Match_Data!N379=""),"",AVERAGE(Match_Data!M379:N379))</x:f>
      </x:c>
      <x:c r="I379" t="str">
        <x:f>IF(OR(Match_Data!O379="",Match_Data!Q379=""),"",Match_Data!O379+Match_Data!Q379)</x:f>
      </x:c>
      <x:c r="J379" t="str">
        <x:f>IF(OR(Match_Data!P379="",Match_Data!R379=""),"",Match_Data!P379+Match_Data!R379)</x:f>
      </x:c>
      <x:c r="K379" t="str">
        <x:f>IF(OR(Match_Data!S379="",Match_Data!T379=""),"",Match_Data!S379+Match_Data!T379)</x:f>
      </x:c>
      <x:c r="L379" t="str">
        <x:f>IF(OR(Match_Data!U379="",Match_Data!V379=""),"",Match_Data!U379-Match_Data!V379)</x:f>
      </x:c>
      <x:c r="M379" s="32" t="str">
        <x:f>IF(Match_Data!Y379="","",1/Match_Data!Y379)</x:f>
      </x:c>
      <x:c r="N379" s="32" t="str">
        <x:f>IF(Match_Data!AA379="","",1/Match_Data!AA379)</x:f>
      </x:c>
      <x:c r="O379" s="32" t="str">
        <x:f>IF(OR(M379="",N379=""),"",N379-M379)</x:f>
      </x:c>
      <x:c r="P379" t="str">
        <x:f>IF(Match_Data!J379="","",IF(Match_Data!J379="OVER",1,0))</x:f>
      </x:c>
    </x:row>
    <x:row r="380">
      <x:c r="A380" t="n">
        <x:f>Match_Data!A380</x:f>
        <x:v>0</x:v>
      </x:c>
      <x:c r="B380" s="28" t="n">
        <x:f>Match_Data!B380</x:f>
        <x:v>0</x:v>
      </x:c>
      <x:c r="C380" t="n">
        <x:f>Match_Data!C380</x:f>
        <x:v>0</x:v>
      </x:c>
      <x:c r="D380" t="n">
        <x:f>Match_Data!E380</x:f>
        <x:v>0</x:v>
      </x:c>
      <x:c r="E380" t="n">
        <x:f>Match_Data!F380</x:f>
        <x:v>0</x:v>
      </x:c>
      <x:c r="F380" t="n">
        <x:f>Match_Data!AC380</x:f>
        <x:v>0</x:v>
      </x:c>
      <x:c r="G380" t="str">
        <x:f>IF(OR(Match_Data!K380="",Match_Data!L380=""),"",AVERAGE(Match_Data!K380:L380))</x:f>
      </x:c>
      <x:c r="H380" t="str">
        <x:f>IF(OR(Match_Data!M380="",Match_Data!N380=""),"",AVERAGE(Match_Data!M380:N380))</x:f>
      </x:c>
      <x:c r="I380" t="str">
        <x:f>IF(OR(Match_Data!O380="",Match_Data!Q380=""),"",Match_Data!O380+Match_Data!Q380)</x:f>
      </x:c>
      <x:c r="J380" t="str">
        <x:f>IF(OR(Match_Data!P380="",Match_Data!R380=""),"",Match_Data!P380+Match_Data!R380)</x:f>
      </x:c>
      <x:c r="K380" t="str">
        <x:f>IF(OR(Match_Data!S380="",Match_Data!T380=""),"",Match_Data!S380+Match_Data!T380)</x:f>
      </x:c>
      <x:c r="L380" t="str">
        <x:f>IF(OR(Match_Data!U380="",Match_Data!V380=""),"",Match_Data!U380-Match_Data!V380)</x:f>
      </x:c>
      <x:c r="M380" s="32" t="str">
        <x:f>IF(Match_Data!Y380="","",1/Match_Data!Y380)</x:f>
      </x:c>
      <x:c r="N380" s="32" t="str">
        <x:f>IF(Match_Data!AA380="","",1/Match_Data!AA380)</x:f>
      </x:c>
      <x:c r="O380" s="32" t="str">
        <x:f>IF(OR(M380="",N380=""),"",N380-M380)</x:f>
      </x:c>
      <x:c r="P380" t="str">
        <x:f>IF(Match_Data!J380="","",IF(Match_Data!J380="OVER",1,0))</x:f>
      </x:c>
    </x:row>
    <x:row r="381">
      <x:c r="A381" t="n">
        <x:f>Match_Data!A381</x:f>
        <x:v>0</x:v>
      </x:c>
      <x:c r="B381" s="28" t="n">
        <x:f>Match_Data!B381</x:f>
        <x:v>0</x:v>
      </x:c>
      <x:c r="C381" t="n">
        <x:f>Match_Data!C381</x:f>
        <x:v>0</x:v>
      </x:c>
      <x:c r="D381" t="n">
        <x:f>Match_Data!E381</x:f>
        <x:v>0</x:v>
      </x:c>
      <x:c r="E381" t="n">
        <x:f>Match_Data!F381</x:f>
        <x:v>0</x:v>
      </x:c>
      <x:c r="F381" t="n">
        <x:f>Match_Data!AC381</x:f>
        <x:v>0</x:v>
      </x:c>
      <x:c r="G381" t="str">
        <x:f>IF(OR(Match_Data!K381="",Match_Data!L381=""),"",AVERAGE(Match_Data!K381:L381))</x:f>
      </x:c>
      <x:c r="H381" t="str">
        <x:f>IF(OR(Match_Data!M381="",Match_Data!N381=""),"",AVERAGE(Match_Data!M381:N381))</x:f>
      </x:c>
      <x:c r="I381" t="str">
        <x:f>IF(OR(Match_Data!O381="",Match_Data!Q381=""),"",Match_Data!O381+Match_Data!Q381)</x:f>
      </x:c>
      <x:c r="J381" t="str">
        <x:f>IF(OR(Match_Data!P381="",Match_Data!R381=""),"",Match_Data!P381+Match_Data!R381)</x:f>
      </x:c>
      <x:c r="K381" t="str">
        <x:f>IF(OR(Match_Data!S381="",Match_Data!T381=""),"",Match_Data!S381+Match_Data!T381)</x:f>
      </x:c>
      <x:c r="L381" t="str">
        <x:f>IF(OR(Match_Data!U381="",Match_Data!V381=""),"",Match_Data!U381-Match_Data!V381)</x:f>
      </x:c>
      <x:c r="M381" s="32" t="str">
        <x:f>IF(Match_Data!Y381="","",1/Match_Data!Y381)</x:f>
      </x:c>
      <x:c r="N381" s="32" t="str">
        <x:f>IF(Match_Data!AA381="","",1/Match_Data!AA381)</x:f>
      </x:c>
      <x:c r="O381" s="32" t="str">
        <x:f>IF(OR(M381="",N381=""),"",N381-M381)</x:f>
      </x:c>
      <x:c r="P381" t="str">
        <x:f>IF(Match_Data!J381="","",IF(Match_Data!J381="OVER",1,0))</x:f>
      </x:c>
    </x:row>
    <x:row r="382">
      <x:c r="A382" t="n">
        <x:f>Match_Data!A382</x:f>
        <x:v>0</x:v>
      </x:c>
      <x:c r="B382" s="28" t="n">
        <x:f>Match_Data!B382</x:f>
        <x:v>0</x:v>
      </x:c>
      <x:c r="C382" t="n">
        <x:f>Match_Data!C382</x:f>
        <x:v>0</x:v>
      </x:c>
      <x:c r="D382" t="n">
        <x:f>Match_Data!E382</x:f>
        <x:v>0</x:v>
      </x:c>
      <x:c r="E382" t="n">
        <x:f>Match_Data!F382</x:f>
        <x:v>0</x:v>
      </x:c>
      <x:c r="F382" t="n">
        <x:f>Match_Data!AC382</x:f>
        <x:v>0</x:v>
      </x:c>
      <x:c r="G382" t="str">
        <x:f>IF(OR(Match_Data!K382="",Match_Data!L382=""),"",AVERAGE(Match_Data!K382:L382))</x:f>
      </x:c>
      <x:c r="H382" t="str">
        <x:f>IF(OR(Match_Data!M382="",Match_Data!N382=""),"",AVERAGE(Match_Data!M382:N382))</x:f>
      </x:c>
      <x:c r="I382" t="str">
        <x:f>IF(OR(Match_Data!O382="",Match_Data!Q382=""),"",Match_Data!O382+Match_Data!Q382)</x:f>
      </x:c>
      <x:c r="J382" t="str">
        <x:f>IF(OR(Match_Data!P382="",Match_Data!R382=""),"",Match_Data!P382+Match_Data!R382)</x:f>
      </x:c>
      <x:c r="K382" t="str">
        <x:f>IF(OR(Match_Data!S382="",Match_Data!T382=""),"",Match_Data!S382+Match_Data!T382)</x:f>
      </x:c>
      <x:c r="L382" t="str">
        <x:f>IF(OR(Match_Data!U382="",Match_Data!V382=""),"",Match_Data!U382-Match_Data!V382)</x:f>
      </x:c>
      <x:c r="M382" s="32" t="str">
        <x:f>IF(Match_Data!Y382="","",1/Match_Data!Y382)</x:f>
      </x:c>
      <x:c r="N382" s="32" t="str">
        <x:f>IF(Match_Data!AA382="","",1/Match_Data!AA382)</x:f>
      </x:c>
      <x:c r="O382" s="32" t="str">
        <x:f>IF(OR(M382="",N382=""),"",N382-M382)</x:f>
      </x:c>
      <x:c r="P382" t="str">
        <x:f>IF(Match_Data!J382="","",IF(Match_Data!J382="OVER",1,0))</x:f>
      </x:c>
    </x:row>
    <x:row r="383">
      <x:c r="A383" t="n">
        <x:f>Match_Data!A383</x:f>
        <x:v>0</x:v>
      </x:c>
      <x:c r="B383" s="28" t="n">
        <x:f>Match_Data!B383</x:f>
        <x:v>0</x:v>
      </x:c>
      <x:c r="C383" t="n">
        <x:f>Match_Data!C383</x:f>
        <x:v>0</x:v>
      </x:c>
      <x:c r="D383" t="n">
        <x:f>Match_Data!E383</x:f>
        <x:v>0</x:v>
      </x:c>
      <x:c r="E383" t="n">
        <x:f>Match_Data!F383</x:f>
        <x:v>0</x:v>
      </x:c>
      <x:c r="F383" t="n">
        <x:f>Match_Data!AC383</x:f>
        <x:v>0</x:v>
      </x:c>
      <x:c r="G383" t="str">
        <x:f>IF(OR(Match_Data!K383="",Match_Data!L383=""),"",AVERAGE(Match_Data!K383:L383))</x:f>
      </x:c>
      <x:c r="H383" t="str">
        <x:f>IF(OR(Match_Data!M383="",Match_Data!N383=""),"",AVERAGE(Match_Data!M383:N383))</x:f>
      </x:c>
      <x:c r="I383" t="str">
        <x:f>IF(OR(Match_Data!O383="",Match_Data!Q383=""),"",Match_Data!O383+Match_Data!Q383)</x:f>
      </x:c>
      <x:c r="J383" t="str">
        <x:f>IF(OR(Match_Data!P383="",Match_Data!R383=""),"",Match_Data!P383+Match_Data!R383)</x:f>
      </x:c>
      <x:c r="K383" t="str">
        <x:f>IF(OR(Match_Data!S383="",Match_Data!T383=""),"",Match_Data!S383+Match_Data!T383)</x:f>
      </x:c>
      <x:c r="L383" t="str">
        <x:f>IF(OR(Match_Data!U383="",Match_Data!V383=""),"",Match_Data!U383-Match_Data!V383)</x:f>
      </x:c>
      <x:c r="M383" s="32" t="str">
        <x:f>IF(Match_Data!Y383="","",1/Match_Data!Y383)</x:f>
      </x:c>
      <x:c r="N383" s="32" t="str">
        <x:f>IF(Match_Data!AA383="","",1/Match_Data!AA383)</x:f>
      </x:c>
      <x:c r="O383" s="32" t="str">
        <x:f>IF(OR(M383="",N383=""),"",N383-M383)</x:f>
      </x:c>
      <x:c r="P383" t="str">
        <x:f>IF(Match_Data!J383="","",IF(Match_Data!J383="OVER",1,0))</x:f>
      </x:c>
    </x:row>
    <x:row r="384">
      <x:c r="A384" t="n">
        <x:f>Match_Data!A384</x:f>
        <x:v>0</x:v>
      </x:c>
      <x:c r="B384" s="28" t="n">
        <x:f>Match_Data!B384</x:f>
        <x:v>0</x:v>
      </x:c>
      <x:c r="C384" t="n">
        <x:f>Match_Data!C384</x:f>
        <x:v>0</x:v>
      </x:c>
      <x:c r="D384" t="n">
        <x:f>Match_Data!E384</x:f>
        <x:v>0</x:v>
      </x:c>
      <x:c r="E384" t="n">
        <x:f>Match_Data!F384</x:f>
        <x:v>0</x:v>
      </x:c>
      <x:c r="F384" t="n">
        <x:f>Match_Data!AC384</x:f>
        <x:v>0</x:v>
      </x:c>
      <x:c r="G384" t="str">
        <x:f>IF(OR(Match_Data!K384="",Match_Data!L384=""),"",AVERAGE(Match_Data!K384:L384))</x:f>
      </x:c>
      <x:c r="H384" t="str">
        <x:f>IF(OR(Match_Data!M384="",Match_Data!N384=""),"",AVERAGE(Match_Data!M384:N384))</x:f>
      </x:c>
      <x:c r="I384" t="str">
        <x:f>IF(OR(Match_Data!O384="",Match_Data!Q384=""),"",Match_Data!O384+Match_Data!Q384)</x:f>
      </x:c>
      <x:c r="J384" t="str">
        <x:f>IF(OR(Match_Data!P384="",Match_Data!R384=""),"",Match_Data!P384+Match_Data!R384)</x:f>
      </x:c>
      <x:c r="K384" t="str">
        <x:f>IF(OR(Match_Data!S384="",Match_Data!T384=""),"",Match_Data!S384+Match_Data!T384)</x:f>
      </x:c>
      <x:c r="L384" t="str">
        <x:f>IF(OR(Match_Data!U384="",Match_Data!V384=""),"",Match_Data!U384-Match_Data!V384)</x:f>
      </x:c>
      <x:c r="M384" s="32" t="str">
        <x:f>IF(Match_Data!Y384="","",1/Match_Data!Y384)</x:f>
      </x:c>
      <x:c r="N384" s="32" t="str">
        <x:f>IF(Match_Data!AA384="","",1/Match_Data!AA384)</x:f>
      </x:c>
      <x:c r="O384" s="32" t="str">
        <x:f>IF(OR(M384="",N384=""),"",N384-M384)</x:f>
      </x:c>
      <x:c r="P384" t="str">
        <x:f>IF(Match_Data!J384="","",IF(Match_Data!J384="OVER",1,0))</x:f>
      </x:c>
    </x:row>
    <x:row r="385">
      <x:c r="A385" t="n">
        <x:f>Match_Data!A385</x:f>
        <x:v>0</x:v>
      </x:c>
      <x:c r="B385" s="28" t="n">
        <x:f>Match_Data!B385</x:f>
        <x:v>0</x:v>
      </x:c>
      <x:c r="C385" t="n">
        <x:f>Match_Data!C385</x:f>
        <x:v>0</x:v>
      </x:c>
      <x:c r="D385" t="n">
        <x:f>Match_Data!E385</x:f>
        <x:v>0</x:v>
      </x:c>
      <x:c r="E385" t="n">
        <x:f>Match_Data!F385</x:f>
        <x:v>0</x:v>
      </x:c>
      <x:c r="F385" t="n">
        <x:f>Match_Data!AC385</x:f>
        <x:v>0</x:v>
      </x:c>
      <x:c r="G385" t="str">
        <x:f>IF(OR(Match_Data!K385="",Match_Data!L385=""),"",AVERAGE(Match_Data!K385:L385))</x:f>
      </x:c>
      <x:c r="H385" t="str">
        <x:f>IF(OR(Match_Data!M385="",Match_Data!N385=""),"",AVERAGE(Match_Data!M385:N385))</x:f>
      </x:c>
      <x:c r="I385" t="str">
        <x:f>IF(OR(Match_Data!O385="",Match_Data!Q385=""),"",Match_Data!O385+Match_Data!Q385)</x:f>
      </x:c>
      <x:c r="J385" t="str">
        <x:f>IF(OR(Match_Data!P385="",Match_Data!R385=""),"",Match_Data!P385+Match_Data!R385)</x:f>
      </x:c>
      <x:c r="K385" t="str">
        <x:f>IF(OR(Match_Data!S385="",Match_Data!T385=""),"",Match_Data!S385+Match_Data!T385)</x:f>
      </x:c>
      <x:c r="L385" t="str">
        <x:f>IF(OR(Match_Data!U385="",Match_Data!V385=""),"",Match_Data!U385-Match_Data!V385)</x:f>
      </x:c>
      <x:c r="M385" s="32" t="str">
        <x:f>IF(Match_Data!Y385="","",1/Match_Data!Y385)</x:f>
      </x:c>
      <x:c r="N385" s="32" t="str">
        <x:f>IF(Match_Data!AA385="","",1/Match_Data!AA385)</x:f>
      </x:c>
      <x:c r="O385" s="32" t="str">
        <x:f>IF(OR(M385="",N385=""),"",N385-M385)</x:f>
      </x:c>
      <x:c r="P385" t="str">
        <x:f>IF(Match_Data!J385="","",IF(Match_Data!J385="OVER",1,0))</x:f>
      </x:c>
    </x:row>
    <x:row r="386">
      <x:c r="A386" t="n">
        <x:f>Match_Data!A386</x:f>
        <x:v>0</x:v>
      </x:c>
      <x:c r="B386" s="28" t="n">
        <x:f>Match_Data!B386</x:f>
        <x:v>0</x:v>
      </x:c>
      <x:c r="C386" t="n">
        <x:f>Match_Data!C386</x:f>
        <x:v>0</x:v>
      </x:c>
      <x:c r="D386" t="n">
        <x:f>Match_Data!E386</x:f>
        <x:v>0</x:v>
      </x:c>
      <x:c r="E386" t="n">
        <x:f>Match_Data!F386</x:f>
        <x:v>0</x:v>
      </x:c>
      <x:c r="F386" t="n">
        <x:f>Match_Data!AC386</x:f>
        <x:v>0</x:v>
      </x:c>
      <x:c r="G386" t="str">
        <x:f>IF(OR(Match_Data!K386="",Match_Data!L386=""),"",AVERAGE(Match_Data!K386:L386))</x:f>
      </x:c>
      <x:c r="H386" t="str">
        <x:f>IF(OR(Match_Data!M386="",Match_Data!N386=""),"",AVERAGE(Match_Data!M386:N386))</x:f>
      </x:c>
      <x:c r="I386" t="str">
        <x:f>IF(OR(Match_Data!O386="",Match_Data!Q386=""),"",Match_Data!O386+Match_Data!Q386)</x:f>
      </x:c>
      <x:c r="J386" t="str">
        <x:f>IF(OR(Match_Data!P386="",Match_Data!R386=""),"",Match_Data!P386+Match_Data!R386)</x:f>
      </x:c>
      <x:c r="K386" t="str">
        <x:f>IF(OR(Match_Data!S386="",Match_Data!T386=""),"",Match_Data!S386+Match_Data!T386)</x:f>
      </x:c>
      <x:c r="L386" t="str">
        <x:f>IF(OR(Match_Data!U386="",Match_Data!V386=""),"",Match_Data!U386-Match_Data!V386)</x:f>
      </x:c>
      <x:c r="M386" s="32" t="str">
        <x:f>IF(Match_Data!Y386="","",1/Match_Data!Y386)</x:f>
      </x:c>
      <x:c r="N386" s="32" t="str">
        <x:f>IF(Match_Data!AA386="","",1/Match_Data!AA386)</x:f>
      </x:c>
      <x:c r="O386" s="32" t="str">
        <x:f>IF(OR(M386="",N386=""),"",N386-M386)</x:f>
      </x:c>
      <x:c r="P386" t="str">
        <x:f>IF(Match_Data!J386="","",IF(Match_Data!J386="OVER",1,0))</x:f>
      </x:c>
    </x:row>
    <x:row r="387">
      <x:c r="A387" t="n">
        <x:f>Match_Data!A387</x:f>
        <x:v>0</x:v>
      </x:c>
      <x:c r="B387" s="28" t="n">
        <x:f>Match_Data!B387</x:f>
        <x:v>0</x:v>
      </x:c>
      <x:c r="C387" t="n">
        <x:f>Match_Data!C387</x:f>
        <x:v>0</x:v>
      </x:c>
      <x:c r="D387" t="n">
        <x:f>Match_Data!E387</x:f>
        <x:v>0</x:v>
      </x:c>
      <x:c r="E387" t="n">
        <x:f>Match_Data!F387</x:f>
        <x:v>0</x:v>
      </x:c>
      <x:c r="F387" t="n">
        <x:f>Match_Data!AC387</x:f>
        <x:v>0</x:v>
      </x:c>
      <x:c r="G387" t="str">
        <x:f>IF(OR(Match_Data!K387="",Match_Data!L387=""),"",AVERAGE(Match_Data!K387:L387))</x:f>
      </x:c>
      <x:c r="H387" t="str">
        <x:f>IF(OR(Match_Data!M387="",Match_Data!N387=""),"",AVERAGE(Match_Data!M387:N387))</x:f>
      </x:c>
      <x:c r="I387" t="str">
        <x:f>IF(OR(Match_Data!O387="",Match_Data!Q387=""),"",Match_Data!O387+Match_Data!Q387)</x:f>
      </x:c>
      <x:c r="J387" t="str">
        <x:f>IF(OR(Match_Data!P387="",Match_Data!R387=""),"",Match_Data!P387+Match_Data!R387)</x:f>
      </x:c>
      <x:c r="K387" t="str">
        <x:f>IF(OR(Match_Data!S387="",Match_Data!T387=""),"",Match_Data!S387+Match_Data!T387)</x:f>
      </x:c>
      <x:c r="L387" t="str">
        <x:f>IF(OR(Match_Data!U387="",Match_Data!V387=""),"",Match_Data!U387-Match_Data!V387)</x:f>
      </x:c>
      <x:c r="M387" s="32" t="str">
        <x:f>IF(Match_Data!Y387="","",1/Match_Data!Y387)</x:f>
      </x:c>
      <x:c r="N387" s="32" t="str">
        <x:f>IF(Match_Data!AA387="","",1/Match_Data!AA387)</x:f>
      </x:c>
      <x:c r="O387" s="32" t="str">
        <x:f>IF(OR(M387="",N387=""),"",N387-M387)</x:f>
      </x:c>
      <x:c r="P387" t="str">
        <x:f>IF(Match_Data!J387="","",IF(Match_Data!J387="OVER",1,0))</x:f>
      </x:c>
    </x:row>
    <x:row r="388">
      <x:c r="A388" t="n">
        <x:f>Match_Data!A388</x:f>
        <x:v>0</x:v>
      </x:c>
      <x:c r="B388" s="28" t="n">
        <x:f>Match_Data!B388</x:f>
        <x:v>0</x:v>
      </x:c>
      <x:c r="C388" t="n">
        <x:f>Match_Data!C388</x:f>
        <x:v>0</x:v>
      </x:c>
      <x:c r="D388" t="n">
        <x:f>Match_Data!E388</x:f>
        <x:v>0</x:v>
      </x:c>
      <x:c r="E388" t="n">
        <x:f>Match_Data!F388</x:f>
        <x:v>0</x:v>
      </x:c>
      <x:c r="F388" t="n">
        <x:f>Match_Data!AC388</x:f>
        <x:v>0</x:v>
      </x:c>
      <x:c r="G388" t="str">
        <x:f>IF(OR(Match_Data!K388="",Match_Data!L388=""),"",AVERAGE(Match_Data!K388:L388))</x:f>
      </x:c>
      <x:c r="H388" t="str">
        <x:f>IF(OR(Match_Data!M388="",Match_Data!N388=""),"",AVERAGE(Match_Data!M388:N388))</x:f>
      </x:c>
      <x:c r="I388" t="str">
        <x:f>IF(OR(Match_Data!O388="",Match_Data!Q388=""),"",Match_Data!O388+Match_Data!Q388)</x:f>
      </x:c>
      <x:c r="J388" t="str">
        <x:f>IF(OR(Match_Data!P388="",Match_Data!R388=""),"",Match_Data!P388+Match_Data!R388)</x:f>
      </x:c>
      <x:c r="K388" t="str">
        <x:f>IF(OR(Match_Data!S388="",Match_Data!T388=""),"",Match_Data!S388+Match_Data!T388)</x:f>
      </x:c>
      <x:c r="L388" t="str">
        <x:f>IF(OR(Match_Data!U388="",Match_Data!V388=""),"",Match_Data!U388-Match_Data!V388)</x:f>
      </x:c>
      <x:c r="M388" s="32" t="str">
        <x:f>IF(Match_Data!Y388="","",1/Match_Data!Y388)</x:f>
      </x:c>
      <x:c r="N388" s="32" t="str">
        <x:f>IF(Match_Data!AA388="","",1/Match_Data!AA388)</x:f>
      </x:c>
      <x:c r="O388" s="32" t="str">
        <x:f>IF(OR(M388="",N388=""),"",N388-M388)</x:f>
      </x:c>
      <x:c r="P388" t="str">
        <x:f>IF(Match_Data!J388="","",IF(Match_Data!J388="OVER",1,0))</x:f>
      </x:c>
    </x:row>
    <x:row r="389">
      <x:c r="A389" t="n">
        <x:f>Match_Data!A389</x:f>
        <x:v>0</x:v>
      </x:c>
      <x:c r="B389" s="28" t="n">
        <x:f>Match_Data!B389</x:f>
        <x:v>0</x:v>
      </x:c>
      <x:c r="C389" t="n">
        <x:f>Match_Data!C389</x:f>
        <x:v>0</x:v>
      </x:c>
      <x:c r="D389" t="n">
        <x:f>Match_Data!E389</x:f>
        <x:v>0</x:v>
      </x:c>
      <x:c r="E389" t="n">
        <x:f>Match_Data!F389</x:f>
        <x:v>0</x:v>
      </x:c>
      <x:c r="F389" t="n">
        <x:f>Match_Data!AC389</x:f>
        <x:v>0</x:v>
      </x:c>
      <x:c r="G389" t="str">
        <x:f>IF(OR(Match_Data!K389="",Match_Data!L389=""),"",AVERAGE(Match_Data!K389:L389))</x:f>
      </x:c>
      <x:c r="H389" t="str">
        <x:f>IF(OR(Match_Data!M389="",Match_Data!N389=""),"",AVERAGE(Match_Data!M389:N389))</x:f>
      </x:c>
      <x:c r="I389" t="str">
        <x:f>IF(OR(Match_Data!O389="",Match_Data!Q389=""),"",Match_Data!O389+Match_Data!Q389)</x:f>
      </x:c>
      <x:c r="J389" t="str">
        <x:f>IF(OR(Match_Data!P389="",Match_Data!R389=""),"",Match_Data!P389+Match_Data!R389)</x:f>
      </x:c>
      <x:c r="K389" t="str">
        <x:f>IF(OR(Match_Data!S389="",Match_Data!T389=""),"",Match_Data!S389+Match_Data!T389)</x:f>
      </x:c>
      <x:c r="L389" t="str">
        <x:f>IF(OR(Match_Data!U389="",Match_Data!V389=""),"",Match_Data!U389-Match_Data!V389)</x:f>
      </x:c>
      <x:c r="M389" s="32" t="str">
        <x:f>IF(Match_Data!Y389="","",1/Match_Data!Y389)</x:f>
      </x:c>
      <x:c r="N389" s="32" t="str">
        <x:f>IF(Match_Data!AA389="","",1/Match_Data!AA389)</x:f>
      </x:c>
      <x:c r="O389" s="32" t="str">
        <x:f>IF(OR(M389="",N389=""),"",N389-M389)</x:f>
      </x:c>
      <x:c r="P389" t="str">
        <x:f>IF(Match_Data!J389="","",IF(Match_Data!J389="OVER",1,0))</x:f>
      </x:c>
    </x:row>
    <x:row r="390">
      <x:c r="A390" t="n">
        <x:f>Match_Data!A390</x:f>
        <x:v>0</x:v>
      </x:c>
      <x:c r="B390" s="28" t="n">
        <x:f>Match_Data!B390</x:f>
        <x:v>0</x:v>
      </x:c>
      <x:c r="C390" t="n">
        <x:f>Match_Data!C390</x:f>
        <x:v>0</x:v>
      </x:c>
      <x:c r="D390" t="n">
        <x:f>Match_Data!E390</x:f>
        <x:v>0</x:v>
      </x:c>
      <x:c r="E390" t="n">
        <x:f>Match_Data!F390</x:f>
        <x:v>0</x:v>
      </x:c>
      <x:c r="F390" t="n">
        <x:f>Match_Data!AC390</x:f>
        <x:v>0</x:v>
      </x:c>
      <x:c r="G390" t="str">
        <x:f>IF(OR(Match_Data!K390="",Match_Data!L390=""),"",AVERAGE(Match_Data!K390:L390))</x:f>
      </x:c>
      <x:c r="H390" t="str">
        <x:f>IF(OR(Match_Data!M390="",Match_Data!N390=""),"",AVERAGE(Match_Data!M390:N390))</x:f>
      </x:c>
      <x:c r="I390" t="str">
        <x:f>IF(OR(Match_Data!O390="",Match_Data!Q390=""),"",Match_Data!O390+Match_Data!Q390)</x:f>
      </x:c>
      <x:c r="J390" t="str">
        <x:f>IF(OR(Match_Data!P390="",Match_Data!R390=""),"",Match_Data!P390+Match_Data!R390)</x:f>
      </x:c>
      <x:c r="K390" t="str">
        <x:f>IF(OR(Match_Data!S390="",Match_Data!T390=""),"",Match_Data!S390+Match_Data!T390)</x:f>
      </x:c>
      <x:c r="L390" t="str">
        <x:f>IF(OR(Match_Data!U390="",Match_Data!V390=""),"",Match_Data!U390-Match_Data!V390)</x:f>
      </x:c>
      <x:c r="M390" s="32" t="str">
        <x:f>IF(Match_Data!Y390="","",1/Match_Data!Y390)</x:f>
      </x:c>
      <x:c r="N390" s="32" t="str">
        <x:f>IF(Match_Data!AA390="","",1/Match_Data!AA390)</x:f>
      </x:c>
      <x:c r="O390" s="32" t="str">
        <x:f>IF(OR(M390="",N390=""),"",N390-M390)</x:f>
      </x:c>
      <x:c r="P390" t="str">
        <x:f>IF(Match_Data!J390="","",IF(Match_Data!J390="OVER",1,0))</x:f>
      </x:c>
    </x:row>
    <x:row r="391">
      <x:c r="A391" t="n">
        <x:f>Match_Data!A391</x:f>
        <x:v>0</x:v>
      </x:c>
      <x:c r="B391" s="28" t="n">
        <x:f>Match_Data!B391</x:f>
        <x:v>0</x:v>
      </x:c>
      <x:c r="C391" t="n">
        <x:f>Match_Data!C391</x:f>
        <x:v>0</x:v>
      </x:c>
      <x:c r="D391" t="n">
        <x:f>Match_Data!E391</x:f>
        <x:v>0</x:v>
      </x:c>
      <x:c r="E391" t="n">
        <x:f>Match_Data!F391</x:f>
        <x:v>0</x:v>
      </x:c>
      <x:c r="F391" t="n">
        <x:f>Match_Data!AC391</x:f>
        <x:v>0</x:v>
      </x:c>
      <x:c r="G391" t="str">
        <x:f>IF(OR(Match_Data!K391="",Match_Data!L391=""),"",AVERAGE(Match_Data!K391:L391))</x:f>
      </x:c>
      <x:c r="H391" t="str">
        <x:f>IF(OR(Match_Data!M391="",Match_Data!N391=""),"",AVERAGE(Match_Data!M391:N391))</x:f>
      </x:c>
      <x:c r="I391" t="str">
        <x:f>IF(OR(Match_Data!O391="",Match_Data!Q391=""),"",Match_Data!O391+Match_Data!Q391)</x:f>
      </x:c>
      <x:c r="J391" t="str">
        <x:f>IF(OR(Match_Data!P391="",Match_Data!R391=""),"",Match_Data!P391+Match_Data!R391)</x:f>
      </x:c>
      <x:c r="K391" t="str">
        <x:f>IF(OR(Match_Data!S391="",Match_Data!T391=""),"",Match_Data!S391+Match_Data!T391)</x:f>
      </x:c>
      <x:c r="L391" t="str">
        <x:f>IF(OR(Match_Data!U391="",Match_Data!V391=""),"",Match_Data!U391-Match_Data!V391)</x:f>
      </x:c>
      <x:c r="M391" s="32" t="str">
        <x:f>IF(Match_Data!Y391="","",1/Match_Data!Y391)</x:f>
      </x:c>
      <x:c r="N391" s="32" t="str">
        <x:f>IF(Match_Data!AA391="","",1/Match_Data!AA391)</x:f>
      </x:c>
      <x:c r="O391" s="32" t="str">
        <x:f>IF(OR(M391="",N391=""),"",N391-M391)</x:f>
      </x:c>
      <x:c r="P391" t="str">
        <x:f>IF(Match_Data!J391="","",IF(Match_Data!J391="OVER",1,0))</x:f>
      </x:c>
    </x:row>
    <x:row r="392">
      <x:c r="A392" t="n">
        <x:f>Match_Data!A392</x:f>
        <x:v>0</x:v>
      </x:c>
      <x:c r="B392" s="28" t="n">
        <x:f>Match_Data!B392</x:f>
        <x:v>0</x:v>
      </x:c>
      <x:c r="C392" t="n">
        <x:f>Match_Data!C392</x:f>
        <x:v>0</x:v>
      </x:c>
      <x:c r="D392" t="n">
        <x:f>Match_Data!E392</x:f>
        <x:v>0</x:v>
      </x:c>
      <x:c r="E392" t="n">
        <x:f>Match_Data!F392</x:f>
        <x:v>0</x:v>
      </x:c>
      <x:c r="F392" t="n">
        <x:f>Match_Data!AC392</x:f>
        <x:v>0</x:v>
      </x:c>
      <x:c r="G392" t="str">
        <x:f>IF(OR(Match_Data!K392="",Match_Data!L392=""),"",AVERAGE(Match_Data!K392:L392))</x:f>
      </x:c>
      <x:c r="H392" t="str">
        <x:f>IF(OR(Match_Data!M392="",Match_Data!N392=""),"",AVERAGE(Match_Data!M392:N392))</x:f>
      </x:c>
      <x:c r="I392" t="str">
        <x:f>IF(OR(Match_Data!O392="",Match_Data!Q392=""),"",Match_Data!O392+Match_Data!Q392)</x:f>
      </x:c>
      <x:c r="J392" t="str">
        <x:f>IF(OR(Match_Data!P392="",Match_Data!R392=""),"",Match_Data!P392+Match_Data!R392)</x:f>
      </x:c>
      <x:c r="K392" t="str">
        <x:f>IF(OR(Match_Data!S392="",Match_Data!T392=""),"",Match_Data!S392+Match_Data!T392)</x:f>
      </x:c>
      <x:c r="L392" t="str">
        <x:f>IF(OR(Match_Data!U392="",Match_Data!V392=""),"",Match_Data!U392-Match_Data!V392)</x:f>
      </x:c>
      <x:c r="M392" s="32" t="str">
        <x:f>IF(Match_Data!Y392="","",1/Match_Data!Y392)</x:f>
      </x:c>
      <x:c r="N392" s="32" t="str">
        <x:f>IF(Match_Data!AA392="","",1/Match_Data!AA392)</x:f>
      </x:c>
      <x:c r="O392" s="32" t="str">
        <x:f>IF(OR(M392="",N392=""),"",N392-M392)</x:f>
      </x:c>
      <x:c r="P392" t="str">
        <x:f>IF(Match_Data!J392="","",IF(Match_Data!J392="OVER",1,0))</x:f>
      </x:c>
    </x:row>
    <x:row r="393">
      <x:c r="A393" t="n">
        <x:f>Match_Data!A393</x:f>
        <x:v>0</x:v>
      </x:c>
      <x:c r="B393" s="28" t="n">
        <x:f>Match_Data!B393</x:f>
        <x:v>0</x:v>
      </x:c>
      <x:c r="C393" t="n">
        <x:f>Match_Data!C393</x:f>
        <x:v>0</x:v>
      </x:c>
      <x:c r="D393" t="n">
        <x:f>Match_Data!E393</x:f>
        <x:v>0</x:v>
      </x:c>
      <x:c r="E393" t="n">
        <x:f>Match_Data!F393</x:f>
        <x:v>0</x:v>
      </x:c>
      <x:c r="F393" t="n">
        <x:f>Match_Data!AC393</x:f>
        <x:v>0</x:v>
      </x:c>
      <x:c r="G393" t="str">
        <x:f>IF(OR(Match_Data!K393="",Match_Data!L393=""),"",AVERAGE(Match_Data!K393:L393))</x:f>
      </x:c>
      <x:c r="H393" t="str">
        <x:f>IF(OR(Match_Data!M393="",Match_Data!N393=""),"",AVERAGE(Match_Data!M393:N393))</x:f>
      </x:c>
      <x:c r="I393" t="str">
        <x:f>IF(OR(Match_Data!O393="",Match_Data!Q393=""),"",Match_Data!O393+Match_Data!Q393)</x:f>
      </x:c>
      <x:c r="J393" t="str">
        <x:f>IF(OR(Match_Data!P393="",Match_Data!R393=""),"",Match_Data!P393+Match_Data!R393)</x:f>
      </x:c>
      <x:c r="K393" t="str">
        <x:f>IF(OR(Match_Data!S393="",Match_Data!T393=""),"",Match_Data!S393+Match_Data!T393)</x:f>
      </x:c>
      <x:c r="L393" t="str">
        <x:f>IF(OR(Match_Data!U393="",Match_Data!V393=""),"",Match_Data!U393-Match_Data!V393)</x:f>
      </x:c>
      <x:c r="M393" s="32" t="str">
        <x:f>IF(Match_Data!Y393="","",1/Match_Data!Y393)</x:f>
      </x:c>
      <x:c r="N393" s="32" t="str">
        <x:f>IF(Match_Data!AA393="","",1/Match_Data!AA393)</x:f>
      </x:c>
      <x:c r="O393" s="32" t="str">
        <x:f>IF(OR(M393="",N393=""),"",N393-M393)</x:f>
      </x:c>
      <x:c r="P393" t="str">
        <x:f>IF(Match_Data!J393="","",IF(Match_Data!J393="OVER",1,0))</x:f>
      </x:c>
    </x:row>
    <x:row r="394">
      <x:c r="A394" t="n">
        <x:f>Match_Data!A394</x:f>
        <x:v>0</x:v>
      </x:c>
      <x:c r="B394" s="28" t="n">
        <x:f>Match_Data!B394</x:f>
        <x:v>0</x:v>
      </x:c>
      <x:c r="C394" t="n">
        <x:f>Match_Data!C394</x:f>
        <x:v>0</x:v>
      </x:c>
      <x:c r="D394" t="n">
        <x:f>Match_Data!E394</x:f>
        <x:v>0</x:v>
      </x:c>
      <x:c r="E394" t="n">
        <x:f>Match_Data!F394</x:f>
        <x:v>0</x:v>
      </x:c>
      <x:c r="F394" t="n">
        <x:f>Match_Data!AC394</x:f>
        <x:v>0</x:v>
      </x:c>
      <x:c r="G394" t="str">
        <x:f>IF(OR(Match_Data!K394="",Match_Data!L394=""),"",AVERAGE(Match_Data!K394:L394))</x:f>
      </x:c>
      <x:c r="H394" t="str">
        <x:f>IF(OR(Match_Data!M394="",Match_Data!N394=""),"",AVERAGE(Match_Data!M394:N394))</x:f>
      </x:c>
      <x:c r="I394" t="str">
        <x:f>IF(OR(Match_Data!O394="",Match_Data!Q394=""),"",Match_Data!O394+Match_Data!Q394)</x:f>
      </x:c>
      <x:c r="J394" t="str">
        <x:f>IF(OR(Match_Data!P394="",Match_Data!R394=""),"",Match_Data!P394+Match_Data!R394)</x:f>
      </x:c>
      <x:c r="K394" t="str">
        <x:f>IF(OR(Match_Data!S394="",Match_Data!T394=""),"",Match_Data!S394+Match_Data!T394)</x:f>
      </x:c>
      <x:c r="L394" t="str">
        <x:f>IF(OR(Match_Data!U394="",Match_Data!V394=""),"",Match_Data!U394-Match_Data!V394)</x:f>
      </x:c>
      <x:c r="M394" s="32" t="str">
        <x:f>IF(Match_Data!Y394="","",1/Match_Data!Y394)</x:f>
      </x:c>
      <x:c r="N394" s="32" t="str">
        <x:f>IF(Match_Data!AA394="","",1/Match_Data!AA394)</x:f>
      </x:c>
      <x:c r="O394" s="32" t="str">
        <x:f>IF(OR(M394="",N394=""),"",N394-M394)</x:f>
      </x:c>
      <x:c r="P394" t="str">
        <x:f>IF(Match_Data!J394="","",IF(Match_Data!J394="OVER",1,0))</x:f>
      </x:c>
    </x:row>
    <x:row r="395">
      <x:c r="A395" t="n">
        <x:f>Match_Data!A395</x:f>
        <x:v>0</x:v>
      </x:c>
      <x:c r="B395" s="28" t="n">
        <x:f>Match_Data!B395</x:f>
        <x:v>0</x:v>
      </x:c>
      <x:c r="C395" t="n">
        <x:f>Match_Data!C395</x:f>
        <x:v>0</x:v>
      </x:c>
      <x:c r="D395" t="n">
        <x:f>Match_Data!E395</x:f>
        <x:v>0</x:v>
      </x:c>
      <x:c r="E395" t="n">
        <x:f>Match_Data!F395</x:f>
        <x:v>0</x:v>
      </x:c>
      <x:c r="F395" t="n">
        <x:f>Match_Data!AC395</x:f>
        <x:v>0</x:v>
      </x:c>
      <x:c r="G395" t="str">
        <x:f>IF(OR(Match_Data!K395="",Match_Data!L395=""),"",AVERAGE(Match_Data!K395:L395))</x:f>
      </x:c>
      <x:c r="H395" t="str">
        <x:f>IF(OR(Match_Data!M395="",Match_Data!N395=""),"",AVERAGE(Match_Data!M395:N395))</x:f>
      </x:c>
      <x:c r="I395" t="str">
        <x:f>IF(OR(Match_Data!O395="",Match_Data!Q395=""),"",Match_Data!O395+Match_Data!Q395)</x:f>
      </x:c>
      <x:c r="J395" t="str">
        <x:f>IF(OR(Match_Data!P395="",Match_Data!R395=""),"",Match_Data!P395+Match_Data!R395)</x:f>
      </x:c>
      <x:c r="K395" t="str">
        <x:f>IF(OR(Match_Data!S395="",Match_Data!T395=""),"",Match_Data!S395+Match_Data!T395)</x:f>
      </x:c>
      <x:c r="L395" t="str">
        <x:f>IF(OR(Match_Data!U395="",Match_Data!V395=""),"",Match_Data!U395-Match_Data!V395)</x:f>
      </x:c>
      <x:c r="M395" s="32" t="str">
        <x:f>IF(Match_Data!Y395="","",1/Match_Data!Y395)</x:f>
      </x:c>
      <x:c r="N395" s="32" t="str">
        <x:f>IF(Match_Data!AA395="","",1/Match_Data!AA395)</x:f>
      </x:c>
      <x:c r="O395" s="32" t="str">
        <x:f>IF(OR(M395="",N395=""),"",N395-M395)</x:f>
      </x:c>
      <x:c r="P395" t="str">
        <x:f>IF(Match_Data!J395="","",IF(Match_Data!J395="OVER",1,0))</x:f>
      </x:c>
    </x:row>
    <x:row r="396">
      <x:c r="A396" t="n">
        <x:f>Match_Data!A396</x:f>
        <x:v>0</x:v>
      </x:c>
      <x:c r="B396" s="28" t="n">
        <x:f>Match_Data!B396</x:f>
        <x:v>0</x:v>
      </x:c>
      <x:c r="C396" t="n">
        <x:f>Match_Data!C396</x:f>
        <x:v>0</x:v>
      </x:c>
      <x:c r="D396" t="n">
        <x:f>Match_Data!E396</x:f>
        <x:v>0</x:v>
      </x:c>
      <x:c r="E396" t="n">
        <x:f>Match_Data!F396</x:f>
        <x:v>0</x:v>
      </x:c>
      <x:c r="F396" t="n">
        <x:f>Match_Data!AC396</x:f>
        <x:v>0</x:v>
      </x:c>
      <x:c r="G396" t="str">
        <x:f>IF(OR(Match_Data!K396="",Match_Data!L396=""),"",AVERAGE(Match_Data!K396:L396))</x:f>
      </x:c>
      <x:c r="H396" t="str">
        <x:f>IF(OR(Match_Data!M396="",Match_Data!N396=""),"",AVERAGE(Match_Data!M396:N396))</x:f>
      </x:c>
      <x:c r="I396" t="str">
        <x:f>IF(OR(Match_Data!O396="",Match_Data!Q396=""),"",Match_Data!O396+Match_Data!Q396)</x:f>
      </x:c>
      <x:c r="J396" t="str">
        <x:f>IF(OR(Match_Data!P396="",Match_Data!R396=""),"",Match_Data!P396+Match_Data!R396)</x:f>
      </x:c>
      <x:c r="K396" t="str">
        <x:f>IF(OR(Match_Data!S396="",Match_Data!T396=""),"",Match_Data!S396+Match_Data!T396)</x:f>
      </x:c>
      <x:c r="L396" t="str">
        <x:f>IF(OR(Match_Data!U396="",Match_Data!V396=""),"",Match_Data!U396-Match_Data!V396)</x:f>
      </x:c>
      <x:c r="M396" s="32" t="str">
        <x:f>IF(Match_Data!Y396="","",1/Match_Data!Y396)</x:f>
      </x:c>
      <x:c r="N396" s="32" t="str">
        <x:f>IF(Match_Data!AA396="","",1/Match_Data!AA396)</x:f>
      </x:c>
      <x:c r="O396" s="32" t="str">
        <x:f>IF(OR(M396="",N396=""),"",N396-M396)</x:f>
      </x:c>
      <x:c r="P396" t="str">
        <x:f>IF(Match_Data!J396="","",IF(Match_Data!J396="OVER",1,0))</x:f>
      </x:c>
    </x:row>
    <x:row r="397">
      <x:c r="A397" t="n">
        <x:f>Match_Data!A397</x:f>
        <x:v>0</x:v>
      </x:c>
      <x:c r="B397" s="28" t="n">
        <x:f>Match_Data!B397</x:f>
        <x:v>0</x:v>
      </x:c>
      <x:c r="C397" t="n">
        <x:f>Match_Data!C397</x:f>
        <x:v>0</x:v>
      </x:c>
      <x:c r="D397" t="n">
        <x:f>Match_Data!E397</x:f>
        <x:v>0</x:v>
      </x:c>
      <x:c r="E397" t="n">
        <x:f>Match_Data!F397</x:f>
        <x:v>0</x:v>
      </x:c>
      <x:c r="F397" t="n">
        <x:f>Match_Data!AC397</x:f>
        <x:v>0</x:v>
      </x:c>
      <x:c r="G397" t="str">
        <x:f>IF(OR(Match_Data!K397="",Match_Data!L397=""),"",AVERAGE(Match_Data!K397:L397))</x:f>
      </x:c>
      <x:c r="H397" t="str">
        <x:f>IF(OR(Match_Data!M397="",Match_Data!N397=""),"",AVERAGE(Match_Data!M397:N397))</x:f>
      </x:c>
      <x:c r="I397" t="str">
        <x:f>IF(OR(Match_Data!O397="",Match_Data!Q397=""),"",Match_Data!O397+Match_Data!Q397)</x:f>
      </x:c>
      <x:c r="J397" t="str">
        <x:f>IF(OR(Match_Data!P397="",Match_Data!R397=""),"",Match_Data!P397+Match_Data!R397)</x:f>
      </x:c>
      <x:c r="K397" t="str">
        <x:f>IF(OR(Match_Data!S397="",Match_Data!T397=""),"",Match_Data!S397+Match_Data!T397)</x:f>
      </x:c>
      <x:c r="L397" t="str">
        <x:f>IF(OR(Match_Data!U397="",Match_Data!V397=""),"",Match_Data!U397-Match_Data!V397)</x:f>
      </x:c>
      <x:c r="M397" s="32" t="str">
        <x:f>IF(Match_Data!Y397="","",1/Match_Data!Y397)</x:f>
      </x:c>
      <x:c r="N397" s="32" t="str">
        <x:f>IF(Match_Data!AA397="","",1/Match_Data!AA397)</x:f>
      </x:c>
      <x:c r="O397" s="32" t="str">
        <x:f>IF(OR(M397="",N397=""),"",N397-M397)</x:f>
      </x:c>
      <x:c r="P397" t="str">
        <x:f>IF(Match_Data!J397="","",IF(Match_Data!J397="OVER",1,0))</x:f>
      </x:c>
    </x:row>
    <x:row r="398">
      <x:c r="A398" t="n">
        <x:f>Match_Data!A398</x:f>
        <x:v>0</x:v>
      </x:c>
      <x:c r="B398" s="28" t="n">
        <x:f>Match_Data!B398</x:f>
        <x:v>0</x:v>
      </x:c>
      <x:c r="C398" t="n">
        <x:f>Match_Data!C398</x:f>
        <x:v>0</x:v>
      </x:c>
      <x:c r="D398" t="n">
        <x:f>Match_Data!E398</x:f>
        <x:v>0</x:v>
      </x:c>
      <x:c r="E398" t="n">
        <x:f>Match_Data!F398</x:f>
        <x:v>0</x:v>
      </x:c>
      <x:c r="F398" t="n">
        <x:f>Match_Data!AC398</x:f>
        <x:v>0</x:v>
      </x:c>
      <x:c r="G398" t="str">
        <x:f>IF(OR(Match_Data!K398="",Match_Data!L398=""),"",AVERAGE(Match_Data!K398:L398))</x:f>
      </x:c>
      <x:c r="H398" t="str">
        <x:f>IF(OR(Match_Data!M398="",Match_Data!N398=""),"",AVERAGE(Match_Data!M398:N398))</x:f>
      </x:c>
      <x:c r="I398" t="str">
        <x:f>IF(OR(Match_Data!O398="",Match_Data!Q398=""),"",Match_Data!O398+Match_Data!Q398)</x:f>
      </x:c>
      <x:c r="J398" t="str">
        <x:f>IF(OR(Match_Data!P398="",Match_Data!R398=""),"",Match_Data!P398+Match_Data!R398)</x:f>
      </x:c>
      <x:c r="K398" t="str">
        <x:f>IF(OR(Match_Data!S398="",Match_Data!T398=""),"",Match_Data!S398+Match_Data!T398)</x:f>
      </x:c>
      <x:c r="L398" t="str">
        <x:f>IF(OR(Match_Data!U398="",Match_Data!V398=""),"",Match_Data!U398-Match_Data!V398)</x:f>
      </x:c>
      <x:c r="M398" s="32" t="str">
        <x:f>IF(Match_Data!Y398="","",1/Match_Data!Y398)</x:f>
      </x:c>
      <x:c r="N398" s="32" t="str">
        <x:f>IF(Match_Data!AA398="","",1/Match_Data!AA398)</x:f>
      </x:c>
      <x:c r="O398" s="32" t="str">
        <x:f>IF(OR(M398="",N398=""),"",N398-M398)</x:f>
      </x:c>
      <x:c r="P398" t="str">
        <x:f>IF(Match_Data!J398="","",IF(Match_Data!J398="OVER",1,0))</x:f>
      </x:c>
    </x:row>
    <x:row r="399">
      <x:c r="A399" t="n">
        <x:f>Match_Data!A399</x:f>
        <x:v>0</x:v>
      </x:c>
      <x:c r="B399" s="28" t="n">
        <x:f>Match_Data!B399</x:f>
        <x:v>0</x:v>
      </x:c>
      <x:c r="C399" t="n">
        <x:f>Match_Data!C399</x:f>
        <x:v>0</x:v>
      </x:c>
      <x:c r="D399" t="n">
        <x:f>Match_Data!E399</x:f>
        <x:v>0</x:v>
      </x:c>
      <x:c r="E399" t="n">
        <x:f>Match_Data!F399</x:f>
        <x:v>0</x:v>
      </x:c>
      <x:c r="F399" t="n">
        <x:f>Match_Data!AC399</x:f>
        <x:v>0</x:v>
      </x:c>
      <x:c r="G399" t="str">
        <x:f>IF(OR(Match_Data!K399="",Match_Data!L399=""),"",AVERAGE(Match_Data!K399:L399))</x:f>
      </x:c>
      <x:c r="H399" t="str">
        <x:f>IF(OR(Match_Data!M399="",Match_Data!N399=""),"",AVERAGE(Match_Data!M399:N399))</x:f>
      </x:c>
      <x:c r="I399" t="str">
        <x:f>IF(OR(Match_Data!O399="",Match_Data!Q399=""),"",Match_Data!O399+Match_Data!Q399)</x:f>
      </x:c>
      <x:c r="J399" t="str">
        <x:f>IF(OR(Match_Data!P399="",Match_Data!R399=""),"",Match_Data!P399+Match_Data!R399)</x:f>
      </x:c>
      <x:c r="K399" t="str">
        <x:f>IF(OR(Match_Data!S399="",Match_Data!T399=""),"",Match_Data!S399+Match_Data!T399)</x:f>
      </x:c>
      <x:c r="L399" t="str">
        <x:f>IF(OR(Match_Data!U399="",Match_Data!V399=""),"",Match_Data!U399-Match_Data!V399)</x:f>
      </x:c>
      <x:c r="M399" s="32" t="str">
        <x:f>IF(Match_Data!Y399="","",1/Match_Data!Y399)</x:f>
      </x:c>
      <x:c r="N399" s="32" t="str">
        <x:f>IF(Match_Data!AA399="","",1/Match_Data!AA399)</x:f>
      </x:c>
      <x:c r="O399" s="32" t="str">
        <x:f>IF(OR(M399="",N399=""),"",N399-M399)</x:f>
      </x:c>
      <x:c r="P399" t="str">
        <x:f>IF(Match_Data!J399="","",IF(Match_Data!J399="OVER",1,0))</x:f>
      </x:c>
    </x:row>
    <x:row r="400">
      <x:c r="A400" t="n">
        <x:f>Match_Data!A400</x:f>
        <x:v>0</x:v>
      </x:c>
      <x:c r="B400" s="28" t="n">
        <x:f>Match_Data!B400</x:f>
        <x:v>0</x:v>
      </x:c>
      <x:c r="C400" t="n">
        <x:f>Match_Data!C400</x:f>
        <x:v>0</x:v>
      </x:c>
      <x:c r="D400" t="n">
        <x:f>Match_Data!E400</x:f>
        <x:v>0</x:v>
      </x:c>
      <x:c r="E400" t="n">
        <x:f>Match_Data!F400</x:f>
        <x:v>0</x:v>
      </x:c>
      <x:c r="F400" t="n">
        <x:f>Match_Data!AC400</x:f>
        <x:v>0</x:v>
      </x:c>
      <x:c r="G400" t="str">
        <x:f>IF(OR(Match_Data!K400="",Match_Data!L400=""),"",AVERAGE(Match_Data!K400:L400))</x:f>
      </x:c>
      <x:c r="H400" t="str">
        <x:f>IF(OR(Match_Data!M400="",Match_Data!N400=""),"",AVERAGE(Match_Data!M400:N400))</x:f>
      </x:c>
      <x:c r="I400" t="str">
        <x:f>IF(OR(Match_Data!O400="",Match_Data!Q400=""),"",Match_Data!O400+Match_Data!Q400)</x:f>
      </x:c>
      <x:c r="J400" t="str">
        <x:f>IF(OR(Match_Data!P400="",Match_Data!R400=""),"",Match_Data!P400+Match_Data!R400)</x:f>
      </x:c>
      <x:c r="K400" t="str">
        <x:f>IF(OR(Match_Data!S400="",Match_Data!T400=""),"",Match_Data!S400+Match_Data!T400)</x:f>
      </x:c>
      <x:c r="L400" t="str">
        <x:f>IF(OR(Match_Data!U400="",Match_Data!V400=""),"",Match_Data!U400-Match_Data!V400)</x:f>
      </x:c>
      <x:c r="M400" s="32" t="str">
        <x:f>IF(Match_Data!Y400="","",1/Match_Data!Y400)</x:f>
      </x:c>
      <x:c r="N400" s="32" t="str">
        <x:f>IF(Match_Data!AA400="","",1/Match_Data!AA400)</x:f>
      </x:c>
      <x:c r="O400" s="32" t="str">
        <x:f>IF(OR(M400="",N400=""),"",N400-M400)</x:f>
      </x:c>
      <x:c r="P400" t="str">
        <x:f>IF(Match_Data!J400="","",IF(Match_Data!J400="OVER",1,0))</x:f>
      </x:c>
    </x:row>
    <x:row r="401">
      <x:c r="A401" t="n">
        <x:f>Match_Data!A401</x:f>
        <x:v>0</x:v>
      </x:c>
      <x:c r="B401" s="28" t="n">
        <x:f>Match_Data!B401</x:f>
        <x:v>0</x:v>
      </x:c>
      <x:c r="C401" t="n">
        <x:f>Match_Data!C401</x:f>
        <x:v>0</x:v>
      </x:c>
      <x:c r="D401" t="n">
        <x:f>Match_Data!E401</x:f>
        <x:v>0</x:v>
      </x:c>
      <x:c r="E401" t="n">
        <x:f>Match_Data!F401</x:f>
        <x:v>0</x:v>
      </x:c>
      <x:c r="F401" t="n">
        <x:f>Match_Data!AC401</x:f>
        <x:v>0</x:v>
      </x:c>
      <x:c r="G401" t="str">
        <x:f>IF(OR(Match_Data!K401="",Match_Data!L401=""),"",AVERAGE(Match_Data!K401:L401))</x:f>
      </x:c>
      <x:c r="H401" t="str">
        <x:f>IF(OR(Match_Data!M401="",Match_Data!N401=""),"",AVERAGE(Match_Data!M401:N401))</x:f>
      </x:c>
      <x:c r="I401" t="str">
        <x:f>IF(OR(Match_Data!O401="",Match_Data!Q401=""),"",Match_Data!O401+Match_Data!Q401)</x:f>
      </x:c>
      <x:c r="J401" t="str">
        <x:f>IF(OR(Match_Data!P401="",Match_Data!R401=""),"",Match_Data!P401+Match_Data!R401)</x:f>
      </x:c>
      <x:c r="K401" t="str">
        <x:f>IF(OR(Match_Data!S401="",Match_Data!T401=""),"",Match_Data!S401+Match_Data!T401)</x:f>
      </x:c>
      <x:c r="L401" t="str">
        <x:f>IF(OR(Match_Data!U401="",Match_Data!V401=""),"",Match_Data!U401-Match_Data!V401)</x:f>
      </x:c>
      <x:c r="M401" s="32" t="str">
        <x:f>IF(Match_Data!Y401="","",1/Match_Data!Y401)</x:f>
      </x:c>
      <x:c r="N401" s="32" t="str">
        <x:f>IF(Match_Data!AA401="","",1/Match_Data!AA401)</x:f>
      </x:c>
      <x:c r="O401" s="32" t="str">
        <x:f>IF(OR(M401="",N401=""),"",N401-M401)</x:f>
      </x:c>
      <x:c r="P401" t="str">
        <x:f>IF(Match_Data!J401="","",IF(Match_Data!J401="OVER",1,0))</x:f>
      </x:c>
    </x:row>
    <x:row r="402">
      <x:c r="A402" t="n">
        <x:f>Match_Data!A402</x:f>
        <x:v>0</x:v>
      </x:c>
      <x:c r="B402" s="28" t="n">
        <x:f>Match_Data!B402</x:f>
        <x:v>0</x:v>
      </x:c>
      <x:c r="C402" t="n">
        <x:f>Match_Data!C402</x:f>
        <x:v>0</x:v>
      </x:c>
      <x:c r="D402" t="n">
        <x:f>Match_Data!E402</x:f>
        <x:v>0</x:v>
      </x:c>
      <x:c r="E402" t="n">
        <x:f>Match_Data!F402</x:f>
        <x:v>0</x:v>
      </x:c>
      <x:c r="F402" t="n">
        <x:f>Match_Data!AC402</x:f>
        <x:v>0</x:v>
      </x:c>
      <x:c r="G402" t="str">
        <x:f>IF(OR(Match_Data!K402="",Match_Data!L402=""),"",AVERAGE(Match_Data!K402:L402))</x:f>
      </x:c>
      <x:c r="H402" t="str">
        <x:f>IF(OR(Match_Data!M402="",Match_Data!N402=""),"",AVERAGE(Match_Data!M402:N402))</x:f>
      </x:c>
      <x:c r="I402" t="str">
        <x:f>IF(OR(Match_Data!O402="",Match_Data!Q402=""),"",Match_Data!O402+Match_Data!Q402)</x:f>
      </x:c>
      <x:c r="J402" t="str">
        <x:f>IF(OR(Match_Data!P402="",Match_Data!R402=""),"",Match_Data!P402+Match_Data!R402)</x:f>
      </x:c>
      <x:c r="K402" t="str">
        <x:f>IF(OR(Match_Data!S402="",Match_Data!T402=""),"",Match_Data!S402+Match_Data!T402)</x:f>
      </x:c>
      <x:c r="L402" t="str">
        <x:f>IF(OR(Match_Data!U402="",Match_Data!V402=""),"",Match_Data!U402-Match_Data!V402)</x:f>
      </x:c>
      <x:c r="M402" s="32" t="str">
        <x:f>IF(Match_Data!Y402="","",1/Match_Data!Y402)</x:f>
      </x:c>
      <x:c r="N402" s="32" t="str">
        <x:f>IF(Match_Data!AA402="","",1/Match_Data!AA402)</x:f>
      </x:c>
      <x:c r="O402" s="32" t="str">
        <x:f>IF(OR(M402="",N402=""),"",N402-M402)</x:f>
      </x:c>
      <x:c r="P402" t="str">
        <x:f>IF(Match_Data!J402="","",IF(Match_Data!J402="OVER",1,0))</x:f>
      </x:c>
    </x:row>
    <x:row r="403">
      <x:c r="A403" t="n">
        <x:f>Match_Data!A403</x:f>
        <x:v>0</x:v>
      </x:c>
      <x:c r="B403" s="28" t="n">
        <x:f>Match_Data!B403</x:f>
        <x:v>0</x:v>
      </x:c>
      <x:c r="C403" t="n">
        <x:f>Match_Data!C403</x:f>
        <x:v>0</x:v>
      </x:c>
      <x:c r="D403" t="n">
        <x:f>Match_Data!E403</x:f>
        <x:v>0</x:v>
      </x:c>
      <x:c r="E403" t="n">
        <x:f>Match_Data!F403</x:f>
        <x:v>0</x:v>
      </x:c>
      <x:c r="F403" t="n">
        <x:f>Match_Data!AC403</x:f>
        <x:v>0</x:v>
      </x:c>
      <x:c r="G403" t="str">
        <x:f>IF(OR(Match_Data!K403="",Match_Data!L403=""),"",AVERAGE(Match_Data!K403:L403))</x:f>
      </x:c>
      <x:c r="H403" t="str">
        <x:f>IF(OR(Match_Data!M403="",Match_Data!N403=""),"",AVERAGE(Match_Data!M403:N403))</x:f>
      </x:c>
      <x:c r="I403" t="str">
        <x:f>IF(OR(Match_Data!O403="",Match_Data!Q403=""),"",Match_Data!O403+Match_Data!Q403)</x:f>
      </x:c>
      <x:c r="J403" t="str">
        <x:f>IF(OR(Match_Data!P403="",Match_Data!R403=""),"",Match_Data!P403+Match_Data!R403)</x:f>
      </x:c>
      <x:c r="K403" t="str">
        <x:f>IF(OR(Match_Data!S403="",Match_Data!T403=""),"",Match_Data!S403+Match_Data!T403)</x:f>
      </x:c>
      <x:c r="L403" t="str">
        <x:f>IF(OR(Match_Data!U403="",Match_Data!V403=""),"",Match_Data!U403-Match_Data!V403)</x:f>
      </x:c>
      <x:c r="M403" s="32" t="str">
        <x:f>IF(Match_Data!Y403="","",1/Match_Data!Y403)</x:f>
      </x:c>
      <x:c r="N403" s="32" t="str">
        <x:f>IF(Match_Data!AA403="","",1/Match_Data!AA403)</x:f>
      </x:c>
      <x:c r="O403" s="32" t="str">
        <x:f>IF(OR(M403="",N403=""),"",N403-M403)</x:f>
      </x:c>
      <x:c r="P403" t="str">
        <x:f>IF(Match_Data!J403="","",IF(Match_Data!J403="OVER",1,0))</x:f>
      </x:c>
    </x:row>
    <x:row r="404">
      <x:c r="A404" t="n">
        <x:f>Match_Data!A404</x:f>
        <x:v>0</x:v>
      </x:c>
      <x:c r="B404" s="28" t="n">
        <x:f>Match_Data!B404</x:f>
        <x:v>0</x:v>
      </x:c>
      <x:c r="C404" t="n">
        <x:f>Match_Data!C404</x:f>
        <x:v>0</x:v>
      </x:c>
      <x:c r="D404" t="n">
        <x:f>Match_Data!E404</x:f>
        <x:v>0</x:v>
      </x:c>
      <x:c r="E404" t="n">
        <x:f>Match_Data!F404</x:f>
        <x:v>0</x:v>
      </x:c>
      <x:c r="F404" t="n">
        <x:f>Match_Data!AC404</x:f>
        <x:v>0</x:v>
      </x:c>
      <x:c r="G404" t="str">
        <x:f>IF(OR(Match_Data!K404="",Match_Data!L404=""),"",AVERAGE(Match_Data!K404:L404))</x:f>
      </x:c>
      <x:c r="H404" t="str">
        <x:f>IF(OR(Match_Data!M404="",Match_Data!N404=""),"",AVERAGE(Match_Data!M404:N404))</x:f>
      </x:c>
      <x:c r="I404" t="str">
        <x:f>IF(OR(Match_Data!O404="",Match_Data!Q404=""),"",Match_Data!O404+Match_Data!Q404)</x:f>
      </x:c>
      <x:c r="J404" t="str">
        <x:f>IF(OR(Match_Data!P404="",Match_Data!R404=""),"",Match_Data!P404+Match_Data!R404)</x:f>
      </x:c>
      <x:c r="K404" t="str">
        <x:f>IF(OR(Match_Data!S404="",Match_Data!T404=""),"",Match_Data!S404+Match_Data!T404)</x:f>
      </x:c>
      <x:c r="L404" t="str">
        <x:f>IF(OR(Match_Data!U404="",Match_Data!V404=""),"",Match_Data!U404-Match_Data!V404)</x:f>
      </x:c>
      <x:c r="M404" s="32" t="str">
        <x:f>IF(Match_Data!Y404="","",1/Match_Data!Y404)</x:f>
      </x:c>
      <x:c r="N404" s="32" t="str">
        <x:f>IF(Match_Data!AA404="","",1/Match_Data!AA404)</x:f>
      </x:c>
      <x:c r="O404" s="32" t="str">
        <x:f>IF(OR(M404="",N404=""),"",N404-M404)</x:f>
      </x:c>
      <x:c r="P404" t="str">
        <x:f>IF(Match_Data!J404="","",IF(Match_Data!J404="OVER",1,0))</x:f>
      </x:c>
    </x:row>
    <x:row r="405">
      <x:c r="A405" t="n">
        <x:f>Match_Data!A405</x:f>
        <x:v>0</x:v>
      </x:c>
      <x:c r="B405" s="28" t="n">
        <x:f>Match_Data!B405</x:f>
        <x:v>0</x:v>
      </x:c>
      <x:c r="C405" t="n">
        <x:f>Match_Data!C405</x:f>
        <x:v>0</x:v>
      </x:c>
      <x:c r="D405" t="n">
        <x:f>Match_Data!E405</x:f>
        <x:v>0</x:v>
      </x:c>
      <x:c r="E405" t="n">
        <x:f>Match_Data!F405</x:f>
        <x:v>0</x:v>
      </x:c>
      <x:c r="F405" t="n">
        <x:f>Match_Data!AC405</x:f>
        <x:v>0</x:v>
      </x:c>
      <x:c r="G405" t="str">
        <x:f>IF(OR(Match_Data!K405="",Match_Data!L405=""),"",AVERAGE(Match_Data!K405:L405))</x:f>
      </x:c>
      <x:c r="H405" t="str">
        <x:f>IF(OR(Match_Data!M405="",Match_Data!N405=""),"",AVERAGE(Match_Data!M405:N405))</x:f>
      </x:c>
      <x:c r="I405" t="str">
        <x:f>IF(OR(Match_Data!O405="",Match_Data!Q405=""),"",Match_Data!O405+Match_Data!Q405)</x:f>
      </x:c>
      <x:c r="J405" t="str">
        <x:f>IF(OR(Match_Data!P405="",Match_Data!R405=""),"",Match_Data!P405+Match_Data!R405)</x:f>
      </x:c>
      <x:c r="K405" t="str">
        <x:f>IF(OR(Match_Data!S405="",Match_Data!T405=""),"",Match_Data!S405+Match_Data!T405)</x:f>
      </x:c>
      <x:c r="L405" t="str">
        <x:f>IF(OR(Match_Data!U405="",Match_Data!V405=""),"",Match_Data!U405-Match_Data!V405)</x:f>
      </x:c>
      <x:c r="M405" s="32" t="str">
        <x:f>IF(Match_Data!Y405="","",1/Match_Data!Y405)</x:f>
      </x:c>
      <x:c r="N405" s="32" t="str">
        <x:f>IF(Match_Data!AA405="","",1/Match_Data!AA405)</x:f>
      </x:c>
      <x:c r="O405" s="32" t="str">
        <x:f>IF(OR(M405="",N405=""),"",N405-M405)</x:f>
      </x:c>
      <x:c r="P405" t="str">
        <x:f>IF(Match_Data!J405="","",IF(Match_Data!J405="OVER",1,0))</x:f>
      </x:c>
    </x:row>
    <x:row r="406">
      <x:c r="A406" t="n">
        <x:f>Match_Data!A406</x:f>
        <x:v>0</x:v>
      </x:c>
      <x:c r="B406" s="28" t="n">
        <x:f>Match_Data!B406</x:f>
        <x:v>0</x:v>
      </x:c>
      <x:c r="C406" t="n">
        <x:f>Match_Data!C406</x:f>
        <x:v>0</x:v>
      </x:c>
      <x:c r="D406" t="n">
        <x:f>Match_Data!E406</x:f>
        <x:v>0</x:v>
      </x:c>
      <x:c r="E406" t="n">
        <x:f>Match_Data!F406</x:f>
        <x:v>0</x:v>
      </x:c>
      <x:c r="F406" t="n">
        <x:f>Match_Data!AC406</x:f>
        <x:v>0</x:v>
      </x:c>
      <x:c r="G406" t="str">
        <x:f>IF(OR(Match_Data!K406="",Match_Data!L406=""),"",AVERAGE(Match_Data!K406:L406))</x:f>
      </x:c>
      <x:c r="H406" t="str">
        <x:f>IF(OR(Match_Data!M406="",Match_Data!N406=""),"",AVERAGE(Match_Data!M406:N406))</x:f>
      </x:c>
      <x:c r="I406" t="str">
        <x:f>IF(OR(Match_Data!O406="",Match_Data!Q406=""),"",Match_Data!O406+Match_Data!Q406)</x:f>
      </x:c>
      <x:c r="J406" t="str">
        <x:f>IF(OR(Match_Data!P406="",Match_Data!R406=""),"",Match_Data!P406+Match_Data!R406)</x:f>
      </x:c>
      <x:c r="K406" t="str">
        <x:f>IF(OR(Match_Data!S406="",Match_Data!T406=""),"",Match_Data!S406+Match_Data!T406)</x:f>
      </x:c>
      <x:c r="L406" t="str">
        <x:f>IF(OR(Match_Data!U406="",Match_Data!V406=""),"",Match_Data!U406-Match_Data!V406)</x:f>
      </x:c>
      <x:c r="M406" s="32" t="str">
        <x:f>IF(Match_Data!Y406="","",1/Match_Data!Y406)</x:f>
      </x:c>
      <x:c r="N406" s="32" t="str">
        <x:f>IF(Match_Data!AA406="","",1/Match_Data!AA406)</x:f>
      </x:c>
      <x:c r="O406" s="32" t="str">
        <x:f>IF(OR(M406="",N406=""),"",N406-M406)</x:f>
      </x:c>
      <x:c r="P406" t="str">
        <x:f>IF(Match_Data!J406="","",IF(Match_Data!J406="OVER",1,0))</x:f>
      </x:c>
    </x:row>
    <x:row r="407">
      <x:c r="A407" t="n">
        <x:f>Match_Data!A407</x:f>
        <x:v>0</x:v>
      </x:c>
      <x:c r="B407" s="28" t="n">
        <x:f>Match_Data!B407</x:f>
        <x:v>0</x:v>
      </x:c>
      <x:c r="C407" t="n">
        <x:f>Match_Data!C407</x:f>
        <x:v>0</x:v>
      </x:c>
      <x:c r="D407" t="n">
        <x:f>Match_Data!E407</x:f>
        <x:v>0</x:v>
      </x:c>
      <x:c r="E407" t="n">
        <x:f>Match_Data!F407</x:f>
        <x:v>0</x:v>
      </x:c>
      <x:c r="F407" t="n">
        <x:f>Match_Data!AC407</x:f>
        <x:v>0</x:v>
      </x:c>
      <x:c r="G407" t="str">
        <x:f>IF(OR(Match_Data!K407="",Match_Data!L407=""),"",AVERAGE(Match_Data!K407:L407))</x:f>
      </x:c>
      <x:c r="H407" t="str">
        <x:f>IF(OR(Match_Data!M407="",Match_Data!N407=""),"",AVERAGE(Match_Data!M407:N407))</x:f>
      </x:c>
      <x:c r="I407" t="str">
        <x:f>IF(OR(Match_Data!O407="",Match_Data!Q407=""),"",Match_Data!O407+Match_Data!Q407)</x:f>
      </x:c>
      <x:c r="J407" t="str">
        <x:f>IF(OR(Match_Data!P407="",Match_Data!R407=""),"",Match_Data!P407+Match_Data!R407)</x:f>
      </x:c>
      <x:c r="K407" t="str">
        <x:f>IF(OR(Match_Data!S407="",Match_Data!T407=""),"",Match_Data!S407+Match_Data!T407)</x:f>
      </x:c>
      <x:c r="L407" t="str">
        <x:f>IF(OR(Match_Data!U407="",Match_Data!V407=""),"",Match_Data!U407-Match_Data!V407)</x:f>
      </x:c>
      <x:c r="M407" s="32" t="str">
        <x:f>IF(Match_Data!Y407="","",1/Match_Data!Y407)</x:f>
      </x:c>
      <x:c r="N407" s="32" t="str">
        <x:f>IF(Match_Data!AA407="","",1/Match_Data!AA407)</x:f>
      </x:c>
      <x:c r="O407" s="32" t="str">
        <x:f>IF(OR(M407="",N407=""),"",N407-M407)</x:f>
      </x:c>
      <x:c r="P407" t="str">
        <x:f>IF(Match_Data!J407="","",IF(Match_Data!J407="OVER",1,0))</x:f>
      </x:c>
    </x:row>
    <x:row r="408">
      <x:c r="A408" t="n">
        <x:f>Match_Data!A408</x:f>
        <x:v>0</x:v>
      </x:c>
      <x:c r="B408" s="28" t="n">
        <x:f>Match_Data!B408</x:f>
        <x:v>0</x:v>
      </x:c>
      <x:c r="C408" t="n">
        <x:f>Match_Data!C408</x:f>
        <x:v>0</x:v>
      </x:c>
      <x:c r="D408" t="n">
        <x:f>Match_Data!E408</x:f>
        <x:v>0</x:v>
      </x:c>
      <x:c r="E408" t="n">
        <x:f>Match_Data!F408</x:f>
        <x:v>0</x:v>
      </x:c>
      <x:c r="F408" t="n">
        <x:f>Match_Data!AC408</x:f>
        <x:v>0</x:v>
      </x:c>
      <x:c r="G408" t="str">
        <x:f>IF(OR(Match_Data!K408="",Match_Data!L408=""),"",AVERAGE(Match_Data!K408:L408))</x:f>
      </x:c>
      <x:c r="H408" t="str">
        <x:f>IF(OR(Match_Data!M408="",Match_Data!N408=""),"",AVERAGE(Match_Data!M408:N408))</x:f>
      </x:c>
      <x:c r="I408" t="str">
        <x:f>IF(OR(Match_Data!O408="",Match_Data!Q408=""),"",Match_Data!O408+Match_Data!Q408)</x:f>
      </x:c>
      <x:c r="J408" t="str">
        <x:f>IF(OR(Match_Data!P408="",Match_Data!R408=""),"",Match_Data!P408+Match_Data!R408)</x:f>
      </x:c>
      <x:c r="K408" t="str">
        <x:f>IF(OR(Match_Data!S408="",Match_Data!T408=""),"",Match_Data!S408+Match_Data!T408)</x:f>
      </x:c>
      <x:c r="L408" t="str">
        <x:f>IF(OR(Match_Data!U408="",Match_Data!V408=""),"",Match_Data!U408-Match_Data!V408)</x:f>
      </x:c>
      <x:c r="M408" s="32" t="str">
        <x:f>IF(Match_Data!Y408="","",1/Match_Data!Y408)</x:f>
      </x:c>
      <x:c r="N408" s="32" t="str">
        <x:f>IF(Match_Data!AA408="","",1/Match_Data!AA408)</x:f>
      </x:c>
      <x:c r="O408" s="32" t="str">
        <x:f>IF(OR(M408="",N408=""),"",N408-M408)</x:f>
      </x:c>
      <x:c r="P408" t="str">
        <x:f>IF(Match_Data!J408="","",IF(Match_Data!J408="OVER",1,0))</x:f>
      </x:c>
    </x:row>
    <x:row r="409">
      <x:c r="A409" t="n">
        <x:f>Match_Data!A409</x:f>
        <x:v>0</x:v>
      </x:c>
      <x:c r="B409" s="28" t="n">
        <x:f>Match_Data!B409</x:f>
        <x:v>0</x:v>
      </x:c>
      <x:c r="C409" t="n">
        <x:f>Match_Data!C409</x:f>
        <x:v>0</x:v>
      </x:c>
      <x:c r="D409" t="n">
        <x:f>Match_Data!E409</x:f>
        <x:v>0</x:v>
      </x:c>
      <x:c r="E409" t="n">
        <x:f>Match_Data!F409</x:f>
        <x:v>0</x:v>
      </x:c>
      <x:c r="F409" t="n">
        <x:f>Match_Data!AC409</x:f>
        <x:v>0</x:v>
      </x:c>
      <x:c r="G409" t="str">
        <x:f>IF(OR(Match_Data!K409="",Match_Data!L409=""),"",AVERAGE(Match_Data!K409:L409))</x:f>
      </x:c>
      <x:c r="H409" t="str">
        <x:f>IF(OR(Match_Data!M409="",Match_Data!N409=""),"",AVERAGE(Match_Data!M409:N409))</x:f>
      </x:c>
      <x:c r="I409" t="str">
        <x:f>IF(OR(Match_Data!O409="",Match_Data!Q409=""),"",Match_Data!O409+Match_Data!Q409)</x:f>
      </x:c>
      <x:c r="J409" t="str">
        <x:f>IF(OR(Match_Data!P409="",Match_Data!R409=""),"",Match_Data!P409+Match_Data!R409)</x:f>
      </x:c>
      <x:c r="K409" t="str">
        <x:f>IF(OR(Match_Data!S409="",Match_Data!T409=""),"",Match_Data!S409+Match_Data!T409)</x:f>
      </x:c>
      <x:c r="L409" t="str">
        <x:f>IF(OR(Match_Data!U409="",Match_Data!V409=""),"",Match_Data!U409-Match_Data!V409)</x:f>
      </x:c>
      <x:c r="M409" s="32" t="str">
        <x:f>IF(Match_Data!Y409="","",1/Match_Data!Y409)</x:f>
      </x:c>
      <x:c r="N409" s="32" t="str">
        <x:f>IF(Match_Data!AA409="","",1/Match_Data!AA409)</x:f>
      </x:c>
      <x:c r="O409" s="32" t="str">
        <x:f>IF(OR(M409="",N409=""),"",N409-M409)</x:f>
      </x:c>
      <x:c r="P409" t="str">
        <x:f>IF(Match_Data!J409="","",IF(Match_Data!J409="OVER",1,0))</x:f>
      </x:c>
    </x:row>
    <x:row r="410">
      <x:c r="A410" t="n">
        <x:f>Match_Data!A410</x:f>
        <x:v>0</x:v>
      </x:c>
      <x:c r="B410" s="28" t="n">
        <x:f>Match_Data!B410</x:f>
        <x:v>0</x:v>
      </x:c>
      <x:c r="C410" t="n">
        <x:f>Match_Data!C410</x:f>
        <x:v>0</x:v>
      </x:c>
      <x:c r="D410" t="n">
        <x:f>Match_Data!E410</x:f>
        <x:v>0</x:v>
      </x:c>
      <x:c r="E410" t="n">
        <x:f>Match_Data!F410</x:f>
        <x:v>0</x:v>
      </x:c>
      <x:c r="F410" t="n">
        <x:f>Match_Data!AC410</x:f>
        <x:v>0</x:v>
      </x:c>
      <x:c r="G410" t="str">
        <x:f>IF(OR(Match_Data!K410="",Match_Data!L410=""),"",AVERAGE(Match_Data!K410:L410))</x:f>
      </x:c>
      <x:c r="H410" t="str">
        <x:f>IF(OR(Match_Data!M410="",Match_Data!N410=""),"",AVERAGE(Match_Data!M410:N410))</x:f>
      </x:c>
      <x:c r="I410" t="str">
        <x:f>IF(OR(Match_Data!O410="",Match_Data!Q410=""),"",Match_Data!O410+Match_Data!Q410)</x:f>
      </x:c>
      <x:c r="J410" t="str">
        <x:f>IF(OR(Match_Data!P410="",Match_Data!R410=""),"",Match_Data!P410+Match_Data!R410)</x:f>
      </x:c>
      <x:c r="K410" t="str">
        <x:f>IF(OR(Match_Data!S410="",Match_Data!T410=""),"",Match_Data!S410+Match_Data!T410)</x:f>
      </x:c>
      <x:c r="L410" t="str">
        <x:f>IF(OR(Match_Data!U410="",Match_Data!V410=""),"",Match_Data!U410-Match_Data!V410)</x:f>
      </x:c>
      <x:c r="M410" s="32" t="str">
        <x:f>IF(Match_Data!Y410="","",1/Match_Data!Y410)</x:f>
      </x:c>
      <x:c r="N410" s="32" t="str">
        <x:f>IF(Match_Data!AA410="","",1/Match_Data!AA410)</x:f>
      </x:c>
      <x:c r="O410" s="32" t="str">
        <x:f>IF(OR(M410="",N410=""),"",N410-M410)</x:f>
      </x:c>
      <x:c r="P410" t="str">
        <x:f>IF(Match_Data!J410="","",IF(Match_Data!J410="OVER",1,0))</x:f>
      </x:c>
    </x:row>
    <x:row r="411">
      <x:c r="A411" t="n">
        <x:f>Match_Data!A411</x:f>
        <x:v>0</x:v>
      </x:c>
      <x:c r="B411" s="28" t="n">
        <x:f>Match_Data!B411</x:f>
        <x:v>0</x:v>
      </x:c>
      <x:c r="C411" t="n">
        <x:f>Match_Data!C411</x:f>
        <x:v>0</x:v>
      </x:c>
      <x:c r="D411" t="n">
        <x:f>Match_Data!E411</x:f>
        <x:v>0</x:v>
      </x:c>
      <x:c r="E411" t="n">
        <x:f>Match_Data!F411</x:f>
        <x:v>0</x:v>
      </x:c>
      <x:c r="F411" t="n">
        <x:f>Match_Data!AC411</x:f>
        <x:v>0</x:v>
      </x:c>
      <x:c r="G411" t="str">
        <x:f>IF(OR(Match_Data!K411="",Match_Data!L411=""),"",AVERAGE(Match_Data!K411:L411))</x:f>
      </x:c>
      <x:c r="H411" t="str">
        <x:f>IF(OR(Match_Data!M411="",Match_Data!N411=""),"",AVERAGE(Match_Data!M411:N411))</x:f>
      </x:c>
      <x:c r="I411" t="str">
        <x:f>IF(OR(Match_Data!O411="",Match_Data!Q411=""),"",Match_Data!O411+Match_Data!Q411)</x:f>
      </x:c>
      <x:c r="J411" t="str">
        <x:f>IF(OR(Match_Data!P411="",Match_Data!R411=""),"",Match_Data!P411+Match_Data!R411)</x:f>
      </x:c>
      <x:c r="K411" t="str">
        <x:f>IF(OR(Match_Data!S411="",Match_Data!T411=""),"",Match_Data!S411+Match_Data!T411)</x:f>
      </x:c>
      <x:c r="L411" t="str">
        <x:f>IF(OR(Match_Data!U411="",Match_Data!V411=""),"",Match_Data!U411-Match_Data!V411)</x:f>
      </x:c>
      <x:c r="M411" s="32" t="str">
        <x:f>IF(Match_Data!Y411="","",1/Match_Data!Y411)</x:f>
      </x:c>
      <x:c r="N411" s="32" t="str">
        <x:f>IF(Match_Data!AA411="","",1/Match_Data!AA411)</x:f>
      </x:c>
      <x:c r="O411" s="32" t="str">
        <x:f>IF(OR(M411="",N411=""),"",N411-M411)</x:f>
      </x:c>
      <x:c r="P411" t="str">
        <x:f>IF(Match_Data!J411="","",IF(Match_Data!J411="OVER",1,0))</x:f>
      </x:c>
    </x:row>
    <x:row r="412">
      <x:c r="A412" t="n">
        <x:f>Match_Data!A412</x:f>
        <x:v>0</x:v>
      </x:c>
      <x:c r="B412" s="28" t="n">
        <x:f>Match_Data!B412</x:f>
        <x:v>0</x:v>
      </x:c>
      <x:c r="C412" t="n">
        <x:f>Match_Data!C412</x:f>
        <x:v>0</x:v>
      </x:c>
      <x:c r="D412" t="n">
        <x:f>Match_Data!E412</x:f>
        <x:v>0</x:v>
      </x:c>
      <x:c r="E412" t="n">
        <x:f>Match_Data!F412</x:f>
        <x:v>0</x:v>
      </x:c>
      <x:c r="F412" t="n">
        <x:f>Match_Data!AC412</x:f>
        <x:v>0</x:v>
      </x:c>
      <x:c r="G412" t="str">
        <x:f>IF(OR(Match_Data!K412="",Match_Data!L412=""),"",AVERAGE(Match_Data!K412:L412))</x:f>
      </x:c>
      <x:c r="H412" t="str">
        <x:f>IF(OR(Match_Data!M412="",Match_Data!N412=""),"",AVERAGE(Match_Data!M412:N412))</x:f>
      </x:c>
      <x:c r="I412" t="str">
        <x:f>IF(OR(Match_Data!O412="",Match_Data!Q412=""),"",Match_Data!O412+Match_Data!Q412)</x:f>
      </x:c>
      <x:c r="J412" t="str">
        <x:f>IF(OR(Match_Data!P412="",Match_Data!R412=""),"",Match_Data!P412+Match_Data!R412)</x:f>
      </x:c>
      <x:c r="K412" t="str">
        <x:f>IF(OR(Match_Data!S412="",Match_Data!T412=""),"",Match_Data!S412+Match_Data!T412)</x:f>
      </x:c>
      <x:c r="L412" t="str">
        <x:f>IF(OR(Match_Data!U412="",Match_Data!V412=""),"",Match_Data!U412-Match_Data!V412)</x:f>
      </x:c>
      <x:c r="M412" s="32" t="str">
        <x:f>IF(Match_Data!Y412="","",1/Match_Data!Y412)</x:f>
      </x:c>
      <x:c r="N412" s="32" t="str">
        <x:f>IF(Match_Data!AA412="","",1/Match_Data!AA412)</x:f>
      </x:c>
      <x:c r="O412" s="32" t="str">
        <x:f>IF(OR(M412="",N412=""),"",N412-M412)</x:f>
      </x:c>
      <x:c r="P412" t="str">
        <x:f>IF(Match_Data!J412="","",IF(Match_Data!J412="OVER",1,0))</x:f>
      </x:c>
    </x:row>
    <x:row r="413">
      <x:c r="A413" t="n">
        <x:f>Match_Data!A413</x:f>
        <x:v>0</x:v>
      </x:c>
      <x:c r="B413" s="28" t="n">
        <x:f>Match_Data!B413</x:f>
        <x:v>0</x:v>
      </x:c>
      <x:c r="C413" t="n">
        <x:f>Match_Data!C413</x:f>
        <x:v>0</x:v>
      </x:c>
      <x:c r="D413" t="n">
        <x:f>Match_Data!E413</x:f>
        <x:v>0</x:v>
      </x:c>
      <x:c r="E413" t="n">
        <x:f>Match_Data!F413</x:f>
        <x:v>0</x:v>
      </x:c>
      <x:c r="F413" t="n">
        <x:f>Match_Data!AC413</x:f>
        <x:v>0</x:v>
      </x:c>
      <x:c r="G413" t="str">
        <x:f>IF(OR(Match_Data!K413="",Match_Data!L413=""),"",AVERAGE(Match_Data!K413:L413))</x:f>
      </x:c>
      <x:c r="H413" t="str">
        <x:f>IF(OR(Match_Data!M413="",Match_Data!N413=""),"",AVERAGE(Match_Data!M413:N413))</x:f>
      </x:c>
      <x:c r="I413" t="str">
        <x:f>IF(OR(Match_Data!O413="",Match_Data!Q413=""),"",Match_Data!O413+Match_Data!Q413)</x:f>
      </x:c>
      <x:c r="J413" t="str">
        <x:f>IF(OR(Match_Data!P413="",Match_Data!R413=""),"",Match_Data!P413+Match_Data!R413)</x:f>
      </x:c>
      <x:c r="K413" t="str">
        <x:f>IF(OR(Match_Data!S413="",Match_Data!T413=""),"",Match_Data!S413+Match_Data!T413)</x:f>
      </x:c>
      <x:c r="L413" t="str">
        <x:f>IF(OR(Match_Data!U413="",Match_Data!V413=""),"",Match_Data!U413-Match_Data!V413)</x:f>
      </x:c>
      <x:c r="M413" s="32" t="str">
        <x:f>IF(Match_Data!Y413="","",1/Match_Data!Y413)</x:f>
      </x:c>
      <x:c r="N413" s="32" t="str">
        <x:f>IF(Match_Data!AA413="","",1/Match_Data!AA413)</x:f>
      </x:c>
      <x:c r="O413" s="32" t="str">
        <x:f>IF(OR(M413="",N413=""),"",N413-M413)</x:f>
      </x:c>
      <x:c r="P413" t="str">
        <x:f>IF(Match_Data!J413="","",IF(Match_Data!J413="OVER",1,0))</x:f>
      </x:c>
    </x:row>
    <x:row r="414">
      <x:c r="A414" t="n">
        <x:f>Match_Data!A414</x:f>
        <x:v>0</x:v>
      </x:c>
      <x:c r="B414" s="28" t="n">
        <x:f>Match_Data!B414</x:f>
        <x:v>0</x:v>
      </x:c>
      <x:c r="C414" t="n">
        <x:f>Match_Data!C414</x:f>
        <x:v>0</x:v>
      </x:c>
      <x:c r="D414" t="n">
        <x:f>Match_Data!E414</x:f>
        <x:v>0</x:v>
      </x:c>
      <x:c r="E414" t="n">
        <x:f>Match_Data!F414</x:f>
        <x:v>0</x:v>
      </x:c>
      <x:c r="F414" t="n">
        <x:f>Match_Data!AC414</x:f>
        <x:v>0</x:v>
      </x:c>
      <x:c r="G414" t="str">
        <x:f>IF(OR(Match_Data!K414="",Match_Data!L414=""),"",AVERAGE(Match_Data!K414:L414))</x:f>
      </x:c>
      <x:c r="H414" t="str">
        <x:f>IF(OR(Match_Data!M414="",Match_Data!N414=""),"",AVERAGE(Match_Data!M414:N414))</x:f>
      </x:c>
      <x:c r="I414" t="str">
        <x:f>IF(OR(Match_Data!O414="",Match_Data!Q414=""),"",Match_Data!O414+Match_Data!Q414)</x:f>
      </x:c>
      <x:c r="J414" t="str">
        <x:f>IF(OR(Match_Data!P414="",Match_Data!R414=""),"",Match_Data!P414+Match_Data!R414)</x:f>
      </x:c>
      <x:c r="K414" t="str">
        <x:f>IF(OR(Match_Data!S414="",Match_Data!T414=""),"",Match_Data!S414+Match_Data!T414)</x:f>
      </x:c>
      <x:c r="L414" t="str">
        <x:f>IF(OR(Match_Data!U414="",Match_Data!V414=""),"",Match_Data!U414-Match_Data!V414)</x:f>
      </x:c>
      <x:c r="M414" s="32" t="str">
        <x:f>IF(Match_Data!Y414="","",1/Match_Data!Y414)</x:f>
      </x:c>
      <x:c r="N414" s="32" t="str">
        <x:f>IF(Match_Data!AA414="","",1/Match_Data!AA414)</x:f>
      </x:c>
      <x:c r="O414" s="32" t="str">
        <x:f>IF(OR(M414="",N414=""),"",N414-M414)</x:f>
      </x:c>
      <x:c r="P414" t="str">
        <x:f>IF(Match_Data!J414="","",IF(Match_Data!J414="OVER",1,0))</x:f>
      </x:c>
    </x:row>
    <x:row r="415">
      <x:c r="A415" t="n">
        <x:f>Match_Data!A415</x:f>
        <x:v>0</x:v>
      </x:c>
      <x:c r="B415" s="28" t="n">
        <x:f>Match_Data!B415</x:f>
        <x:v>0</x:v>
      </x:c>
      <x:c r="C415" t="n">
        <x:f>Match_Data!C415</x:f>
        <x:v>0</x:v>
      </x:c>
      <x:c r="D415" t="n">
        <x:f>Match_Data!E415</x:f>
        <x:v>0</x:v>
      </x:c>
      <x:c r="E415" t="n">
        <x:f>Match_Data!F415</x:f>
        <x:v>0</x:v>
      </x:c>
      <x:c r="F415" t="n">
        <x:f>Match_Data!AC415</x:f>
        <x:v>0</x:v>
      </x:c>
      <x:c r="G415" t="str">
        <x:f>IF(OR(Match_Data!K415="",Match_Data!L415=""),"",AVERAGE(Match_Data!K415:L415))</x:f>
      </x:c>
      <x:c r="H415" t="str">
        <x:f>IF(OR(Match_Data!M415="",Match_Data!N415=""),"",AVERAGE(Match_Data!M415:N415))</x:f>
      </x:c>
      <x:c r="I415" t="str">
        <x:f>IF(OR(Match_Data!O415="",Match_Data!Q415=""),"",Match_Data!O415+Match_Data!Q415)</x:f>
      </x:c>
      <x:c r="J415" t="str">
        <x:f>IF(OR(Match_Data!P415="",Match_Data!R415=""),"",Match_Data!P415+Match_Data!R415)</x:f>
      </x:c>
      <x:c r="K415" t="str">
        <x:f>IF(OR(Match_Data!S415="",Match_Data!T415=""),"",Match_Data!S415+Match_Data!T415)</x:f>
      </x:c>
      <x:c r="L415" t="str">
        <x:f>IF(OR(Match_Data!U415="",Match_Data!V415=""),"",Match_Data!U415-Match_Data!V415)</x:f>
      </x:c>
      <x:c r="M415" s="32" t="str">
        <x:f>IF(Match_Data!Y415="","",1/Match_Data!Y415)</x:f>
      </x:c>
      <x:c r="N415" s="32" t="str">
        <x:f>IF(Match_Data!AA415="","",1/Match_Data!AA415)</x:f>
      </x:c>
      <x:c r="O415" s="32" t="str">
        <x:f>IF(OR(M415="",N415=""),"",N415-M415)</x:f>
      </x:c>
      <x:c r="P415" t="str">
        <x:f>IF(Match_Data!J415="","",IF(Match_Data!J415="OVER",1,0))</x:f>
      </x:c>
    </x:row>
    <x:row r="416">
      <x:c r="A416" t="n">
        <x:f>Match_Data!A416</x:f>
        <x:v>0</x:v>
      </x:c>
      <x:c r="B416" s="28" t="n">
        <x:f>Match_Data!B416</x:f>
        <x:v>0</x:v>
      </x:c>
      <x:c r="C416" t="n">
        <x:f>Match_Data!C416</x:f>
        <x:v>0</x:v>
      </x:c>
      <x:c r="D416" t="n">
        <x:f>Match_Data!E416</x:f>
        <x:v>0</x:v>
      </x:c>
      <x:c r="E416" t="n">
        <x:f>Match_Data!F416</x:f>
        <x:v>0</x:v>
      </x:c>
      <x:c r="F416" t="n">
        <x:f>Match_Data!AC416</x:f>
        <x:v>0</x:v>
      </x:c>
      <x:c r="G416" t="str">
        <x:f>IF(OR(Match_Data!K416="",Match_Data!L416=""),"",AVERAGE(Match_Data!K416:L416))</x:f>
      </x:c>
      <x:c r="H416" t="str">
        <x:f>IF(OR(Match_Data!M416="",Match_Data!N416=""),"",AVERAGE(Match_Data!M416:N416))</x:f>
      </x:c>
      <x:c r="I416" t="str">
        <x:f>IF(OR(Match_Data!O416="",Match_Data!Q416=""),"",Match_Data!O416+Match_Data!Q416)</x:f>
      </x:c>
      <x:c r="J416" t="str">
        <x:f>IF(OR(Match_Data!P416="",Match_Data!R416=""),"",Match_Data!P416+Match_Data!R416)</x:f>
      </x:c>
      <x:c r="K416" t="str">
        <x:f>IF(OR(Match_Data!S416="",Match_Data!T416=""),"",Match_Data!S416+Match_Data!T416)</x:f>
      </x:c>
      <x:c r="L416" t="str">
        <x:f>IF(OR(Match_Data!U416="",Match_Data!V416=""),"",Match_Data!U416-Match_Data!V416)</x:f>
      </x:c>
      <x:c r="M416" s="32" t="str">
        <x:f>IF(Match_Data!Y416="","",1/Match_Data!Y416)</x:f>
      </x:c>
      <x:c r="N416" s="32" t="str">
        <x:f>IF(Match_Data!AA416="","",1/Match_Data!AA416)</x:f>
      </x:c>
      <x:c r="O416" s="32" t="str">
        <x:f>IF(OR(M416="",N416=""),"",N416-M416)</x:f>
      </x:c>
      <x:c r="P416" t="str">
        <x:f>IF(Match_Data!J416="","",IF(Match_Data!J416="OVER",1,0))</x:f>
      </x:c>
    </x:row>
    <x:row r="417">
      <x:c r="A417" t="n">
        <x:f>Match_Data!A417</x:f>
        <x:v>0</x:v>
      </x:c>
      <x:c r="B417" s="28" t="n">
        <x:f>Match_Data!B417</x:f>
        <x:v>0</x:v>
      </x:c>
      <x:c r="C417" t="n">
        <x:f>Match_Data!C417</x:f>
        <x:v>0</x:v>
      </x:c>
      <x:c r="D417" t="n">
        <x:f>Match_Data!E417</x:f>
        <x:v>0</x:v>
      </x:c>
      <x:c r="E417" t="n">
        <x:f>Match_Data!F417</x:f>
        <x:v>0</x:v>
      </x:c>
      <x:c r="F417" t="n">
        <x:f>Match_Data!AC417</x:f>
        <x:v>0</x:v>
      </x:c>
      <x:c r="G417" t="str">
        <x:f>IF(OR(Match_Data!K417="",Match_Data!L417=""),"",AVERAGE(Match_Data!K417:L417))</x:f>
      </x:c>
      <x:c r="H417" t="str">
        <x:f>IF(OR(Match_Data!M417="",Match_Data!N417=""),"",AVERAGE(Match_Data!M417:N417))</x:f>
      </x:c>
      <x:c r="I417" t="str">
        <x:f>IF(OR(Match_Data!O417="",Match_Data!Q417=""),"",Match_Data!O417+Match_Data!Q417)</x:f>
      </x:c>
      <x:c r="J417" t="str">
        <x:f>IF(OR(Match_Data!P417="",Match_Data!R417=""),"",Match_Data!P417+Match_Data!R417)</x:f>
      </x:c>
      <x:c r="K417" t="str">
        <x:f>IF(OR(Match_Data!S417="",Match_Data!T417=""),"",Match_Data!S417+Match_Data!T417)</x:f>
      </x:c>
      <x:c r="L417" t="str">
        <x:f>IF(OR(Match_Data!U417="",Match_Data!V417=""),"",Match_Data!U417-Match_Data!V417)</x:f>
      </x:c>
      <x:c r="M417" s="32" t="str">
        <x:f>IF(Match_Data!Y417="","",1/Match_Data!Y417)</x:f>
      </x:c>
      <x:c r="N417" s="32" t="str">
        <x:f>IF(Match_Data!AA417="","",1/Match_Data!AA417)</x:f>
      </x:c>
      <x:c r="O417" s="32" t="str">
        <x:f>IF(OR(M417="",N417=""),"",N417-M417)</x:f>
      </x:c>
      <x:c r="P417" t="str">
        <x:f>IF(Match_Data!J417="","",IF(Match_Data!J417="OVER",1,0))</x:f>
      </x:c>
    </x:row>
    <x:row r="418">
      <x:c r="A418" t="n">
        <x:f>Match_Data!A418</x:f>
        <x:v>0</x:v>
      </x:c>
      <x:c r="B418" s="28" t="n">
        <x:f>Match_Data!B418</x:f>
        <x:v>0</x:v>
      </x:c>
      <x:c r="C418" t="n">
        <x:f>Match_Data!C418</x:f>
        <x:v>0</x:v>
      </x:c>
      <x:c r="D418" t="n">
        <x:f>Match_Data!E418</x:f>
        <x:v>0</x:v>
      </x:c>
      <x:c r="E418" t="n">
        <x:f>Match_Data!F418</x:f>
        <x:v>0</x:v>
      </x:c>
      <x:c r="F418" t="n">
        <x:f>Match_Data!AC418</x:f>
        <x:v>0</x:v>
      </x:c>
      <x:c r="G418" t="str">
        <x:f>IF(OR(Match_Data!K418="",Match_Data!L418=""),"",AVERAGE(Match_Data!K418:L418))</x:f>
      </x:c>
      <x:c r="H418" t="str">
        <x:f>IF(OR(Match_Data!M418="",Match_Data!N418=""),"",AVERAGE(Match_Data!M418:N418))</x:f>
      </x:c>
      <x:c r="I418" t="str">
        <x:f>IF(OR(Match_Data!O418="",Match_Data!Q418=""),"",Match_Data!O418+Match_Data!Q418)</x:f>
      </x:c>
      <x:c r="J418" t="str">
        <x:f>IF(OR(Match_Data!P418="",Match_Data!R418=""),"",Match_Data!P418+Match_Data!R418)</x:f>
      </x:c>
      <x:c r="K418" t="str">
        <x:f>IF(OR(Match_Data!S418="",Match_Data!T418=""),"",Match_Data!S418+Match_Data!T418)</x:f>
      </x:c>
      <x:c r="L418" t="str">
        <x:f>IF(OR(Match_Data!U418="",Match_Data!V418=""),"",Match_Data!U418-Match_Data!V418)</x:f>
      </x:c>
      <x:c r="M418" s="32" t="str">
        <x:f>IF(Match_Data!Y418="","",1/Match_Data!Y418)</x:f>
      </x:c>
      <x:c r="N418" s="32" t="str">
        <x:f>IF(Match_Data!AA418="","",1/Match_Data!AA418)</x:f>
      </x:c>
      <x:c r="O418" s="32" t="str">
        <x:f>IF(OR(M418="",N418=""),"",N418-M418)</x:f>
      </x:c>
      <x:c r="P418" t="str">
        <x:f>IF(Match_Data!J418="","",IF(Match_Data!J418="OVER",1,0))</x:f>
      </x:c>
    </x:row>
    <x:row r="419">
      <x:c r="A419" t="n">
        <x:f>Match_Data!A419</x:f>
        <x:v>0</x:v>
      </x:c>
      <x:c r="B419" s="28" t="n">
        <x:f>Match_Data!B419</x:f>
        <x:v>0</x:v>
      </x:c>
      <x:c r="C419" t="n">
        <x:f>Match_Data!C419</x:f>
        <x:v>0</x:v>
      </x:c>
      <x:c r="D419" t="n">
        <x:f>Match_Data!E419</x:f>
        <x:v>0</x:v>
      </x:c>
      <x:c r="E419" t="n">
        <x:f>Match_Data!F419</x:f>
        <x:v>0</x:v>
      </x:c>
      <x:c r="F419" t="n">
        <x:f>Match_Data!AC419</x:f>
        <x:v>0</x:v>
      </x:c>
      <x:c r="G419" t="str">
        <x:f>IF(OR(Match_Data!K419="",Match_Data!L419=""),"",AVERAGE(Match_Data!K419:L419))</x:f>
      </x:c>
      <x:c r="H419" t="str">
        <x:f>IF(OR(Match_Data!M419="",Match_Data!N419=""),"",AVERAGE(Match_Data!M419:N419))</x:f>
      </x:c>
      <x:c r="I419" t="str">
        <x:f>IF(OR(Match_Data!O419="",Match_Data!Q419=""),"",Match_Data!O419+Match_Data!Q419)</x:f>
      </x:c>
      <x:c r="J419" t="str">
        <x:f>IF(OR(Match_Data!P419="",Match_Data!R419=""),"",Match_Data!P419+Match_Data!R419)</x:f>
      </x:c>
      <x:c r="K419" t="str">
        <x:f>IF(OR(Match_Data!S419="",Match_Data!T419=""),"",Match_Data!S419+Match_Data!T419)</x:f>
      </x:c>
      <x:c r="L419" t="str">
        <x:f>IF(OR(Match_Data!U419="",Match_Data!V419=""),"",Match_Data!U419-Match_Data!V419)</x:f>
      </x:c>
      <x:c r="M419" s="32" t="str">
        <x:f>IF(Match_Data!Y419="","",1/Match_Data!Y419)</x:f>
      </x:c>
      <x:c r="N419" s="32" t="str">
        <x:f>IF(Match_Data!AA419="","",1/Match_Data!AA419)</x:f>
      </x:c>
      <x:c r="O419" s="32" t="str">
        <x:f>IF(OR(M419="",N419=""),"",N419-M419)</x:f>
      </x:c>
      <x:c r="P419" t="str">
        <x:f>IF(Match_Data!J419="","",IF(Match_Data!J419="OVER",1,0))</x:f>
      </x:c>
    </x:row>
    <x:row r="420">
      <x:c r="A420" t="n">
        <x:f>Match_Data!A420</x:f>
        <x:v>0</x:v>
      </x:c>
      <x:c r="B420" s="28" t="n">
        <x:f>Match_Data!B420</x:f>
        <x:v>0</x:v>
      </x:c>
      <x:c r="C420" t="n">
        <x:f>Match_Data!C420</x:f>
        <x:v>0</x:v>
      </x:c>
      <x:c r="D420" t="n">
        <x:f>Match_Data!E420</x:f>
        <x:v>0</x:v>
      </x:c>
      <x:c r="E420" t="n">
        <x:f>Match_Data!F420</x:f>
        <x:v>0</x:v>
      </x:c>
      <x:c r="F420" t="n">
        <x:f>Match_Data!AC420</x:f>
        <x:v>0</x:v>
      </x:c>
      <x:c r="G420" t="str">
        <x:f>IF(OR(Match_Data!K420="",Match_Data!L420=""),"",AVERAGE(Match_Data!K420:L420))</x:f>
      </x:c>
      <x:c r="H420" t="str">
        <x:f>IF(OR(Match_Data!M420="",Match_Data!N420=""),"",AVERAGE(Match_Data!M420:N420))</x:f>
      </x:c>
      <x:c r="I420" t="str">
        <x:f>IF(OR(Match_Data!O420="",Match_Data!Q420=""),"",Match_Data!O420+Match_Data!Q420)</x:f>
      </x:c>
      <x:c r="J420" t="str">
        <x:f>IF(OR(Match_Data!P420="",Match_Data!R420=""),"",Match_Data!P420+Match_Data!R420)</x:f>
      </x:c>
      <x:c r="K420" t="str">
        <x:f>IF(OR(Match_Data!S420="",Match_Data!T420=""),"",Match_Data!S420+Match_Data!T420)</x:f>
      </x:c>
      <x:c r="L420" t="str">
        <x:f>IF(OR(Match_Data!U420="",Match_Data!V420=""),"",Match_Data!U420-Match_Data!V420)</x:f>
      </x:c>
      <x:c r="M420" s="32" t="str">
        <x:f>IF(Match_Data!Y420="","",1/Match_Data!Y420)</x:f>
      </x:c>
      <x:c r="N420" s="32" t="str">
        <x:f>IF(Match_Data!AA420="","",1/Match_Data!AA420)</x:f>
      </x:c>
      <x:c r="O420" s="32" t="str">
        <x:f>IF(OR(M420="",N420=""),"",N420-M420)</x:f>
      </x:c>
      <x:c r="P420" t="str">
        <x:f>IF(Match_Data!J420="","",IF(Match_Data!J420="OVER",1,0))</x:f>
      </x:c>
    </x:row>
    <x:row r="421">
      <x:c r="A421" t="n">
        <x:f>Match_Data!A421</x:f>
        <x:v>0</x:v>
      </x:c>
      <x:c r="B421" s="28" t="n">
        <x:f>Match_Data!B421</x:f>
        <x:v>0</x:v>
      </x:c>
      <x:c r="C421" t="n">
        <x:f>Match_Data!C421</x:f>
        <x:v>0</x:v>
      </x:c>
      <x:c r="D421" t="n">
        <x:f>Match_Data!E421</x:f>
        <x:v>0</x:v>
      </x:c>
      <x:c r="E421" t="n">
        <x:f>Match_Data!F421</x:f>
        <x:v>0</x:v>
      </x:c>
      <x:c r="F421" t="n">
        <x:f>Match_Data!AC421</x:f>
        <x:v>0</x:v>
      </x:c>
      <x:c r="G421" t="str">
        <x:f>IF(OR(Match_Data!K421="",Match_Data!L421=""),"",AVERAGE(Match_Data!K421:L421))</x:f>
      </x:c>
      <x:c r="H421" t="str">
        <x:f>IF(OR(Match_Data!M421="",Match_Data!N421=""),"",AVERAGE(Match_Data!M421:N421))</x:f>
      </x:c>
      <x:c r="I421" t="str">
        <x:f>IF(OR(Match_Data!O421="",Match_Data!Q421=""),"",Match_Data!O421+Match_Data!Q421)</x:f>
      </x:c>
      <x:c r="J421" t="str">
        <x:f>IF(OR(Match_Data!P421="",Match_Data!R421=""),"",Match_Data!P421+Match_Data!R421)</x:f>
      </x:c>
      <x:c r="K421" t="str">
        <x:f>IF(OR(Match_Data!S421="",Match_Data!T421=""),"",Match_Data!S421+Match_Data!T421)</x:f>
      </x:c>
      <x:c r="L421" t="str">
        <x:f>IF(OR(Match_Data!U421="",Match_Data!V421=""),"",Match_Data!U421-Match_Data!V421)</x:f>
      </x:c>
      <x:c r="M421" s="32" t="str">
        <x:f>IF(Match_Data!Y421="","",1/Match_Data!Y421)</x:f>
      </x:c>
      <x:c r="N421" s="32" t="str">
        <x:f>IF(Match_Data!AA421="","",1/Match_Data!AA421)</x:f>
      </x:c>
      <x:c r="O421" s="32" t="str">
        <x:f>IF(OR(M421="",N421=""),"",N421-M421)</x:f>
      </x:c>
      <x:c r="P421" t="str">
        <x:f>IF(Match_Data!J421="","",IF(Match_Data!J421="OVER",1,0))</x:f>
      </x:c>
    </x:row>
    <x:row r="422">
      <x:c r="A422" t="n">
        <x:f>Match_Data!A422</x:f>
        <x:v>0</x:v>
      </x:c>
      <x:c r="B422" s="28" t="n">
        <x:f>Match_Data!B422</x:f>
        <x:v>0</x:v>
      </x:c>
      <x:c r="C422" t="n">
        <x:f>Match_Data!C422</x:f>
        <x:v>0</x:v>
      </x:c>
      <x:c r="D422" t="n">
        <x:f>Match_Data!E422</x:f>
        <x:v>0</x:v>
      </x:c>
      <x:c r="E422" t="n">
        <x:f>Match_Data!F422</x:f>
        <x:v>0</x:v>
      </x:c>
      <x:c r="F422" t="n">
        <x:f>Match_Data!AC422</x:f>
        <x:v>0</x:v>
      </x:c>
      <x:c r="G422" t="str">
        <x:f>IF(OR(Match_Data!K422="",Match_Data!L422=""),"",AVERAGE(Match_Data!K422:L422))</x:f>
      </x:c>
      <x:c r="H422" t="str">
        <x:f>IF(OR(Match_Data!M422="",Match_Data!N422=""),"",AVERAGE(Match_Data!M422:N422))</x:f>
      </x:c>
      <x:c r="I422" t="str">
        <x:f>IF(OR(Match_Data!O422="",Match_Data!Q422=""),"",Match_Data!O422+Match_Data!Q422)</x:f>
      </x:c>
      <x:c r="J422" t="str">
        <x:f>IF(OR(Match_Data!P422="",Match_Data!R422=""),"",Match_Data!P422+Match_Data!R422)</x:f>
      </x:c>
      <x:c r="K422" t="str">
        <x:f>IF(OR(Match_Data!S422="",Match_Data!T422=""),"",Match_Data!S422+Match_Data!T422)</x:f>
      </x:c>
      <x:c r="L422" t="str">
        <x:f>IF(OR(Match_Data!U422="",Match_Data!V422=""),"",Match_Data!U422-Match_Data!V422)</x:f>
      </x:c>
      <x:c r="M422" s="32" t="str">
        <x:f>IF(Match_Data!Y422="","",1/Match_Data!Y422)</x:f>
      </x:c>
      <x:c r="N422" s="32" t="str">
        <x:f>IF(Match_Data!AA422="","",1/Match_Data!AA422)</x:f>
      </x:c>
      <x:c r="O422" s="32" t="str">
        <x:f>IF(OR(M422="",N422=""),"",N422-M422)</x:f>
      </x:c>
      <x:c r="P422" t="str">
        <x:f>IF(Match_Data!J422="","",IF(Match_Data!J422="OVER",1,0))</x:f>
      </x:c>
    </x:row>
    <x:row r="423">
      <x:c r="A423" t="n">
        <x:f>Match_Data!A423</x:f>
        <x:v>0</x:v>
      </x:c>
      <x:c r="B423" s="28" t="n">
        <x:f>Match_Data!B423</x:f>
        <x:v>0</x:v>
      </x:c>
      <x:c r="C423" t="n">
        <x:f>Match_Data!C423</x:f>
        <x:v>0</x:v>
      </x:c>
      <x:c r="D423" t="n">
        <x:f>Match_Data!E423</x:f>
        <x:v>0</x:v>
      </x:c>
      <x:c r="E423" t="n">
        <x:f>Match_Data!F423</x:f>
        <x:v>0</x:v>
      </x:c>
      <x:c r="F423" t="n">
        <x:f>Match_Data!AC423</x:f>
        <x:v>0</x:v>
      </x:c>
      <x:c r="G423" t="str">
        <x:f>IF(OR(Match_Data!K423="",Match_Data!L423=""),"",AVERAGE(Match_Data!K423:L423))</x:f>
      </x:c>
      <x:c r="H423" t="str">
        <x:f>IF(OR(Match_Data!M423="",Match_Data!N423=""),"",AVERAGE(Match_Data!M423:N423))</x:f>
      </x:c>
      <x:c r="I423" t="str">
        <x:f>IF(OR(Match_Data!O423="",Match_Data!Q423=""),"",Match_Data!O423+Match_Data!Q423)</x:f>
      </x:c>
      <x:c r="J423" t="str">
        <x:f>IF(OR(Match_Data!P423="",Match_Data!R423=""),"",Match_Data!P423+Match_Data!R423)</x:f>
      </x:c>
      <x:c r="K423" t="str">
        <x:f>IF(OR(Match_Data!S423="",Match_Data!T423=""),"",Match_Data!S423+Match_Data!T423)</x:f>
      </x:c>
      <x:c r="L423" t="str">
        <x:f>IF(OR(Match_Data!U423="",Match_Data!V423=""),"",Match_Data!U423-Match_Data!V423)</x:f>
      </x:c>
      <x:c r="M423" s="32" t="str">
        <x:f>IF(Match_Data!Y423="","",1/Match_Data!Y423)</x:f>
      </x:c>
      <x:c r="N423" s="32" t="str">
        <x:f>IF(Match_Data!AA423="","",1/Match_Data!AA423)</x:f>
      </x:c>
      <x:c r="O423" s="32" t="str">
        <x:f>IF(OR(M423="",N423=""),"",N423-M423)</x:f>
      </x:c>
      <x:c r="P423" t="str">
        <x:f>IF(Match_Data!J423="","",IF(Match_Data!J423="OVER",1,0))</x:f>
      </x:c>
    </x:row>
    <x:row r="424">
      <x:c r="A424" t="n">
        <x:f>Match_Data!A424</x:f>
        <x:v>0</x:v>
      </x:c>
      <x:c r="B424" s="28" t="n">
        <x:f>Match_Data!B424</x:f>
        <x:v>0</x:v>
      </x:c>
      <x:c r="C424" t="n">
        <x:f>Match_Data!C424</x:f>
        <x:v>0</x:v>
      </x:c>
      <x:c r="D424" t="n">
        <x:f>Match_Data!E424</x:f>
        <x:v>0</x:v>
      </x:c>
      <x:c r="E424" t="n">
        <x:f>Match_Data!F424</x:f>
        <x:v>0</x:v>
      </x:c>
      <x:c r="F424" t="n">
        <x:f>Match_Data!AC424</x:f>
        <x:v>0</x:v>
      </x:c>
      <x:c r="G424" t="str">
        <x:f>IF(OR(Match_Data!K424="",Match_Data!L424=""),"",AVERAGE(Match_Data!K424:L424))</x:f>
      </x:c>
      <x:c r="H424" t="str">
        <x:f>IF(OR(Match_Data!M424="",Match_Data!N424=""),"",AVERAGE(Match_Data!M424:N424))</x:f>
      </x:c>
      <x:c r="I424" t="str">
        <x:f>IF(OR(Match_Data!O424="",Match_Data!Q424=""),"",Match_Data!O424+Match_Data!Q424)</x:f>
      </x:c>
      <x:c r="J424" t="str">
        <x:f>IF(OR(Match_Data!P424="",Match_Data!R424=""),"",Match_Data!P424+Match_Data!R424)</x:f>
      </x:c>
      <x:c r="K424" t="str">
        <x:f>IF(OR(Match_Data!S424="",Match_Data!T424=""),"",Match_Data!S424+Match_Data!T424)</x:f>
      </x:c>
      <x:c r="L424" t="str">
        <x:f>IF(OR(Match_Data!U424="",Match_Data!V424=""),"",Match_Data!U424-Match_Data!V424)</x:f>
      </x:c>
      <x:c r="M424" s="32" t="str">
        <x:f>IF(Match_Data!Y424="","",1/Match_Data!Y424)</x:f>
      </x:c>
      <x:c r="N424" s="32" t="str">
        <x:f>IF(Match_Data!AA424="","",1/Match_Data!AA424)</x:f>
      </x:c>
      <x:c r="O424" s="32" t="str">
        <x:f>IF(OR(M424="",N424=""),"",N424-M424)</x:f>
      </x:c>
      <x:c r="P424" t="str">
        <x:f>IF(Match_Data!J424="","",IF(Match_Data!J424="OVER",1,0))</x:f>
      </x:c>
    </x:row>
    <x:row r="425">
      <x:c r="A425" t="n">
        <x:f>Match_Data!A425</x:f>
        <x:v>0</x:v>
      </x:c>
      <x:c r="B425" s="28" t="n">
        <x:f>Match_Data!B425</x:f>
        <x:v>0</x:v>
      </x:c>
      <x:c r="C425" t="n">
        <x:f>Match_Data!C425</x:f>
        <x:v>0</x:v>
      </x:c>
      <x:c r="D425" t="n">
        <x:f>Match_Data!E425</x:f>
        <x:v>0</x:v>
      </x:c>
      <x:c r="E425" t="n">
        <x:f>Match_Data!F425</x:f>
        <x:v>0</x:v>
      </x:c>
      <x:c r="F425" t="n">
        <x:f>Match_Data!AC425</x:f>
        <x:v>0</x:v>
      </x:c>
      <x:c r="G425" t="str">
        <x:f>IF(OR(Match_Data!K425="",Match_Data!L425=""),"",AVERAGE(Match_Data!K425:L425))</x:f>
      </x:c>
      <x:c r="H425" t="str">
        <x:f>IF(OR(Match_Data!M425="",Match_Data!N425=""),"",AVERAGE(Match_Data!M425:N425))</x:f>
      </x:c>
      <x:c r="I425" t="str">
        <x:f>IF(OR(Match_Data!O425="",Match_Data!Q425=""),"",Match_Data!O425+Match_Data!Q425)</x:f>
      </x:c>
      <x:c r="J425" t="str">
        <x:f>IF(OR(Match_Data!P425="",Match_Data!R425=""),"",Match_Data!P425+Match_Data!R425)</x:f>
      </x:c>
      <x:c r="K425" t="str">
        <x:f>IF(OR(Match_Data!S425="",Match_Data!T425=""),"",Match_Data!S425+Match_Data!T425)</x:f>
      </x:c>
      <x:c r="L425" t="str">
        <x:f>IF(OR(Match_Data!U425="",Match_Data!V425=""),"",Match_Data!U425-Match_Data!V425)</x:f>
      </x:c>
      <x:c r="M425" s="32" t="str">
        <x:f>IF(Match_Data!Y425="","",1/Match_Data!Y425)</x:f>
      </x:c>
      <x:c r="N425" s="32" t="str">
        <x:f>IF(Match_Data!AA425="","",1/Match_Data!AA425)</x:f>
      </x:c>
      <x:c r="O425" s="32" t="str">
        <x:f>IF(OR(M425="",N425=""),"",N425-M425)</x:f>
      </x:c>
      <x:c r="P425" t="str">
        <x:f>IF(Match_Data!J425="","",IF(Match_Data!J425="OVER",1,0))</x:f>
      </x:c>
    </x:row>
    <x:row r="426">
      <x:c r="A426" t="n">
        <x:f>Match_Data!A426</x:f>
        <x:v>0</x:v>
      </x:c>
      <x:c r="B426" s="28" t="n">
        <x:f>Match_Data!B426</x:f>
        <x:v>0</x:v>
      </x:c>
      <x:c r="C426" t="n">
        <x:f>Match_Data!C426</x:f>
        <x:v>0</x:v>
      </x:c>
      <x:c r="D426" t="n">
        <x:f>Match_Data!E426</x:f>
        <x:v>0</x:v>
      </x:c>
      <x:c r="E426" t="n">
        <x:f>Match_Data!F426</x:f>
        <x:v>0</x:v>
      </x:c>
      <x:c r="F426" t="n">
        <x:f>Match_Data!AC426</x:f>
        <x:v>0</x:v>
      </x:c>
      <x:c r="G426" t="str">
        <x:f>IF(OR(Match_Data!K426="",Match_Data!L426=""),"",AVERAGE(Match_Data!K426:L426))</x:f>
      </x:c>
      <x:c r="H426" t="str">
        <x:f>IF(OR(Match_Data!M426="",Match_Data!N426=""),"",AVERAGE(Match_Data!M426:N426))</x:f>
      </x:c>
      <x:c r="I426" t="str">
        <x:f>IF(OR(Match_Data!O426="",Match_Data!Q426=""),"",Match_Data!O426+Match_Data!Q426)</x:f>
      </x:c>
      <x:c r="J426" t="str">
        <x:f>IF(OR(Match_Data!P426="",Match_Data!R426=""),"",Match_Data!P426+Match_Data!R426)</x:f>
      </x:c>
      <x:c r="K426" t="str">
        <x:f>IF(OR(Match_Data!S426="",Match_Data!T426=""),"",Match_Data!S426+Match_Data!T426)</x:f>
      </x:c>
      <x:c r="L426" t="str">
        <x:f>IF(OR(Match_Data!U426="",Match_Data!V426=""),"",Match_Data!U426-Match_Data!V426)</x:f>
      </x:c>
      <x:c r="M426" s="32" t="str">
        <x:f>IF(Match_Data!Y426="","",1/Match_Data!Y426)</x:f>
      </x:c>
      <x:c r="N426" s="32" t="str">
        <x:f>IF(Match_Data!AA426="","",1/Match_Data!AA426)</x:f>
      </x:c>
      <x:c r="O426" s="32" t="str">
        <x:f>IF(OR(M426="",N426=""),"",N426-M426)</x:f>
      </x:c>
      <x:c r="P426" t="str">
        <x:f>IF(Match_Data!J426="","",IF(Match_Data!J426="OVER",1,0))</x:f>
      </x:c>
    </x:row>
    <x:row r="427">
      <x:c r="A427" t="n">
        <x:f>Match_Data!A427</x:f>
        <x:v>0</x:v>
      </x:c>
      <x:c r="B427" s="28" t="n">
        <x:f>Match_Data!B427</x:f>
        <x:v>0</x:v>
      </x:c>
      <x:c r="C427" t="n">
        <x:f>Match_Data!C427</x:f>
        <x:v>0</x:v>
      </x:c>
      <x:c r="D427" t="n">
        <x:f>Match_Data!E427</x:f>
        <x:v>0</x:v>
      </x:c>
      <x:c r="E427" t="n">
        <x:f>Match_Data!F427</x:f>
        <x:v>0</x:v>
      </x:c>
      <x:c r="F427" t="n">
        <x:f>Match_Data!AC427</x:f>
        <x:v>0</x:v>
      </x:c>
      <x:c r="G427" t="str">
        <x:f>IF(OR(Match_Data!K427="",Match_Data!L427=""),"",AVERAGE(Match_Data!K427:L427))</x:f>
      </x:c>
      <x:c r="H427" t="str">
        <x:f>IF(OR(Match_Data!M427="",Match_Data!N427=""),"",AVERAGE(Match_Data!M427:N427))</x:f>
      </x:c>
      <x:c r="I427" t="str">
        <x:f>IF(OR(Match_Data!O427="",Match_Data!Q427=""),"",Match_Data!O427+Match_Data!Q427)</x:f>
      </x:c>
      <x:c r="J427" t="str">
        <x:f>IF(OR(Match_Data!P427="",Match_Data!R427=""),"",Match_Data!P427+Match_Data!R427)</x:f>
      </x:c>
      <x:c r="K427" t="str">
        <x:f>IF(OR(Match_Data!S427="",Match_Data!T427=""),"",Match_Data!S427+Match_Data!T427)</x:f>
      </x:c>
      <x:c r="L427" t="str">
        <x:f>IF(OR(Match_Data!U427="",Match_Data!V427=""),"",Match_Data!U427-Match_Data!V427)</x:f>
      </x:c>
      <x:c r="M427" s="32" t="str">
        <x:f>IF(Match_Data!Y427="","",1/Match_Data!Y427)</x:f>
      </x:c>
      <x:c r="N427" s="32" t="str">
        <x:f>IF(Match_Data!AA427="","",1/Match_Data!AA427)</x:f>
      </x:c>
      <x:c r="O427" s="32" t="str">
        <x:f>IF(OR(M427="",N427=""),"",N427-M427)</x:f>
      </x:c>
      <x:c r="P427" t="str">
        <x:f>IF(Match_Data!J427="","",IF(Match_Data!J427="OVER",1,0))</x:f>
      </x:c>
    </x:row>
    <x:row r="428">
      <x:c r="A428" t="n">
        <x:f>Match_Data!A428</x:f>
        <x:v>0</x:v>
      </x:c>
      <x:c r="B428" s="28" t="n">
        <x:f>Match_Data!B428</x:f>
        <x:v>0</x:v>
      </x:c>
      <x:c r="C428" t="n">
        <x:f>Match_Data!C428</x:f>
        <x:v>0</x:v>
      </x:c>
      <x:c r="D428" t="n">
        <x:f>Match_Data!E428</x:f>
        <x:v>0</x:v>
      </x:c>
      <x:c r="E428" t="n">
        <x:f>Match_Data!F428</x:f>
        <x:v>0</x:v>
      </x:c>
      <x:c r="F428" t="n">
        <x:f>Match_Data!AC428</x:f>
        <x:v>0</x:v>
      </x:c>
      <x:c r="G428" t="str">
        <x:f>IF(OR(Match_Data!K428="",Match_Data!L428=""),"",AVERAGE(Match_Data!K428:L428))</x:f>
      </x:c>
      <x:c r="H428" t="str">
        <x:f>IF(OR(Match_Data!M428="",Match_Data!N428=""),"",AVERAGE(Match_Data!M428:N428))</x:f>
      </x:c>
      <x:c r="I428" t="str">
        <x:f>IF(OR(Match_Data!O428="",Match_Data!Q428=""),"",Match_Data!O428+Match_Data!Q428)</x:f>
      </x:c>
      <x:c r="J428" t="str">
        <x:f>IF(OR(Match_Data!P428="",Match_Data!R428=""),"",Match_Data!P428+Match_Data!R428)</x:f>
      </x:c>
      <x:c r="K428" t="str">
        <x:f>IF(OR(Match_Data!S428="",Match_Data!T428=""),"",Match_Data!S428+Match_Data!T428)</x:f>
      </x:c>
      <x:c r="L428" t="str">
        <x:f>IF(OR(Match_Data!U428="",Match_Data!V428=""),"",Match_Data!U428-Match_Data!V428)</x:f>
      </x:c>
      <x:c r="M428" s="32" t="str">
        <x:f>IF(Match_Data!Y428="","",1/Match_Data!Y428)</x:f>
      </x:c>
      <x:c r="N428" s="32" t="str">
        <x:f>IF(Match_Data!AA428="","",1/Match_Data!AA428)</x:f>
      </x:c>
      <x:c r="O428" s="32" t="str">
        <x:f>IF(OR(M428="",N428=""),"",N428-M428)</x:f>
      </x:c>
      <x:c r="P428" t="str">
        <x:f>IF(Match_Data!J428="","",IF(Match_Data!J428="OVER",1,0))</x:f>
      </x:c>
    </x:row>
    <x:row r="429">
      <x:c r="A429" t="n">
        <x:f>Match_Data!A429</x:f>
        <x:v>0</x:v>
      </x:c>
      <x:c r="B429" s="28" t="n">
        <x:f>Match_Data!B429</x:f>
        <x:v>0</x:v>
      </x:c>
      <x:c r="C429" t="n">
        <x:f>Match_Data!C429</x:f>
        <x:v>0</x:v>
      </x:c>
      <x:c r="D429" t="n">
        <x:f>Match_Data!E429</x:f>
        <x:v>0</x:v>
      </x:c>
      <x:c r="E429" t="n">
        <x:f>Match_Data!F429</x:f>
        <x:v>0</x:v>
      </x:c>
      <x:c r="F429" t="n">
        <x:f>Match_Data!AC429</x:f>
        <x:v>0</x:v>
      </x:c>
      <x:c r="G429" t="str">
        <x:f>IF(OR(Match_Data!K429="",Match_Data!L429=""),"",AVERAGE(Match_Data!K429:L429))</x:f>
      </x:c>
      <x:c r="H429" t="str">
        <x:f>IF(OR(Match_Data!M429="",Match_Data!N429=""),"",AVERAGE(Match_Data!M429:N429))</x:f>
      </x:c>
      <x:c r="I429" t="str">
        <x:f>IF(OR(Match_Data!O429="",Match_Data!Q429=""),"",Match_Data!O429+Match_Data!Q429)</x:f>
      </x:c>
      <x:c r="J429" t="str">
        <x:f>IF(OR(Match_Data!P429="",Match_Data!R429=""),"",Match_Data!P429+Match_Data!R429)</x:f>
      </x:c>
      <x:c r="K429" t="str">
        <x:f>IF(OR(Match_Data!S429="",Match_Data!T429=""),"",Match_Data!S429+Match_Data!T429)</x:f>
      </x:c>
      <x:c r="L429" t="str">
        <x:f>IF(OR(Match_Data!U429="",Match_Data!V429=""),"",Match_Data!U429-Match_Data!V429)</x:f>
      </x:c>
      <x:c r="M429" s="32" t="str">
        <x:f>IF(Match_Data!Y429="","",1/Match_Data!Y429)</x:f>
      </x:c>
      <x:c r="N429" s="32" t="str">
        <x:f>IF(Match_Data!AA429="","",1/Match_Data!AA429)</x:f>
      </x:c>
      <x:c r="O429" s="32" t="str">
        <x:f>IF(OR(M429="",N429=""),"",N429-M429)</x:f>
      </x:c>
      <x:c r="P429" t="str">
        <x:f>IF(Match_Data!J429="","",IF(Match_Data!J429="OVER",1,0))</x:f>
      </x:c>
    </x:row>
    <x:row r="430">
      <x:c r="A430" t="n">
        <x:f>Match_Data!A430</x:f>
        <x:v>0</x:v>
      </x:c>
      <x:c r="B430" s="28" t="n">
        <x:f>Match_Data!B430</x:f>
        <x:v>0</x:v>
      </x:c>
      <x:c r="C430" t="n">
        <x:f>Match_Data!C430</x:f>
        <x:v>0</x:v>
      </x:c>
      <x:c r="D430" t="n">
        <x:f>Match_Data!E430</x:f>
        <x:v>0</x:v>
      </x:c>
      <x:c r="E430" t="n">
        <x:f>Match_Data!F430</x:f>
        <x:v>0</x:v>
      </x:c>
      <x:c r="F430" t="n">
        <x:f>Match_Data!AC430</x:f>
        <x:v>0</x:v>
      </x:c>
      <x:c r="G430" t="str">
        <x:f>IF(OR(Match_Data!K430="",Match_Data!L430=""),"",AVERAGE(Match_Data!K430:L430))</x:f>
      </x:c>
      <x:c r="H430" t="str">
        <x:f>IF(OR(Match_Data!M430="",Match_Data!N430=""),"",AVERAGE(Match_Data!M430:N430))</x:f>
      </x:c>
      <x:c r="I430" t="str">
        <x:f>IF(OR(Match_Data!O430="",Match_Data!Q430=""),"",Match_Data!O430+Match_Data!Q430)</x:f>
      </x:c>
      <x:c r="J430" t="str">
        <x:f>IF(OR(Match_Data!P430="",Match_Data!R430=""),"",Match_Data!P430+Match_Data!R430)</x:f>
      </x:c>
      <x:c r="K430" t="str">
        <x:f>IF(OR(Match_Data!S430="",Match_Data!T430=""),"",Match_Data!S430+Match_Data!T430)</x:f>
      </x:c>
      <x:c r="L430" t="str">
        <x:f>IF(OR(Match_Data!U430="",Match_Data!V430=""),"",Match_Data!U430-Match_Data!V430)</x:f>
      </x:c>
      <x:c r="M430" s="32" t="str">
        <x:f>IF(Match_Data!Y430="","",1/Match_Data!Y430)</x:f>
      </x:c>
      <x:c r="N430" s="32" t="str">
        <x:f>IF(Match_Data!AA430="","",1/Match_Data!AA430)</x:f>
      </x:c>
      <x:c r="O430" s="32" t="str">
        <x:f>IF(OR(M430="",N430=""),"",N430-M430)</x:f>
      </x:c>
      <x:c r="P430" t="str">
        <x:f>IF(Match_Data!J430="","",IF(Match_Data!J430="OVER",1,0))</x:f>
      </x:c>
    </x:row>
    <x:row r="431">
      <x:c r="A431" t="n">
        <x:f>Match_Data!A431</x:f>
        <x:v>0</x:v>
      </x:c>
      <x:c r="B431" s="28" t="n">
        <x:f>Match_Data!B431</x:f>
        <x:v>0</x:v>
      </x:c>
      <x:c r="C431" t="n">
        <x:f>Match_Data!C431</x:f>
        <x:v>0</x:v>
      </x:c>
      <x:c r="D431" t="n">
        <x:f>Match_Data!E431</x:f>
        <x:v>0</x:v>
      </x:c>
      <x:c r="E431" t="n">
        <x:f>Match_Data!F431</x:f>
        <x:v>0</x:v>
      </x:c>
      <x:c r="F431" t="n">
        <x:f>Match_Data!AC431</x:f>
        <x:v>0</x:v>
      </x:c>
      <x:c r="G431" t="str">
        <x:f>IF(OR(Match_Data!K431="",Match_Data!L431=""),"",AVERAGE(Match_Data!K431:L431))</x:f>
      </x:c>
      <x:c r="H431" t="str">
        <x:f>IF(OR(Match_Data!M431="",Match_Data!N431=""),"",AVERAGE(Match_Data!M431:N431))</x:f>
      </x:c>
      <x:c r="I431" t="str">
        <x:f>IF(OR(Match_Data!O431="",Match_Data!Q431=""),"",Match_Data!O431+Match_Data!Q431)</x:f>
      </x:c>
      <x:c r="J431" t="str">
        <x:f>IF(OR(Match_Data!P431="",Match_Data!R431=""),"",Match_Data!P431+Match_Data!R431)</x:f>
      </x:c>
      <x:c r="K431" t="str">
        <x:f>IF(OR(Match_Data!S431="",Match_Data!T431=""),"",Match_Data!S431+Match_Data!T431)</x:f>
      </x:c>
      <x:c r="L431" t="str">
        <x:f>IF(OR(Match_Data!U431="",Match_Data!V431=""),"",Match_Data!U431-Match_Data!V431)</x:f>
      </x:c>
      <x:c r="M431" s="32" t="str">
        <x:f>IF(Match_Data!Y431="","",1/Match_Data!Y431)</x:f>
      </x:c>
      <x:c r="N431" s="32" t="str">
        <x:f>IF(Match_Data!AA431="","",1/Match_Data!AA431)</x:f>
      </x:c>
      <x:c r="O431" s="32" t="str">
        <x:f>IF(OR(M431="",N431=""),"",N431-M431)</x:f>
      </x:c>
      <x:c r="P431" t="str">
        <x:f>IF(Match_Data!J431="","",IF(Match_Data!J431="OVER",1,0))</x:f>
      </x:c>
    </x:row>
    <x:row r="432">
      <x:c r="A432" t="n">
        <x:f>Match_Data!A432</x:f>
        <x:v>0</x:v>
      </x:c>
      <x:c r="B432" s="28" t="n">
        <x:f>Match_Data!B432</x:f>
        <x:v>0</x:v>
      </x:c>
      <x:c r="C432" t="n">
        <x:f>Match_Data!C432</x:f>
        <x:v>0</x:v>
      </x:c>
      <x:c r="D432" t="n">
        <x:f>Match_Data!E432</x:f>
        <x:v>0</x:v>
      </x:c>
      <x:c r="E432" t="n">
        <x:f>Match_Data!F432</x:f>
        <x:v>0</x:v>
      </x:c>
      <x:c r="F432" t="n">
        <x:f>Match_Data!AC432</x:f>
        <x:v>0</x:v>
      </x:c>
      <x:c r="G432" t="str">
        <x:f>IF(OR(Match_Data!K432="",Match_Data!L432=""),"",AVERAGE(Match_Data!K432:L432))</x:f>
      </x:c>
      <x:c r="H432" t="str">
        <x:f>IF(OR(Match_Data!M432="",Match_Data!N432=""),"",AVERAGE(Match_Data!M432:N432))</x:f>
      </x:c>
      <x:c r="I432" t="str">
        <x:f>IF(OR(Match_Data!O432="",Match_Data!Q432=""),"",Match_Data!O432+Match_Data!Q432)</x:f>
      </x:c>
      <x:c r="J432" t="str">
        <x:f>IF(OR(Match_Data!P432="",Match_Data!R432=""),"",Match_Data!P432+Match_Data!R432)</x:f>
      </x:c>
      <x:c r="K432" t="str">
        <x:f>IF(OR(Match_Data!S432="",Match_Data!T432=""),"",Match_Data!S432+Match_Data!T432)</x:f>
      </x:c>
      <x:c r="L432" t="str">
        <x:f>IF(OR(Match_Data!U432="",Match_Data!V432=""),"",Match_Data!U432-Match_Data!V432)</x:f>
      </x:c>
      <x:c r="M432" s="32" t="str">
        <x:f>IF(Match_Data!Y432="","",1/Match_Data!Y432)</x:f>
      </x:c>
      <x:c r="N432" s="32" t="str">
        <x:f>IF(Match_Data!AA432="","",1/Match_Data!AA432)</x:f>
      </x:c>
      <x:c r="O432" s="32" t="str">
        <x:f>IF(OR(M432="",N432=""),"",N432-M432)</x:f>
      </x:c>
      <x:c r="P432" t="str">
        <x:f>IF(Match_Data!J432="","",IF(Match_Data!J432="OVER",1,0))</x:f>
      </x:c>
    </x:row>
    <x:row r="433">
      <x:c r="A433" t="n">
        <x:f>Match_Data!A433</x:f>
        <x:v>0</x:v>
      </x:c>
      <x:c r="B433" s="28" t="n">
        <x:f>Match_Data!B433</x:f>
        <x:v>0</x:v>
      </x:c>
      <x:c r="C433" t="n">
        <x:f>Match_Data!C433</x:f>
        <x:v>0</x:v>
      </x:c>
      <x:c r="D433" t="n">
        <x:f>Match_Data!E433</x:f>
        <x:v>0</x:v>
      </x:c>
      <x:c r="E433" t="n">
        <x:f>Match_Data!F433</x:f>
        <x:v>0</x:v>
      </x:c>
      <x:c r="F433" t="n">
        <x:f>Match_Data!AC433</x:f>
        <x:v>0</x:v>
      </x:c>
      <x:c r="G433" t="str">
        <x:f>IF(OR(Match_Data!K433="",Match_Data!L433=""),"",AVERAGE(Match_Data!K433:L433))</x:f>
      </x:c>
      <x:c r="H433" t="str">
        <x:f>IF(OR(Match_Data!M433="",Match_Data!N433=""),"",AVERAGE(Match_Data!M433:N433))</x:f>
      </x:c>
      <x:c r="I433" t="str">
        <x:f>IF(OR(Match_Data!O433="",Match_Data!Q433=""),"",Match_Data!O433+Match_Data!Q433)</x:f>
      </x:c>
      <x:c r="J433" t="str">
        <x:f>IF(OR(Match_Data!P433="",Match_Data!R433=""),"",Match_Data!P433+Match_Data!R433)</x:f>
      </x:c>
      <x:c r="K433" t="str">
        <x:f>IF(OR(Match_Data!S433="",Match_Data!T433=""),"",Match_Data!S433+Match_Data!T433)</x:f>
      </x:c>
      <x:c r="L433" t="str">
        <x:f>IF(OR(Match_Data!U433="",Match_Data!V433=""),"",Match_Data!U433-Match_Data!V433)</x:f>
      </x:c>
      <x:c r="M433" s="32" t="str">
        <x:f>IF(Match_Data!Y433="","",1/Match_Data!Y433)</x:f>
      </x:c>
      <x:c r="N433" s="32" t="str">
        <x:f>IF(Match_Data!AA433="","",1/Match_Data!AA433)</x:f>
      </x:c>
      <x:c r="O433" s="32" t="str">
        <x:f>IF(OR(M433="",N433=""),"",N433-M433)</x:f>
      </x:c>
      <x:c r="P433" t="str">
        <x:f>IF(Match_Data!J433="","",IF(Match_Data!J433="OVER",1,0))</x:f>
      </x:c>
    </x:row>
    <x:row r="434">
      <x:c r="A434" t="n">
        <x:f>Match_Data!A434</x:f>
        <x:v>0</x:v>
      </x:c>
      <x:c r="B434" s="28" t="n">
        <x:f>Match_Data!B434</x:f>
        <x:v>0</x:v>
      </x:c>
      <x:c r="C434" t="n">
        <x:f>Match_Data!C434</x:f>
        <x:v>0</x:v>
      </x:c>
      <x:c r="D434" t="n">
        <x:f>Match_Data!E434</x:f>
        <x:v>0</x:v>
      </x:c>
      <x:c r="E434" t="n">
        <x:f>Match_Data!F434</x:f>
        <x:v>0</x:v>
      </x:c>
      <x:c r="F434" t="n">
        <x:f>Match_Data!AC434</x:f>
        <x:v>0</x:v>
      </x:c>
      <x:c r="G434" t="str">
        <x:f>IF(OR(Match_Data!K434="",Match_Data!L434=""),"",AVERAGE(Match_Data!K434:L434))</x:f>
      </x:c>
      <x:c r="H434" t="str">
        <x:f>IF(OR(Match_Data!M434="",Match_Data!N434=""),"",AVERAGE(Match_Data!M434:N434))</x:f>
      </x:c>
      <x:c r="I434" t="str">
        <x:f>IF(OR(Match_Data!O434="",Match_Data!Q434=""),"",Match_Data!O434+Match_Data!Q434)</x:f>
      </x:c>
      <x:c r="J434" t="str">
        <x:f>IF(OR(Match_Data!P434="",Match_Data!R434=""),"",Match_Data!P434+Match_Data!R434)</x:f>
      </x:c>
      <x:c r="K434" t="str">
        <x:f>IF(OR(Match_Data!S434="",Match_Data!T434=""),"",Match_Data!S434+Match_Data!T434)</x:f>
      </x:c>
      <x:c r="L434" t="str">
        <x:f>IF(OR(Match_Data!U434="",Match_Data!V434=""),"",Match_Data!U434-Match_Data!V434)</x:f>
      </x:c>
      <x:c r="M434" s="32" t="str">
        <x:f>IF(Match_Data!Y434="","",1/Match_Data!Y434)</x:f>
      </x:c>
      <x:c r="N434" s="32" t="str">
        <x:f>IF(Match_Data!AA434="","",1/Match_Data!AA434)</x:f>
      </x:c>
      <x:c r="O434" s="32" t="str">
        <x:f>IF(OR(M434="",N434=""),"",N434-M434)</x:f>
      </x:c>
      <x:c r="P434" t="str">
        <x:f>IF(Match_Data!J434="","",IF(Match_Data!J434="OVER",1,0))</x:f>
      </x:c>
    </x:row>
    <x:row r="435">
      <x:c r="A435" t="n">
        <x:f>Match_Data!A435</x:f>
        <x:v>0</x:v>
      </x:c>
      <x:c r="B435" s="28" t="n">
        <x:f>Match_Data!B435</x:f>
        <x:v>0</x:v>
      </x:c>
      <x:c r="C435" t="n">
        <x:f>Match_Data!C435</x:f>
        <x:v>0</x:v>
      </x:c>
      <x:c r="D435" t="n">
        <x:f>Match_Data!E435</x:f>
        <x:v>0</x:v>
      </x:c>
      <x:c r="E435" t="n">
        <x:f>Match_Data!F435</x:f>
        <x:v>0</x:v>
      </x:c>
      <x:c r="F435" t="n">
        <x:f>Match_Data!AC435</x:f>
        <x:v>0</x:v>
      </x:c>
      <x:c r="G435" t="str">
        <x:f>IF(OR(Match_Data!K435="",Match_Data!L435=""),"",AVERAGE(Match_Data!K435:L435))</x:f>
      </x:c>
      <x:c r="H435" t="str">
        <x:f>IF(OR(Match_Data!M435="",Match_Data!N435=""),"",AVERAGE(Match_Data!M435:N435))</x:f>
      </x:c>
      <x:c r="I435" t="str">
        <x:f>IF(OR(Match_Data!O435="",Match_Data!Q435=""),"",Match_Data!O435+Match_Data!Q435)</x:f>
      </x:c>
      <x:c r="J435" t="str">
        <x:f>IF(OR(Match_Data!P435="",Match_Data!R435=""),"",Match_Data!P435+Match_Data!R435)</x:f>
      </x:c>
      <x:c r="K435" t="str">
        <x:f>IF(OR(Match_Data!S435="",Match_Data!T435=""),"",Match_Data!S435+Match_Data!T435)</x:f>
      </x:c>
      <x:c r="L435" t="str">
        <x:f>IF(OR(Match_Data!U435="",Match_Data!V435=""),"",Match_Data!U435-Match_Data!V435)</x:f>
      </x:c>
      <x:c r="M435" s="32" t="str">
        <x:f>IF(Match_Data!Y435="","",1/Match_Data!Y435)</x:f>
      </x:c>
      <x:c r="N435" s="32" t="str">
        <x:f>IF(Match_Data!AA435="","",1/Match_Data!AA435)</x:f>
      </x:c>
      <x:c r="O435" s="32" t="str">
        <x:f>IF(OR(M435="",N435=""),"",N435-M435)</x:f>
      </x:c>
      <x:c r="P435" t="str">
        <x:f>IF(Match_Data!J435="","",IF(Match_Data!J435="OVER",1,0))</x:f>
      </x:c>
    </x:row>
    <x:row r="436">
      <x:c r="A436" t="n">
        <x:f>Match_Data!A436</x:f>
        <x:v>0</x:v>
      </x:c>
      <x:c r="B436" s="28" t="n">
        <x:f>Match_Data!B436</x:f>
        <x:v>0</x:v>
      </x:c>
      <x:c r="C436" t="n">
        <x:f>Match_Data!C436</x:f>
        <x:v>0</x:v>
      </x:c>
      <x:c r="D436" t="n">
        <x:f>Match_Data!E436</x:f>
        <x:v>0</x:v>
      </x:c>
      <x:c r="E436" t="n">
        <x:f>Match_Data!F436</x:f>
        <x:v>0</x:v>
      </x:c>
      <x:c r="F436" t="n">
        <x:f>Match_Data!AC436</x:f>
        <x:v>0</x:v>
      </x:c>
      <x:c r="G436" t="str">
        <x:f>IF(OR(Match_Data!K436="",Match_Data!L436=""),"",AVERAGE(Match_Data!K436:L436))</x:f>
      </x:c>
      <x:c r="H436" t="str">
        <x:f>IF(OR(Match_Data!M436="",Match_Data!N436=""),"",AVERAGE(Match_Data!M436:N436))</x:f>
      </x:c>
      <x:c r="I436" t="str">
        <x:f>IF(OR(Match_Data!O436="",Match_Data!Q436=""),"",Match_Data!O436+Match_Data!Q436)</x:f>
      </x:c>
      <x:c r="J436" t="str">
        <x:f>IF(OR(Match_Data!P436="",Match_Data!R436=""),"",Match_Data!P436+Match_Data!R436)</x:f>
      </x:c>
      <x:c r="K436" t="str">
        <x:f>IF(OR(Match_Data!S436="",Match_Data!T436=""),"",Match_Data!S436+Match_Data!T436)</x:f>
      </x:c>
      <x:c r="L436" t="str">
        <x:f>IF(OR(Match_Data!U436="",Match_Data!V436=""),"",Match_Data!U436-Match_Data!V436)</x:f>
      </x:c>
      <x:c r="M436" s="32" t="str">
        <x:f>IF(Match_Data!Y436="","",1/Match_Data!Y436)</x:f>
      </x:c>
      <x:c r="N436" s="32" t="str">
        <x:f>IF(Match_Data!AA436="","",1/Match_Data!AA436)</x:f>
      </x:c>
      <x:c r="O436" s="32" t="str">
        <x:f>IF(OR(M436="",N436=""),"",N436-M436)</x:f>
      </x:c>
      <x:c r="P436" t="str">
        <x:f>IF(Match_Data!J436="","",IF(Match_Data!J436="OVER",1,0))</x:f>
      </x:c>
    </x:row>
    <x:row r="437">
      <x:c r="A437" t="n">
        <x:f>Match_Data!A437</x:f>
        <x:v>0</x:v>
      </x:c>
      <x:c r="B437" s="28" t="n">
        <x:f>Match_Data!B437</x:f>
        <x:v>0</x:v>
      </x:c>
      <x:c r="C437" t="n">
        <x:f>Match_Data!C437</x:f>
        <x:v>0</x:v>
      </x:c>
      <x:c r="D437" t="n">
        <x:f>Match_Data!E437</x:f>
        <x:v>0</x:v>
      </x:c>
      <x:c r="E437" t="n">
        <x:f>Match_Data!F437</x:f>
        <x:v>0</x:v>
      </x:c>
      <x:c r="F437" t="n">
        <x:f>Match_Data!AC437</x:f>
        <x:v>0</x:v>
      </x:c>
      <x:c r="G437" t="str">
        <x:f>IF(OR(Match_Data!K437="",Match_Data!L437=""),"",AVERAGE(Match_Data!K437:L437))</x:f>
      </x:c>
      <x:c r="H437" t="str">
        <x:f>IF(OR(Match_Data!M437="",Match_Data!N437=""),"",AVERAGE(Match_Data!M437:N437))</x:f>
      </x:c>
      <x:c r="I437" t="str">
        <x:f>IF(OR(Match_Data!O437="",Match_Data!Q437=""),"",Match_Data!O437+Match_Data!Q437)</x:f>
      </x:c>
      <x:c r="J437" t="str">
        <x:f>IF(OR(Match_Data!P437="",Match_Data!R437=""),"",Match_Data!P437+Match_Data!R437)</x:f>
      </x:c>
      <x:c r="K437" t="str">
        <x:f>IF(OR(Match_Data!S437="",Match_Data!T437=""),"",Match_Data!S437+Match_Data!T437)</x:f>
      </x:c>
      <x:c r="L437" t="str">
        <x:f>IF(OR(Match_Data!U437="",Match_Data!V437=""),"",Match_Data!U437-Match_Data!V437)</x:f>
      </x:c>
      <x:c r="M437" s="32" t="str">
        <x:f>IF(Match_Data!Y437="","",1/Match_Data!Y437)</x:f>
      </x:c>
      <x:c r="N437" s="32" t="str">
        <x:f>IF(Match_Data!AA437="","",1/Match_Data!AA437)</x:f>
      </x:c>
      <x:c r="O437" s="32" t="str">
        <x:f>IF(OR(M437="",N437=""),"",N437-M437)</x:f>
      </x:c>
      <x:c r="P437" t="str">
        <x:f>IF(Match_Data!J437="","",IF(Match_Data!J437="OVER",1,0))</x:f>
      </x:c>
    </x:row>
    <x:row r="438">
      <x:c r="A438" t="n">
        <x:f>Match_Data!A438</x:f>
        <x:v>0</x:v>
      </x:c>
      <x:c r="B438" s="28" t="n">
        <x:f>Match_Data!B438</x:f>
        <x:v>0</x:v>
      </x:c>
      <x:c r="C438" t="n">
        <x:f>Match_Data!C438</x:f>
        <x:v>0</x:v>
      </x:c>
      <x:c r="D438" t="n">
        <x:f>Match_Data!E438</x:f>
        <x:v>0</x:v>
      </x:c>
      <x:c r="E438" t="n">
        <x:f>Match_Data!F438</x:f>
        <x:v>0</x:v>
      </x:c>
      <x:c r="F438" t="n">
        <x:f>Match_Data!AC438</x:f>
        <x:v>0</x:v>
      </x:c>
      <x:c r="G438" t="str">
        <x:f>IF(OR(Match_Data!K438="",Match_Data!L438=""),"",AVERAGE(Match_Data!K438:L438))</x:f>
      </x:c>
      <x:c r="H438" t="str">
        <x:f>IF(OR(Match_Data!M438="",Match_Data!N438=""),"",AVERAGE(Match_Data!M438:N438))</x:f>
      </x:c>
      <x:c r="I438" t="str">
        <x:f>IF(OR(Match_Data!O438="",Match_Data!Q438=""),"",Match_Data!O438+Match_Data!Q438)</x:f>
      </x:c>
      <x:c r="J438" t="str">
        <x:f>IF(OR(Match_Data!P438="",Match_Data!R438=""),"",Match_Data!P438+Match_Data!R438)</x:f>
      </x:c>
      <x:c r="K438" t="str">
        <x:f>IF(OR(Match_Data!S438="",Match_Data!T438=""),"",Match_Data!S438+Match_Data!T438)</x:f>
      </x:c>
      <x:c r="L438" t="str">
        <x:f>IF(OR(Match_Data!U438="",Match_Data!V438=""),"",Match_Data!U438-Match_Data!V438)</x:f>
      </x:c>
      <x:c r="M438" s="32" t="str">
        <x:f>IF(Match_Data!Y438="","",1/Match_Data!Y438)</x:f>
      </x:c>
      <x:c r="N438" s="32" t="str">
        <x:f>IF(Match_Data!AA438="","",1/Match_Data!AA438)</x:f>
      </x:c>
      <x:c r="O438" s="32" t="str">
        <x:f>IF(OR(M438="",N438=""),"",N438-M438)</x:f>
      </x:c>
      <x:c r="P438" t="str">
        <x:f>IF(Match_Data!J438="","",IF(Match_Data!J438="OVER",1,0))</x:f>
      </x:c>
    </x:row>
    <x:row r="439">
      <x:c r="A439" t="n">
        <x:f>Match_Data!A439</x:f>
        <x:v>0</x:v>
      </x:c>
      <x:c r="B439" s="28" t="n">
        <x:f>Match_Data!B439</x:f>
        <x:v>0</x:v>
      </x:c>
      <x:c r="C439" t="n">
        <x:f>Match_Data!C439</x:f>
        <x:v>0</x:v>
      </x:c>
      <x:c r="D439" t="n">
        <x:f>Match_Data!E439</x:f>
        <x:v>0</x:v>
      </x:c>
      <x:c r="E439" t="n">
        <x:f>Match_Data!F439</x:f>
        <x:v>0</x:v>
      </x:c>
      <x:c r="F439" t="n">
        <x:f>Match_Data!AC439</x:f>
        <x:v>0</x:v>
      </x:c>
      <x:c r="G439" t="str">
        <x:f>IF(OR(Match_Data!K439="",Match_Data!L439=""),"",AVERAGE(Match_Data!K439:L439))</x:f>
      </x:c>
      <x:c r="H439" t="str">
        <x:f>IF(OR(Match_Data!M439="",Match_Data!N439=""),"",AVERAGE(Match_Data!M439:N439))</x:f>
      </x:c>
      <x:c r="I439" t="str">
        <x:f>IF(OR(Match_Data!O439="",Match_Data!Q439=""),"",Match_Data!O439+Match_Data!Q439)</x:f>
      </x:c>
      <x:c r="J439" t="str">
        <x:f>IF(OR(Match_Data!P439="",Match_Data!R439=""),"",Match_Data!P439+Match_Data!R439)</x:f>
      </x:c>
      <x:c r="K439" t="str">
        <x:f>IF(OR(Match_Data!S439="",Match_Data!T439=""),"",Match_Data!S439+Match_Data!T439)</x:f>
      </x:c>
      <x:c r="L439" t="str">
        <x:f>IF(OR(Match_Data!U439="",Match_Data!V439=""),"",Match_Data!U439-Match_Data!V439)</x:f>
      </x:c>
      <x:c r="M439" s="32" t="str">
        <x:f>IF(Match_Data!Y439="","",1/Match_Data!Y439)</x:f>
      </x:c>
      <x:c r="N439" s="32" t="str">
        <x:f>IF(Match_Data!AA439="","",1/Match_Data!AA439)</x:f>
      </x:c>
      <x:c r="O439" s="32" t="str">
        <x:f>IF(OR(M439="",N439=""),"",N439-M439)</x:f>
      </x:c>
      <x:c r="P439" t="str">
        <x:f>IF(Match_Data!J439="","",IF(Match_Data!J439="OVER",1,0))</x:f>
      </x:c>
    </x:row>
    <x:row r="440">
      <x:c r="A440" t="n">
        <x:f>Match_Data!A440</x:f>
        <x:v>0</x:v>
      </x:c>
      <x:c r="B440" s="28" t="n">
        <x:f>Match_Data!B440</x:f>
        <x:v>0</x:v>
      </x:c>
      <x:c r="C440" t="n">
        <x:f>Match_Data!C440</x:f>
        <x:v>0</x:v>
      </x:c>
      <x:c r="D440" t="n">
        <x:f>Match_Data!E440</x:f>
        <x:v>0</x:v>
      </x:c>
      <x:c r="E440" t="n">
        <x:f>Match_Data!F440</x:f>
        <x:v>0</x:v>
      </x:c>
      <x:c r="F440" t="n">
        <x:f>Match_Data!AC440</x:f>
        <x:v>0</x:v>
      </x:c>
      <x:c r="G440" t="str">
        <x:f>IF(OR(Match_Data!K440="",Match_Data!L440=""),"",AVERAGE(Match_Data!K440:L440))</x:f>
      </x:c>
      <x:c r="H440" t="str">
        <x:f>IF(OR(Match_Data!M440="",Match_Data!N440=""),"",AVERAGE(Match_Data!M440:N440))</x:f>
      </x:c>
      <x:c r="I440" t="str">
        <x:f>IF(OR(Match_Data!O440="",Match_Data!Q440=""),"",Match_Data!O440+Match_Data!Q440)</x:f>
      </x:c>
      <x:c r="J440" t="str">
        <x:f>IF(OR(Match_Data!P440="",Match_Data!R440=""),"",Match_Data!P440+Match_Data!R440)</x:f>
      </x:c>
      <x:c r="K440" t="str">
        <x:f>IF(OR(Match_Data!S440="",Match_Data!T440=""),"",Match_Data!S440+Match_Data!T440)</x:f>
      </x:c>
      <x:c r="L440" t="str">
        <x:f>IF(OR(Match_Data!U440="",Match_Data!V440=""),"",Match_Data!U440-Match_Data!V440)</x:f>
      </x:c>
      <x:c r="M440" s="32" t="str">
        <x:f>IF(Match_Data!Y440="","",1/Match_Data!Y440)</x:f>
      </x:c>
      <x:c r="N440" s="32" t="str">
        <x:f>IF(Match_Data!AA440="","",1/Match_Data!AA440)</x:f>
      </x:c>
      <x:c r="O440" s="32" t="str">
        <x:f>IF(OR(M440="",N440=""),"",N440-M440)</x:f>
      </x:c>
      <x:c r="P440" t="str">
        <x:f>IF(Match_Data!J440="","",IF(Match_Data!J440="OVER",1,0))</x:f>
      </x:c>
    </x:row>
    <x:row r="441">
      <x:c r="A441" t="n">
        <x:f>Match_Data!A441</x:f>
        <x:v>0</x:v>
      </x:c>
      <x:c r="B441" s="28" t="n">
        <x:f>Match_Data!B441</x:f>
        <x:v>0</x:v>
      </x:c>
      <x:c r="C441" t="n">
        <x:f>Match_Data!C441</x:f>
        <x:v>0</x:v>
      </x:c>
      <x:c r="D441" t="n">
        <x:f>Match_Data!E441</x:f>
        <x:v>0</x:v>
      </x:c>
      <x:c r="E441" t="n">
        <x:f>Match_Data!F441</x:f>
        <x:v>0</x:v>
      </x:c>
      <x:c r="F441" t="n">
        <x:f>Match_Data!AC441</x:f>
        <x:v>0</x:v>
      </x:c>
      <x:c r="G441" t="str">
        <x:f>IF(OR(Match_Data!K441="",Match_Data!L441=""),"",AVERAGE(Match_Data!K441:L441))</x:f>
      </x:c>
      <x:c r="H441" t="str">
        <x:f>IF(OR(Match_Data!M441="",Match_Data!N441=""),"",AVERAGE(Match_Data!M441:N441))</x:f>
      </x:c>
      <x:c r="I441" t="str">
        <x:f>IF(OR(Match_Data!O441="",Match_Data!Q441=""),"",Match_Data!O441+Match_Data!Q441)</x:f>
      </x:c>
      <x:c r="J441" t="str">
        <x:f>IF(OR(Match_Data!P441="",Match_Data!R441=""),"",Match_Data!P441+Match_Data!R441)</x:f>
      </x:c>
      <x:c r="K441" t="str">
        <x:f>IF(OR(Match_Data!S441="",Match_Data!T441=""),"",Match_Data!S441+Match_Data!T441)</x:f>
      </x:c>
      <x:c r="L441" t="str">
        <x:f>IF(OR(Match_Data!U441="",Match_Data!V441=""),"",Match_Data!U441-Match_Data!V441)</x:f>
      </x:c>
      <x:c r="M441" s="32" t="str">
        <x:f>IF(Match_Data!Y441="","",1/Match_Data!Y441)</x:f>
      </x:c>
      <x:c r="N441" s="32" t="str">
        <x:f>IF(Match_Data!AA441="","",1/Match_Data!AA441)</x:f>
      </x:c>
      <x:c r="O441" s="32" t="str">
        <x:f>IF(OR(M441="",N441=""),"",N441-M441)</x:f>
      </x:c>
      <x:c r="P441" t="str">
        <x:f>IF(Match_Data!J441="","",IF(Match_Data!J441="OVER",1,0))</x:f>
      </x:c>
    </x:row>
    <x:row r="442">
      <x:c r="A442" t="n">
        <x:f>Match_Data!A442</x:f>
        <x:v>0</x:v>
      </x:c>
      <x:c r="B442" s="28" t="n">
        <x:f>Match_Data!B442</x:f>
        <x:v>0</x:v>
      </x:c>
      <x:c r="C442" t="n">
        <x:f>Match_Data!C442</x:f>
        <x:v>0</x:v>
      </x:c>
      <x:c r="D442" t="n">
        <x:f>Match_Data!E442</x:f>
        <x:v>0</x:v>
      </x:c>
      <x:c r="E442" t="n">
        <x:f>Match_Data!F442</x:f>
        <x:v>0</x:v>
      </x:c>
      <x:c r="F442" t="n">
        <x:f>Match_Data!AC442</x:f>
        <x:v>0</x:v>
      </x:c>
      <x:c r="G442" t="str">
        <x:f>IF(OR(Match_Data!K442="",Match_Data!L442=""),"",AVERAGE(Match_Data!K442:L442))</x:f>
      </x:c>
      <x:c r="H442" t="str">
        <x:f>IF(OR(Match_Data!M442="",Match_Data!N442=""),"",AVERAGE(Match_Data!M442:N442))</x:f>
      </x:c>
      <x:c r="I442" t="str">
        <x:f>IF(OR(Match_Data!O442="",Match_Data!Q442=""),"",Match_Data!O442+Match_Data!Q442)</x:f>
      </x:c>
      <x:c r="J442" t="str">
        <x:f>IF(OR(Match_Data!P442="",Match_Data!R442=""),"",Match_Data!P442+Match_Data!R442)</x:f>
      </x:c>
      <x:c r="K442" t="str">
        <x:f>IF(OR(Match_Data!S442="",Match_Data!T442=""),"",Match_Data!S442+Match_Data!T442)</x:f>
      </x:c>
      <x:c r="L442" t="str">
        <x:f>IF(OR(Match_Data!U442="",Match_Data!V442=""),"",Match_Data!U442-Match_Data!V442)</x:f>
      </x:c>
      <x:c r="M442" s="32" t="str">
        <x:f>IF(Match_Data!Y442="","",1/Match_Data!Y442)</x:f>
      </x:c>
      <x:c r="N442" s="32" t="str">
        <x:f>IF(Match_Data!AA442="","",1/Match_Data!AA442)</x:f>
      </x:c>
      <x:c r="O442" s="32" t="str">
        <x:f>IF(OR(M442="",N442=""),"",N442-M442)</x:f>
      </x:c>
      <x:c r="P442" t="str">
        <x:f>IF(Match_Data!J442="","",IF(Match_Data!J442="OVER",1,0))</x:f>
      </x:c>
    </x:row>
    <x:row r="443">
      <x:c r="A443" t="n">
        <x:f>Match_Data!A443</x:f>
        <x:v>0</x:v>
      </x:c>
      <x:c r="B443" s="28" t="n">
        <x:f>Match_Data!B443</x:f>
        <x:v>0</x:v>
      </x:c>
      <x:c r="C443" t="n">
        <x:f>Match_Data!C443</x:f>
        <x:v>0</x:v>
      </x:c>
      <x:c r="D443" t="n">
        <x:f>Match_Data!E443</x:f>
        <x:v>0</x:v>
      </x:c>
      <x:c r="E443" t="n">
        <x:f>Match_Data!F443</x:f>
        <x:v>0</x:v>
      </x:c>
      <x:c r="F443" t="n">
        <x:f>Match_Data!AC443</x:f>
        <x:v>0</x:v>
      </x:c>
      <x:c r="G443" t="str">
        <x:f>IF(OR(Match_Data!K443="",Match_Data!L443=""),"",AVERAGE(Match_Data!K443:L443))</x:f>
      </x:c>
      <x:c r="H443" t="str">
        <x:f>IF(OR(Match_Data!M443="",Match_Data!N443=""),"",AVERAGE(Match_Data!M443:N443))</x:f>
      </x:c>
      <x:c r="I443" t="str">
        <x:f>IF(OR(Match_Data!O443="",Match_Data!Q443=""),"",Match_Data!O443+Match_Data!Q443)</x:f>
      </x:c>
      <x:c r="J443" t="str">
        <x:f>IF(OR(Match_Data!P443="",Match_Data!R443=""),"",Match_Data!P443+Match_Data!R443)</x:f>
      </x:c>
      <x:c r="K443" t="str">
        <x:f>IF(OR(Match_Data!S443="",Match_Data!T443=""),"",Match_Data!S443+Match_Data!T443)</x:f>
      </x:c>
      <x:c r="L443" t="str">
        <x:f>IF(OR(Match_Data!U443="",Match_Data!V443=""),"",Match_Data!U443-Match_Data!V443)</x:f>
      </x:c>
      <x:c r="M443" s="32" t="str">
        <x:f>IF(Match_Data!Y443="","",1/Match_Data!Y443)</x:f>
      </x:c>
      <x:c r="N443" s="32" t="str">
        <x:f>IF(Match_Data!AA443="","",1/Match_Data!AA443)</x:f>
      </x:c>
      <x:c r="O443" s="32" t="str">
        <x:f>IF(OR(M443="",N443=""),"",N443-M443)</x:f>
      </x:c>
      <x:c r="P443" t="str">
        <x:f>IF(Match_Data!J443="","",IF(Match_Data!J443="OVER",1,0))</x:f>
      </x:c>
    </x:row>
    <x:row r="444">
      <x:c r="A444" t="n">
        <x:f>Match_Data!A444</x:f>
        <x:v>0</x:v>
      </x:c>
      <x:c r="B444" s="28" t="n">
        <x:f>Match_Data!B444</x:f>
        <x:v>0</x:v>
      </x:c>
      <x:c r="C444" t="n">
        <x:f>Match_Data!C444</x:f>
        <x:v>0</x:v>
      </x:c>
      <x:c r="D444" t="n">
        <x:f>Match_Data!E444</x:f>
        <x:v>0</x:v>
      </x:c>
      <x:c r="E444" t="n">
        <x:f>Match_Data!F444</x:f>
        <x:v>0</x:v>
      </x:c>
      <x:c r="F444" t="n">
        <x:f>Match_Data!AC444</x:f>
        <x:v>0</x:v>
      </x:c>
      <x:c r="G444" t="str">
        <x:f>IF(OR(Match_Data!K444="",Match_Data!L444=""),"",AVERAGE(Match_Data!K444:L444))</x:f>
      </x:c>
      <x:c r="H444" t="str">
        <x:f>IF(OR(Match_Data!M444="",Match_Data!N444=""),"",AVERAGE(Match_Data!M444:N444))</x:f>
      </x:c>
      <x:c r="I444" t="str">
        <x:f>IF(OR(Match_Data!O444="",Match_Data!Q444=""),"",Match_Data!O444+Match_Data!Q444)</x:f>
      </x:c>
      <x:c r="J444" t="str">
        <x:f>IF(OR(Match_Data!P444="",Match_Data!R444=""),"",Match_Data!P444+Match_Data!R444)</x:f>
      </x:c>
      <x:c r="K444" t="str">
        <x:f>IF(OR(Match_Data!S444="",Match_Data!T444=""),"",Match_Data!S444+Match_Data!T444)</x:f>
      </x:c>
      <x:c r="L444" t="str">
        <x:f>IF(OR(Match_Data!U444="",Match_Data!V444=""),"",Match_Data!U444-Match_Data!V444)</x:f>
      </x:c>
      <x:c r="M444" s="32" t="str">
        <x:f>IF(Match_Data!Y444="","",1/Match_Data!Y444)</x:f>
      </x:c>
      <x:c r="N444" s="32" t="str">
        <x:f>IF(Match_Data!AA444="","",1/Match_Data!AA444)</x:f>
      </x:c>
      <x:c r="O444" s="32" t="str">
        <x:f>IF(OR(M444="",N444=""),"",N444-M444)</x:f>
      </x:c>
      <x:c r="P444" t="str">
        <x:f>IF(Match_Data!J444="","",IF(Match_Data!J444="OVER",1,0))</x:f>
      </x:c>
    </x:row>
    <x:row r="445">
      <x:c r="A445" t="n">
        <x:f>Match_Data!A445</x:f>
        <x:v>0</x:v>
      </x:c>
      <x:c r="B445" s="28" t="n">
        <x:f>Match_Data!B445</x:f>
        <x:v>0</x:v>
      </x:c>
      <x:c r="C445" t="n">
        <x:f>Match_Data!C445</x:f>
        <x:v>0</x:v>
      </x:c>
      <x:c r="D445" t="n">
        <x:f>Match_Data!E445</x:f>
        <x:v>0</x:v>
      </x:c>
      <x:c r="E445" t="n">
        <x:f>Match_Data!F445</x:f>
        <x:v>0</x:v>
      </x:c>
      <x:c r="F445" t="n">
        <x:f>Match_Data!AC445</x:f>
        <x:v>0</x:v>
      </x:c>
      <x:c r="G445" t="str">
        <x:f>IF(OR(Match_Data!K445="",Match_Data!L445=""),"",AVERAGE(Match_Data!K445:L445))</x:f>
      </x:c>
      <x:c r="H445" t="str">
        <x:f>IF(OR(Match_Data!M445="",Match_Data!N445=""),"",AVERAGE(Match_Data!M445:N445))</x:f>
      </x:c>
      <x:c r="I445" t="str">
        <x:f>IF(OR(Match_Data!O445="",Match_Data!Q445=""),"",Match_Data!O445+Match_Data!Q445)</x:f>
      </x:c>
      <x:c r="J445" t="str">
        <x:f>IF(OR(Match_Data!P445="",Match_Data!R445=""),"",Match_Data!P445+Match_Data!R445)</x:f>
      </x:c>
      <x:c r="K445" t="str">
        <x:f>IF(OR(Match_Data!S445="",Match_Data!T445=""),"",Match_Data!S445+Match_Data!T445)</x:f>
      </x:c>
      <x:c r="L445" t="str">
        <x:f>IF(OR(Match_Data!U445="",Match_Data!V445=""),"",Match_Data!U445-Match_Data!V445)</x:f>
      </x:c>
      <x:c r="M445" s="32" t="str">
        <x:f>IF(Match_Data!Y445="","",1/Match_Data!Y445)</x:f>
      </x:c>
      <x:c r="N445" s="32" t="str">
        <x:f>IF(Match_Data!AA445="","",1/Match_Data!AA445)</x:f>
      </x:c>
      <x:c r="O445" s="32" t="str">
        <x:f>IF(OR(M445="",N445=""),"",N445-M445)</x:f>
      </x:c>
      <x:c r="P445" t="str">
        <x:f>IF(Match_Data!J445="","",IF(Match_Data!J445="OVER",1,0))</x:f>
      </x:c>
    </x:row>
    <x:row r="446">
      <x:c r="A446" t="n">
        <x:f>Match_Data!A446</x:f>
        <x:v>0</x:v>
      </x:c>
      <x:c r="B446" s="28" t="n">
        <x:f>Match_Data!B446</x:f>
        <x:v>0</x:v>
      </x:c>
      <x:c r="C446" t="n">
        <x:f>Match_Data!C446</x:f>
        <x:v>0</x:v>
      </x:c>
      <x:c r="D446" t="n">
        <x:f>Match_Data!E446</x:f>
        <x:v>0</x:v>
      </x:c>
      <x:c r="E446" t="n">
        <x:f>Match_Data!F446</x:f>
        <x:v>0</x:v>
      </x:c>
      <x:c r="F446" t="n">
        <x:f>Match_Data!AC446</x:f>
        <x:v>0</x:v>
      </x:c>
      <x:c r="G446" t="str">
        <x:f>IF(OR(Match_Data!K446="",Match_Data!L446=""),"",AVERAGE(Match_Data!K446:L446))</x:f>
      </x:c>
      <x:c r="H446" t="str">
        <x:f>IF(OR(Match_Data!M446="",Match_Data!N446=""),"",AVERAGE(Match_Data!M446:N446))</x:f>
      </x:c>
      <x:c r="I446" t="str">
        <x:f>IF(OR(Match_Data!O446="",Match_Data!Q446=""),"",Match_Data!O446+Match_Data!Q446)</x:f>
      </x:c>
      <x:c r="J446" t="str">
        <x:f>IF(OR(Match_Data!P446="",Match_Data!R446=""),"",Match_Data!P446+Match_Data!R446)</x:f>
      </x:c>
      <x:c r="K446" t="str">
        <x:f>IF(OR(Match_Data!S446="",Match_Data!T446=""),"",Match_Data!S446+Match_Data!T446)</x:f>
      </x:c>
      <x:c r="L446" t="str">
        <x:f>IF(OR(Match_Data!U446="",Match_Data!V446=""),"",Match_Data!U446-Match_Data!V446)</x:f>
      </x:c>
      <x:c r="M446" s="32" t="str">
        <x:f>IF(Match_Data!Y446="","",1/Match_Data!Y446)</x:f>
      </x:c>
      <x:c r="N446" s="32" t="str">
        <x:f>IF(Match_Data!AA446="","",1/Match_Data!AA446)</x:f>
      </x:c>
      <x:c r="O446" s="32" t="str">
        <x:f>IF(OR(M446="",N446=""),"",N446-M446)</x:f>
      </x:c>
      <x:c r="P446" t="str">
        <x:f>IF(Match_Data!J446="","",IF(Match_Data!J446="OVER",1,0))</x:f>
      </x:c>
    </x:row>
    <x:row r="447">
      <x:c r="A447" t="n">
        <x:f>Match_Data!A447</x:f>
        <x:v>0</x:v>
      </x:c>
      <x:c r="B447" s="28" t="n">
        <x:f>Match_Data!B447</x:f>
        <x:v>0</x:v>
      </x:c>
      <x:c r="C447" t="n">
        <x:f>Match_Data!C447</x:f>
        <x:v>0</x:v>
      </x:c>
      <x:c r="D447" t="n">
        <x:f>Match_Data!E447</x:f>
        <x:v>0</x:v>
      </x:c>
      <x:c r="E447" t="n">
        <x:f>Match_Data!F447</x:f>
        <x:v>0</x:v>
      </x:c>
      <x:c r="F447" t="n">
        <x:f>Match_Data!AC447</x:f>
        <x:v>0</x:v>
      </x:c>
      <x:c r="G447" t="str">
        <x:f>IF(OR(Match_Data!K447="",Match_Data!L447=""),"",AVERAGE(Match_Data!K447:L447))</x:f>
      </x:c>
      <x:c r="H447" t="str">
        <x:f>IF(OR(Match_Data!M447="",Match_Data!N447=""),"",AVERAGE(Match_Data!M447:N447))</x:f>
      </x:c>
      <x:c r="I447" t="str">
        <x:f>IF(OR(Match_Data!O447="",Match_Data!Q447=""),"",Match_Data!O447+Match_Data!Q447)</x:f>
      </x:c>
      <x:c r="J447" t="str">
        <x:f>IF(OR(Match_Data!P447="",Match_Data!R447=""),"",Match_Data!P447+Match_Data!R447)</x:f>
      </x:c>
      <x:c r="K447" t="str">
        <x:f>IF(OR(Match_Data!S447="",Match_Data!T447=""),"",Match_Data!S447+Match_Data!T447)</x:f>
      </x:c>
      <x:c r="L447" t="str">
        <x:f>IF(OR(Match_Data!U447="",Match_Data!V447=""),"",Match_Data!U447-Match_Data!V447)</x:f>
      </x:c>
      <x:c r="M447" s="32" t="str">
        <x:f>IF(Match_Data!Y447="","",1/Match_Data!Y447)</x:f>
      </x:c>
      <x:c r="N447" s="32" t="str">
        <x:f>IF(Match_Data!AA447="","",1/Match_Data!AA447)</x:f>
      </x:c>
      <x:c r="O447" s="32" t="str">
        <x:f>IF(OR(M447="",N447=""),"",N447-M447)</x:f>
      </x:c>
      <x:c r="P447" t="str">
        <x:f>IF(Match_Data!J447="","",IF(Match_Data!J447="OVER",1,0))</x:f>
      </x:c>
    </x:row>
    <x:row r="448">
      <x:c r="A448" t="n">
        <x:f>Match_Data!A448</x:f>
        <x:v>0</x:v>
      </x:c>
      <x:c r="B448" s="28" t="n">
        <x:f>Match_Data!B448</x:f>
        <x:v>0</x:v>
      </x:c>
      <x:c r="C448" t="n">
        <x:f>Match_Data!C448</x:f>
        <x:v>0</x:v>
      </x:c>
      <x:c r="D448" t="n">
        <x:f>Match_Data!E448</x:f>
        <x:v>0</x:v>
      </x:c>
      <x:c r="E448" t="n">
        <x:f>Match_Data!F448</x:f>
        <x:v>0</x:v>
      </x:c>
      <x:c r="F448" t="n">
        <x:f>Match_Data!AC448</x:f>
        <x:v>0</x:v>
      </x:c>
      <x:c r="G448" t="str">
        <x:f>IF(OR(Match_Data!K448="",Match_Data!L448=""),"",AVERAGE(Match_Data!K448:L448))</x:f>
      </x:c>
      <x:c r="H448" t="str">
        <x:f>IF(OR(Match_Data!M448="",Match_Data!N448=""),"",AVERAGE(Match_Data!M448:N448))</x:f>
      </x:c>
      <x:c r="I448" t="str">
        <x:f>IF(OR(Match_Data!O448="",Match_Data!Q448=""),"",Match_Data!O448+Match_Data!Q448)</x:f>
      </x:c>
      <x:c r="J448" t="str">
        <x:f>IF(OR(Match_Data!P448="",Match_Data!R448=""),"",Match_Data!P448+Match_Data!R448)</x:f>
      </x:c>
      <x:c r="K448" t="str">
        <x:f>IF(OR(Match_Data!S448="",Match_Data!T448=""),"",Match_Data!S448+Match_Data!T448)</x:f>
      </x:c>
      <x:c r="L448" t="str">
        <x:f>IF(OR(Match_Data!U448="",Match_Data!V448=""),"",Match_Data!U448-Match_Data!V448)</x:f>
      </x:c>
      <x:c r="M448" s="32" t="str">
        <x:f>IF(Match_Data!Y448="","",1/Match_Data!Y448)</x:f>
      </x:c>
      <x:c r="N448" s="32" t="str">
        <x:f>IF(Match_Data!AA448="","",1/Match_Data!AA448)</x:f>
      </x:c>
      <x:c r="O448" s="32" t="str">
        <x:f>IF(OR(M448="",N448=""),"",N448-M448)</x:f>
      </x:c>
      <x:c r="P448" t="str">
        <x:f>IF(Match_Data!J448="","",IF(Match_Data!J448="OVER",1,0))</x:f>
      </x:c>
    </x:row>
    <x:row r="449">
      <x:c r="A449" t="n">
        <x:f>Match_Data!A449</x:f>
        <x:v>0</x:v>
      </x:c>
      <x:c r="B449" s="28" t="n">
        <x:f>Match_Data!B449</x:f>
        <x:v>0</x:v>
      </x:c>
      <x:c r="C449" t="n">
        <x:f>Match_Data!C449</x:f>
        <x:v>0</x:v>
      </x:c>
      <x:c r="D449" t="n">
        <x:f>Match_Data!E449</x:f>
        <x:v>0</x:v>
      </x:c>
      <x:c r="E449" t="n">
        <x:f>Match_Data!F449</x:f>
        <x:v>0</x:v>
      </x:c>
      <x:c r="F449" t="n">
        <x:f>Match_Data!AC449</x:f>
        <x:v>0</x:v>
      </x:c>
      <x:c r="G449" t="str">
        <x:f>IF(OR(Match_Data!K449="",Match_Data!L449=""),"",AVERAGE(Match_Data!K449:L449))</x:f>
      </x:c>
      <x:c r="H449" t="str">
        <x:f>IF(OR(Match_Data!M449="",Match_Data!N449=""),"",AVERAGE(Match_Data!M449:N449))</x:f>
      </x:c>
      <x:c r="I449" t="str">
        <x:f>IF(OR(Match_Data!O449="",Match_Data!Q449=""),"",Match_Data!O449+Match_Data!Q449)</x:f>
      </x:c>
      <x:c r="J449" t="str">
        <x:f>IF(OR(Match_Data!P449="",Match_Data!R449=""),"",Match_Data!P449+Match_Data!R449)</x:f>
      </x:c>
      <x:c r="K449" t="str">
        <x:f>IF(OR(Match_Data!S449="",Match_Data!T449=""),"",Match_Data!S449+Match_Data!T449)</x:f>
      </x:c>
      <x:c r="L449" t="str">
        <x:f>IF(OR(Match_Data!U449="",Match_Data!V449=""),"",Match_Data!U449-Match_Data!V449)</x:f>
      </x:c>
      <x:c r="M449" s="32" t="str">
        <x:f>IF(Match_Data!Y449="","",1/Match_Data!Y449)</x:f>
      </x:c>
      <x:c r="N449" s="32" t="str">
        <x:f>IF(Match_Data!AA449="","",1/Match_Data!AA449)</x:f>
      </x:c>
      <x:c r="O449" s="32" t="str">
        <x:f>IF(OR(M449="",N449=""),"",N449-M449)</x:f>
      </x:c>
      <x:c r="P449" t="str">
        <x:f>IF(Match_Data!J449="","",IF(Match_Data!J449="OVER",1,0))</x:f>
      </x:c>
    </x:row>
    <x:row r="450">
      <x:c r="A450" t="n">
        <x:f>Match_Data!A450</x:f>
        <x:v>0</x:v>
      </x:c>
      <x:c r="B450" s="28" t="n">
        <x:f>Match_Data!B450</x:f>
        <x:v>0</x:v>
      </x:c>
      <x:c r="C450" t="n">
        <x:f>Match_Data!C450</x:f>
        <x:v>0</x:v>
      </x:c>
      <x:c r="D450" t="n">
        <x:f>Match_Data!E450</x:f>
        <x:v>0</x:v>
      </x:c>
      <x:c r="E450" t="n">
        <x:f>Match_Data!F450</x:f>
        <x:v>0</x:v>
      </x:c>
      <x:c r="F450" t="n">
        <x:f>Match_Data!AC450</x:f>
        <x:v>0</x:v>
      </x:c>
      <x:c r="G450" t="str">
        <x:f>IF(OR(Match_Data!K450="",Match_Data!L450=""),"",AVERAGE(Match_Data!K450:L450))</x:f>
      </x:c>
      <x:c r="H450" t="str">
        <x:f>IF(OR(Match_Data!M450="",Match_Data!N450=""),"",AVERAGE(Match_Data!M450:N450))</x:f>
      </x:c>
      <x:c r="I450" t="str">
        <x:f>IF(OR(Match_Data!O450="",Match_Data!Q450=""),"",Match_Data!O450+Match_Data!Q450)</x:f>
      </x:c>
      <x:c r="J450" t="str">
        <x:f>IF(OR(Match_Data!P450="",Match_Data!R450=""),"",Match_Data!P450+Match_Data!R450)</x:f>
      </x:c>
      <x:c r="K450" t="str">
        <x:f>IF(OR(Match_Data!S450="",Match_Data!T450=""),"",Match_Data!S450+Match_Data!T450)</x:f>
      </x:c>
      <x:c r="L450" t="str">
        <x:f>IF(OR(Match_Data!U450="",Match_Data!V450=""),"",Match_Data!U450-Match_Data!V450)</x:f>
      </x:c>
      <x:c r="M450" s="32" t="str">
        <x:f>IF(Match_Data!Y450="","",1/Match_Data!Y450)</x:f>
      </x:c>
      <x:c r="N450" s="32" t="str">
        <x:f>IF(Match_Data!AA450="","",1/Match_Data!AA450)</x:f>
      </x:c>
      <x:c r="O450" s="32" t="str">
        <x:f>IF(OR(M450="",N450=""),"",N450-M450)</x:f>
      </x:c>
      <x:c r="P450" t="str">
        <x:f>IF(Match_Data!J450="","",IF(Match_Data!J450="OVER",1,0))</x:f>
      </x:c>
    </x:row>
    <x:row r="451">
      <x:c r="A451" t="n">
        <x:f>Match_Data!A451</x:f>
        <x:v>0</x:v>
      </x:c>
      <x:c r="B451" s="28" t="n">
        <x:f>Match_Data!B451</x:f>
        <x:v>0</x:v>
      </x:c>
      <x:c r="C451" t="n">
        <x:f>Match_Data!C451</x:f>
        <x:v>0</x:v>
      </x:c>
      <x:c r="D451" t="n">
        <x:f>Match_Data!E451</x:f>
        <x:v>0</x:v>
      </x:c>
      <x:c r="E451" t="n">
        <x:f>Match_Data!F451</x:f>
        <x:v>0</x:v>
      </x:c>
      <x:c r="F451" t="n">
        <x:f>Match_Data!AC451</x:f>
        <x:v>0</x:v>
      </x:c>
      <x:c r="G451" t="str">
        <x:f>IF(OR(Match_Data!K451="",Match_Data!L451=""),"",AVERAGE(Match_Data!K451:L451))</x:f>
      </x:c>
      <x:c r="H451" t="str">
        <x:f>IF(OR(Match_Data!M451="",Match_Data!N451=""),"",AVERAGE(Match_Data!M451:N451))</x:f>
      </x:c>
      <x:c r="I451" t="str">
        <x:f>IF(OR(Match_Data!O451="",Match_Data!Q451=""),"",Match_Data!O451+Match_Data!Q451)</x:f>
      </x:c>
      <x:c r="J451" t="str">
        <x:f>IF(OR(Match_Data!P451="",Match_Data!R451=""),"",Match_Data!P451+Match_Data!R451)</x:f>
      </x:c>
      <x:c r="K451" t="str">
        <x:f>IF(OR(Match_Data!S451="",Match_Data!T451=""),"",Match_Data!S451+Match_Data!T451)</x:f>
      </x:c>
      <x:c r="L451" t="str">
        <x:f>IF(OR(Match_Data!U451="",Match_Data!V451=""),"",Match_Data!U451-Match_Data!V451)</x:f>
      </x:c>
      <x:c r="M451" s="32" t="str">
        <x:f>IF(Match_Data!Y451="","",1/Match_Data!Y451)</x:f>
      </x:c>
      <x:c r="N451" s="32" t="str">
        <x:f>IF(Match_Data!AA451="","",1/Match_Data!AA451)</x:f>
      </x:c>
      <x:c r="O451" s="32" t="str">
        <x:f>IF(OR(M451="",N451=""),"",N451-M451)</x:f>
      </x:c>
      <x:c r="P451" t="str">
        <x:f>IF(Match_Data!J451="","",IF(Match_Data!J451="OVER",1,0))</x:f>
      </x:c>
    </x:row>
    <x:row r="452">
      <x:c r="A452" t="n">
        <x:f>Match_Data!A452</x:f>
        <x:v>0</x:v>
      </x:c>
      <x:c r="B452" s="28" t="n">
        <x:f>Match_Data!B452</x:f>
        <x:v>0</x:v>
      </x:c>
      <x:c r="C452" t="n">
        <x:f>Match_Data!C452</x:f>
        <x:v>0</x:v>
      </x:c>
      <x:c r="D452" t="n">
        <x:f>Match_Data!E452</x:f>
        <x:v>0</x:v>
      </x:c>
      <x:c r="E452" t="n">
        <x:f>Match_Data!F452</x:f>
        <x:v>0</x:v>
      </x:c>
      <x:c r="F452" t="n">
        <x:f>Match_Data!AC452</x:f>
        <x:v>0</x:v>
      </x:c>
      <x:c r="G452" t="str">
        <x:f>IF(OR(Match_Data!K452="",Match_Data!L452=""),"",AVERAGE(Match_Data!K452:L452))</x:f>
      </x:c>
      <x:c r="H452" t="str">
        <x:f>IF(OR(Match_Data!M452="",Match_Data!N452=""),"",AVERAGE(Match_Data!M452:N452))</x:f>
      </x:c>
      <x:c r="I452" t="str">
        <x:f>IF(OR(Match_Data!O452="",Match_Data!Q452=""),"",Match_Data!O452+Match_Data!Q452)</x:f>
      </x:c>
      <x:c r="J452" t="str">
        <x:f>IF(OR(Match_Data!P452="",Match_Data!R452=""),"",Match_Data!P452+Match_Data!R452)</x:f>
      </x:c>
      <x:c r="K452" t="str">
        <x:f>IF(OR(Match_Data!S452="",Match_Data!T452=""),"",Match_Data!S452+Match_Data!T452)</x:f>
      </x:c>
      <x:c r="L452" t="str">
        <x:f>IF(OR(Match_Data!U452="",Match_Data!V452=""),"",Match_Data!U452-Match_Data!V452)</x:f>
      </x:c>
      <x:c r="M452" s="32" t="str">
        <x:f>IF(Match_Data!Y452="","",1/Match_Data!Y452)</x:f>
      </x:c>
      <x:c r="N452" s="32" t="str">
        <x:f>IF(Match_Data!AA452="","",1/Match_Data!AA452)</x:f>
      </x:c>
      <x:c r="O452" s="32" t="str">
        <x:f>IF(OR(M452="",N452=""),"",N452-M452)</x:f>
      </x:c>
      <x:c r="P452" t="str">
        <x:f>IF(Match_Data!J452="","",IF(Match_Data!J452="OVER",1,0))</x:f>
      </x:c>
    </x:row>
    <x:row r="453">
      <x:c r="A453" t="n">
        <x:f>Match_Data!A453</x:f>
        <x:v>0</x:v>
      </x:c>
      <x:c r="B453" s="28" t="n">
        <x:f>Match_Data!B453</x:f>
        <x:v>0</x:v>
      </x:c>
      <x:c r="C453" t="n">
        <x:f>Match_Data!C453</x:f>
        <x:v>0</x:v>
      </x:c>
      <x:c r="D453" t="n">
        <x:f>Match_Data!E453</x:f>
        <x:v>0</x:v>
      </x:c>
      <x:c r="E453" t="n">
        <x:f>Match_Data!F453</x:f>
        <x:v>0</x:v>
      </x:c>
      <x:c r="F453" t="n">
        <x:f>Match_Data!AC453</x:f>
        <x:v>0</x:v>
      </x:c>
      <x:c r="G453" t="str">
        <x:f>IF(OR(Match_Data!K453="",Match_Data!L453=""),"",AVERAGE(Match_Data!K453:L453))</x:f>
      </x:c>
      <x:c r="H453" t="str">
        <x:f>IF(OR(Match_Data!M453="",Match_Data!N453=""),"",AVERAGE(Match_Data!M453:N453))</x:f>
      </x:c>
      <x:c r="I453" t="str">
        <x:f>IF(OR(Match_Data!O453="",Match_Data!Q453=""),"",Match_Data!O453+Match_Data!Q453)</x:f>
      </x:c>
      <x:c r="J453" t="str">
        <x:f>IF(OR(Match_Data!P453="",Match_Data!R453=""),"",Match_Data!P453+Match_Data!R453)</x:f>
      </x:c>
      <x:c r="K453" t="str">
        <x:f>IF(OR(Match_Data!S453="",Match_Data!T453=""),"",Match_Data!S453+Match_Data!T453)</x:f>
      </x:c>
      <x:c r="L453" t="str">
        <x:f>IF(OR(Match_Data!U453="",Match_Data!V453=""),"",Match_Data!U453-Match_Data!V453)</x:f>
      </x:c>
      <x:c r="M453" s="32" t="str">
        <x:f>IF(Match_Data!Y453="","",1/Match_Data!Y453)</x:f>
      </x:c>
      <x:c r="N453" s="32" t="str">
        <x:f>IF(Match_Data!AA453="","",1/Match_Data!AA453)</x:f>
      </x:c>
      <x:c r="O453" s="32" t="str">
        <x:f>IF(OR(M453="",N453=""),"",N453-M453)</x:f>
      </x:c>
      <x:c r="P453" t="str">
        <x:f>IF(Match_Data!J453="","",IF(Match_Data!J453="OVER",1,0))</x:f>
      </x:c>
    </x:row>
    <x:row r="454">
      <x:c r="A454" t="n">
        <x:f>Match_Data!A454</x:f>
        <x:v>0</x:v>
      </x:c>
      <x:c r="B454" s="28" t="n">
        <x:f>Match_Data!B454</x:f>
        <x:v>0</x:v>
      </x:c>
      <x:c r="C454" t="n">
        <x:f>Match_Data!C454</x:f>
        <x:v>0</x:v>
      </x:c>
      <x:c r="D454" t="n">
        <x:f>Match_Data!E454</x:f>
        <x:v>0</x:v>
      </x:c>
      <x:c r="E454" t="n">
        <x:f>Match_Data!F454</x:f>
        <x:v>0</x:v>
      </x:c>
      <x:c r="F454" t="n">
        <x:f>Match_Data!AC454</x:f>
        <x:v>0</x:v>
      </x:c>
      <x:c r="G454" t="str">
        <x:f>IF(OR(Match_Data!K454="",Match_Data!L454=""),"",AVERAGE(Match_Data!K454:L454))</x:f>
      </x:c>
      <x:c r="H454" t="str">
        <x:f>IF(OR(Match_Data!M454="",Match_Data!N454=""),"",AVERAGE(Match_Data!M454:N454))</x:f>
      </x:c>
      <x:c r="I454" t="str">
        <x:f>IF(OR(Match_Data!O454="",Match_Data!Q454=""),"",Match_Data!O454+Match_Data!Q454)</x:f>
      </x:c>
      <x:c r="J454" t="str">
        <x:f>IF(OR(Match_Data!P454="",Match_Data!R454=""),"",Match_Data!P454+Match_Data!R454)</x:f>
      </x:c>
      <x:c r="K454" t="str">
        <x:f>IF(OR(Match_Data!S454="",Match_Data!T454=""),"",Match_Data!S454+Match_Data!T454)</x:f>
      </x:c>
      <x:c r="L454" t="str">
        <x:f>IF(OR(Match_Data!U454="",Match_Data!V454=""),"",Match_Data!U454-Match_Data!V454)</x:f>
      </x:c>
      <x:c r="M454" s="32" t="str">
        <x:f>IF(Match_Data!Y454="","",1/Match_Data!Y454)</x:f>
      </x:c>
      <x:c r="N454" s="32" t="str">
        <x:f>IF(Match_Data!AA454="","",1/Match_Data!AA454)</x:f>
      </x:c>
      <x:c r="O454" s="32" t="str">
        <x:f>IF(OR(M454="",N454=""),"",N454-M454)</x:f>
      </x:c>
      <x:c r="P454" t="str">
        <x:f>IF(Match_Data!J454="","",IF(Match_Data!J454="OVER",1,0))</x:f>
      </x:c>
    </x:row>
    <x:row r="455">
      <x:c r="A455" t="n">
        <x:f>Match_Data!A455</x:f>
        <x:v>0</x:v>
      </x:c>
      <x:c r="B455" s="28" t="n">
        <x:f>Match_Data!B455</x:f>
        <x:v>0</x:v>
      </x:c>
      <x:c r="C455" t="n">
        <x:f>Match_Data!C455</x:f>
        <x:v>0</x:v>
      </x:c>
      <x:c r="D455" t="n">
        <x:f>Match_Data!E455</x:f>
        <x:v>0</x:v>
      </x:c>
      <x:c r="E455" t="n">
        <x:f>Match_Data!F455</x:f>
        <x:v>0</x:v>
      </x:c>
      <x:c r="F455" t="n">
        <x:f>Match_Data!AC455</x:f>
        <x:v>0</x:v>
      </x:c>
      <x:c r="G455" t="str">
        <x:f>IF(OR(Match_Data!K455="",Match_Data!L455=""),"",AVERAGE(Match_Data!K455:L455))</x:f>
      </x:c>
      <x:c r="H455" t="str">
        <x:f>IF(OR(Match_Data!M455="",Match_Data!N455=""),"",AVERAGE(Match_Data!M455:N455))</x:f>
      </x:c>
      <x:c r="I455" t="str">
        <x:f>IF(OR(Match_Data!O455="",Match_Data!Q455=""),"",Match_Data!O455+Match_Data!Q455)</x:f>
      </x:c>
      <x:c r="J455" t="str">
        <x:f>IF(OR(Match_Data!P455="",Match_Data!R455=""),"",Match_Data!P455+Match_Data!R455)</x:f>
      </x:c>
      <x:c r="K455" t="str">
        <x:f>IF(OR(Match_Data!S455="",Match_Data!T455=""),"",Match_Data!S455+Match_Data!T455)</x:f>
      </x:c>
      <x:c r="L455" t="str">
        <x:f>IF(OR(Match_Data!U455="",Match_Data!V455=""),"",Match_Data!U455-Match_Data!V455)</x:f>
      </x:c>
      <x:c r="M455" s="32" t="str">
        <x:f>IF(Match_Data!Y455="","",1/Match_Data!Y455)</x:f>
      </x:c>
      <x:c r="N455" s="32" t="str">
        <x:f>IF(Match_Data!AA455="","",1/Match_Data!AA455)</x:f>
      </x:c>
      <x:c r="O455" s="32" t="str">
        <x:f>IF(OR(M455="",N455=""),"",N455-M455)</x:f>
      </x:c>
      <x:c r="P455" t="str">
        <x:f>IF(Match_Data!J455="","",IF(Match_Data!J455="OVER",1,0))</x:f>
      </x:c>
    </x:row>
    <x:row r="456">
      <x:c r="A456" t="n">
        <x:f>Match_Data!A456</x:f>
        <x:v>0</x:v>
      </x:c>
      <x:c r="B456" s="28" t="n">
        <x:f>Match_Data!B456</x:f>
        <x:v>0</x:v>
      </x:c>
      <x:c r="C456" t="n">
        <x:f>Match_Data!C456</x:f>
        <x:v>0</x:v>
      </x:c>
      <x:c r="D456" t="n">
        <x:f>Match_Data!E456</x:f>
        <x:v>0</x:v>
      </x:c>
      <x:c r="E456" t="n">
        <x:f>Match_Data!F456</x:f>
        <x:v>0</x:v>
      </x:c>
      <x:c r="F456" t="n">
        <x:f>Match_Data!AC456</x:f>
        <x:v>0</x:v>
      </x:c>
      <x:c r="G456" t="str">
        <x:f>IF(OR(Match_Data!K456="",Match_Data!L456=""),"",AVERAGE(Match_Data!K456:L456))</x:f>
      </x:c>
      <x:c r="H456" t="str">
        <x:f>IF(OR(Match_Data!M456="",Match_Data!N456=""),"",AVERAGE(Match_Data!M456:N456))</x:f>
      </x:c>
      <x:c r="I456" t="str">
        <x:f>IF(OR(Match_Data!O456="",Match_Data!Q456=""),"",Match_Data!O456+Match_Data!Q456)</x:f>
      </x:c>
      <x:c r="J456" t="str">
        <x:f>IF(OR(Match_Data!P456="",Match_Data!R456=""),"",Match_Data!P456+Match_Data!R456)</x:f>
      </x:c>
      <x:c r="K456" t="str">
        <x:f>IF(OR(Match_Data!S456="",Match_Data!T456=""),"",Match_Data!S456+Match_Data!T456)</x:f>
      </x:c>
      <x:c r="L456" t="str">
        <x:f>IF(OR(Match_Data!U456="",Match_Data!V456=""),"",Match_Data!U456-Match_Data!V456)</x:f>
      </x:c>
      <x:c r="M456" s="32" t="str">
        <x:f>IF(Match_Data!Y456="","",1/Match_Data!Y456)</x:f>
      </x:c>
      <x:c r="N456" s="32" t="str">
        <x:f>IF(Match_Data!AA456="","",1/Match_Data!AA456)</x:f>
      </x:c>
      <x:c r="O456" s="32" t="str">
        <x:f>IF(OR(M456="",N456=""),"",N456-M456)</x:f>
      </x:c>
      <x:c r="P456" t="str">
        <x:f>IF(Match_Data!J456="","",IF(Match_Data!J456="OVER",1,0))</x:f>
      </x:c>
    </x:row>
    <x:row r="457">
      <x:c r="A457" t="n">
        <x:f>Match_Data!A457</x:f>
        <x:v>0</x:v>
      </x:c>
      <x:c r="B457" s="28" t="n">
        <x:f>Match_Data!B457</x:f>
        <x:v>0</x:v>
      </x:c>
      <x:c r="C457" t="n">
        <x:f>Match_Data!C457</x:f>
        <x:v>0</x:v>
      </x:c>
      <x:c r="D457" t="n">
        <x:f>Match_Data!E457</x:f>
        <x:v>0</x:v>
      </x:c>
      <x:c r="E457" t="n">
        <x:f>Match_Data!F457</x:f>
        <x:v>0</x:v>
      </x:c>
      <x:c r="F457" t="n">
        <x:f>Match_Data!AC457</x:f>
        <x:v>0</x:v>
      </x:c>
      <x:c r="G457" t="str">
        <x:f>IF(OR(Match_Data!K457="",Match_Data!L457=""),"",AVERAGE(Match_Data!K457:L457))</x:f>
      </x:c>
      <x:c r="H457" t="str">
        <x:f>IF(OR(Match_Data!M457="",Match_Data!N457=""),"",AVERAGE(Match_Data!M457:N457))</x:f>
      </x:c>
      <x:c r="I457" t="str">
        <x:f>IF(OR(Match_Data!O457="",Match_Data!Q457=""),"",Match_Data!O457+Match_Data!Q457)</x:f>
      </x:c>
      <x:c r="J457" t="str">
        <x:f>IF(OR(Match_Data!P457="",Match_Data!R457=""),"",Match_Data!P457+Match_Data!R457)</x:f>
      </x:c>
      <x:c r="K457" t="str">
        <x:f>IF(OR(Match_Data!S457="",Match_Data!T457=""),"",Match_Data!S457+Match_Data!T457)</x:f>
      </x:c>
      <x:c r="L457" t="str">
        <x:f>IF(OR(Match_Data!U457="",Match_Data!V457=""),"",Match_Data!U457-Match_Data!V457)</x:f>
      </x:c>
      <x:c r="M457" s="32" t="str">
        <x:f>IF(Match_Data!Y457="","",1/Match_Data!Y457)</x:f>
      </x:c>
      <x:c r="N457" s="32" t="str">
        <x:f>IF(Match_Data!AA457="","",1/Match_Data!AA457)</x:f>
      </x:c>
      <x:c r="O457" s="32" t="str">
        <x:f>IF(OR(M457="",N457=""),"",N457-M457)</x:f>
      </x:c>
      <x:c r="P457" t="str">
        <x:f>IF(Match_Data!J457="","",IF(Match_Data!J457="OVER",1,0))</x:f>
      </x:c>
    </x:row>
    <x:row r="458">
      <x:c r="A458" t="n">
        <x:f>Match_Data!A458</x:f>
        <x:v>0</x:v>
      </x:c>
      <x:c r="B458" s="28" t="n">
        <x:f>Match_Data!B458</x:f>
        <x:v>0</x:v>
      </x:c>
      <x:c r="C458" t="n">
        <x:f>Match_Data!C458</x:f>
        <x:v>0</x:v>
      </x:c>
      <x:c r="D458" t="n">
        <x:f>Match_Data!E458</x:f>
        <x:v>0</x:v>
      </x:c>
      <x:c r="E458" t="n">
        <x:f>Match_Data!F458</x:f>
        <x:v>0</x:v>
      </x:c>
      <x:c r="F458" t="n">
        <x:f>Match_Data!AC458</x:f>
        <x:v>0</x:v>
      </x:c>
      <x:c r="G458" t="str">
        <x:f>IF(OR(Match_Data!K458="",Match_Data!L458=""),"",AVERAGE(Match_Data!K458:L458))</x:f>
      </x:c>
      <x:c r="H458" t="str">
        <x:f>IF(OR(Match_Data!M458="",Match_Data!N458=""),"",AVERAGE(Match_Data!M458:N458))</x:f>
      </x:c>
      <x:c r="I458" t="str">
        <x:f>IF(OR(Match_Data!O458="",Match_Data!Q458=""),"",Match_Data!O458+Match_Data!Q458)</x:f>
      </x:c>
      <x:c r="J458" t="str">
        <x:f>IF(OR(Match_Data!P458="",Match_Data!R458=""),"",Match_Data!P458+Match_Data!R458)</x:f>
      </x:c>
      <x:c r="K458" t="str">
        <x:f>IF(OR(Match_Data!S458="",Match_Data!T458=""),"",Match_Data!S458+Match_Data!T458)</x:f>
      </x:c>
      <x:c r="L458" t="str">
        <x:f>IF(OR(Match_Data!U458="",Match_Data!V458=""),"",Match_Data!U458-Match_Data!V458)</x:f>
      </x:c>
      <x:c r="M458" s="32" t="str">
        <x:f>IF(Match_Data!Y458="","",1/Match_Data!Y458)</x:f>
      </x:c>
      <x:c r="N458" s="32" t="str">
        <x:f>IF(Match_Data!AA458="","",1/Match_Data!AA458)</x:f>
      </x:c>
      <x:c r="O458" s="32" t="str">
        <x:f>IF(OR(M458="",N458=""),"",N458-M458)</x:f>
      </x:c>
      <x:c r="P458" t="str">
        <x:f>IF(Match_Data!J458="","",IF(Match_Data!J458="OVER",1,0))</x:f>
      </x:c>
    </x:row>
    <x:row r="459">
      <x:c r="A459" t="n">
        <x:f>Match_Data!A459</x:f>
        <x:v>0</x:v>
      </x:c>
      <x:c r="B459" s="28" t="n">
        <x:f>Match_Data!B459</x:f>
        <x:v>0</x:v>
      </x:c>
      <x:c r="C459" t="n">
        <x:f>Match_Data!C459</x:f>
        <x:v>0</x:v>
      </x:c>
      <x:c r="D459" t="n">
        <x:f>Match_Data!E459</x:f>
        <x:v>0</x:v>
      </x:c>
      <x:c r="E459" t="n">
        <x:f>Match_Data!F459</x:f>
        <x:v>0</x:v>
      </x:c>
      <x:c r="F459" t="n">
        <x:f>Match_Data!AC459</x:f>
        <x:v>0</x:v>
      </x:c>
      <x:c r="G459" t="str">
        <x:f>IF(OR(Match_Data!K459="",Match_Data!L459=""),"",AVERAGE(Match_Data!K459:L459))</x:f>
      </x:c>
      <x:c r="H459" t="str">
        <x:f>IF(OR(Match_Data!M459="",Match_Data!N459=""),"",AVERAGE(Match_Data!M459:N459))</x:f>
      </x:c>
      <x:c r="I459" t="str">
        <x:f>IF(OR(Match_Data!O459="",Match_Data!Q459=""),"",Match_Data!O459+Match_Data!Q459)</x:f>
      </x:c>
      <x:c r="J459" t="str">
        <x:f>IF(OR(Match_Data!P459="",Match_Data!R459=""),"",Match_Data!P459+Match_Data!R459)</x:f>
      </x:c>
      <x:c r="K459" t="str">
        <x:f>IF(OR(Match_Data!S459="",Match_Data!T459=""),"",Match_Data!S459+Match_Data!T459)</x:f>
      </x:c>
      <x:c r="L459" t="str">
        <x:f>IF(OR(Match_Data!U459="",Match_Data!V459=""),"",Match_Data!U459-Match_Data!V459)</x:f>
      </x:c>
      <x:c r="M459" s="32" t="str">
        <x:f>IF(Match_Data!Y459="","",1/Match_Data!Y459)</x:f>
      </x:c>
      <x:c r="N459" s="32" t="str">
        <x:f>IF(Match_Data!AA459="","",1/Match_Data!AA459)</x:f>
      </x:c>
      <x:c r="O459" s="32" t="str">
        <x:f>IF(OR(M459="",N459=""),"",N459-M459)</x:f>
      </x:c>
      <x:c r="P459" t="str">
        <x:f>IF(Match_Data!J459="","",IF(Match_Data!J459="OVER",1,0))</x:f>
      </x:c>
    </x:row>
    <x:row r="460">
      <x:c r="A460" t="n">
        <x:f>Match_Data!A460</x:f>
        <x:v>0</x:v>
      </x:c>
      <x:c r="B460" s="28" t="n">
        <x:f>Match_Data!B460</x:f>
        <x:v>0</x:v>
      </x:c>
      <x:c r="C460" t="n">
        <x:f>Match_Data!C460</x:f>
        <x:v>0</x:v>
      </x:c>
      <x:c r="D460" t="n">
        <x:f>Match_Data!E460</x:f>
        <x:v>0</x:v>
      </x:c>
      <x:c r="E460" t="n">
        <x:f>Match_Data!F460</x:f>
        <x:v>0</x:v>
      </x:c>
      <x:c r="F460" t="n">
        <x:f>Match_Data!AC460</x:f>
        <x:v>0</x:v>
      </x:c>
      <x:c r="G460" t="str">
        <x:f>IF(OR(Match_Data!K460="",Match_Data!L460=""),"",AVERAGE(Match_Data!K460:L460))</x:f>
      </x:c>
      <x:c r="H460" t="str">
        <x:f>IF(OR(Match_Data!M460="",Match_Data!N460=""),"",AVERAGE(Match_Data!M460:N460))</x:f>
      </x:c>
      <x:c r="I460" t="str">
        <x:f>IF(OR(Match_Data!O460="",Match_Data!Q460=""),"",Match_Data!O460+Match_Data!Q460)</x:f>
      </x:c>
      <x:c r="J460" t="str">
        <x:f>IF(OR(Match_Data!P460="",Match_Data!R460=""),"",Match_Data!P460+Match_Data!R460)</x:f>
      </x:c>
      <x:c r="K460" t="str">
        <x:f>IF(OR(Match_Data!S460="",Match_Data!T460=""),"",Match_Data!S460+Match_Data!T460)</x:f>
      </x:c>
      <x:c r="L460" t="str">
        <x:f>IF(OR(Match_Data!U460="",Match_Data!V460=""),"",Match_Data!U460-Match_Data!V460)</x:f>
      </x:c>
      <x:c r="M460" s="32" t="str">
        <x:f>IF(Match_Data!Y460="","",1/Match_Data!Y460)</x:f>
      </x:c>
      <x:c r="N460" s="32" t="str">
        <x:f>IF(Match_Data!AA460="","",1/Match_Data!AA460)</x:f>
      </x:c>
      <x:c r="O460" s="32" t="str">
        <x:f>IF(OR(M460="",N460=""),"",N460-M460)</x:f>
      </x:c>
      <x:c r="P460" t="str">
        <x:f>IF(Match_Data!J460="","",IF(Match_Data!J460="OVER",1,0))</x:f>
      </x:c>
    </x:row>
    <x:row r="461">
      <x:c r="A461" t="n">
        <x:f>Match_Data!A461</x:f>
        <x:v>0</x:v>
      </x:c>
      <x:c r="B461" s="28" t="n">
        <x:f>Match_Data!B461</x:f>
        <x:v>0</x:v>
      </x:c>
      <x:c r="C461" t="n">
        <x:f>Match_Data!C461</x:f>
        <x:v>0</x:v>
      </x:c>
      <x:c r="D461" t="n">
        <x:f>Match_Data!E461</x:f>
        <x:v>0</x:v>
      </x:c>
      <x:c r="E461" t="n">
        <x:f>Match_Data!F461</x:f>
        <x:v>0</x:v>
      </x:c>
      <x:c r="F461" t="n">
        <x:f>Match_Data!AC461</x:f>
        <x:v>0</x:v>
      </x:c>
      <x:c r="G461" t="str">
        <x:f>IF(OR(Match_Data!K461="",Match_Data!L461=""),"",AVERAGE(Match_Data!K461:L461))</x:f>
      </x:c>
      <x:c r="H461" t="str">
        <x:f>IF(OR(Match_Data!M461="",Match_Data!N461=""),"",AVERAGE(Match_Data!M461:N461))</x:f>
      </x:c>
      <x:c r="I461" t="str">
        <x:f>IF(OR(Match_Data!O461="",Match_Data!Q461=""),"",Match_Data!O461+Match_Data!Q461)</x:f>
      </x:c>
      <x:c r="J461" t="str">
        <x:f>IF(OR(Match_Data!P461="",Match_Data!R461=""),"",Match_Data!P461+Match_Data!R461)</x:f>
      </x:c>
      <x:c r="K461" t="str">
        <x:f>IF(OR(Match_Data!S461="",Match_Data!T461=""),"",Match_Data!S461+Match_Data!T461)</x:f>
      </x:c>
      <x:c r="L461" t="str">
        <x:f>IF(OR(Match_Data!U461="",Match_Data!V461=""),"",Match_Data!U461-Match_Data!V461)</x:f>
      </x:c>
      <x:c r="M461" s="32" t="str">
        <x:f>IF(Match_Data!Y461="","",1/Match_Data!Y461)</x:f>
      </x:c>
      <x:c r="N461" s="32" t="str">
        <x:f>IF(Match_Data!AA461="","",1/Match_Data!AA461)</x:f>
      </x:c>
      <x:c r="O461" s="32" t="str">
        <x:f>IF(OR(M461="",N461=""),"",N461-M461)</x:f>
      </x:c>
      <x:c r="P461" t="str">
        <x:f>IF(Match_Data!J461="","",IF(Match_Data!J461="OVER",1,0))</x:f>
      </x:c>
    </x:row>
    <x:row r="462">
      <x:c r="A462" t="n">
        <x:f>Match_Data!A462</x:f>
        <x:v>0</x:v>
      </x:c>
      <x:c r="B462" s="28" t="n">
        <x:f>Match_Data!B462</x:f>
        <x:v>0</x:v>
      </x:c>
      <x:c r="C462" t="n">
        <x:f>Match_Data!C462</x:f>
        <x:v>0</x:v>
      </x:c>
      <x:c r="D462" t="n">
        <x:f>Match_Data!E462</x:f>
        <x:v>0</x:v>
      </x:c>
      <x:c r="E462" t="n">
        <x:f>Match_Data!F462</x:f>
        <x:v>0</x:v>
      </x:c>
      <x:c r="F462" t="n">
        <x:f>Match_Data!AC462</x:f>
        <x:v>0</x:v>
      </x:c>
      <x:c r="G462" t="str">
        <x:f>IF(OR(Match_Data!K462="",Match_Data!L462=""),"",AVERAGE(Match_Data!K462:L462))</x:f>
      </x:c>
      <x:c r="H462" t="str">
        <x:f>IF(OR(Match_Data!M462="",Match_Data!N462=""),"",AVERAGE(Match_Data!M462:N462))</x:f>
      </x:c>
      <x:c r="I462" t="str">
        <x:f>IF(OR(Match_Data!O462="",Match_Data!Q462=""),"",Match_Data!O462+Match_Data!Q462)</x:f>
      </x:c>
      <x:c r="J462" t="str">
        <x:f>IF(OR(Match_Data!P462="",Match_Data!R462=""),"",Match_Data!P462+Match_Data!R462)</x:f>
      </x:c>
      <x:c r="K462" t="str">
        <x:f>IF(OR(Match_Data!S462="",Match_Data!T462=""),"",Match_Data!S462+Match_Data!T462)</x:f>
      </x:c>
      <x:c r="L462" t="str">
        <x:f>IF(OR(Match_Data!U462="",Match_Data!V462=""),"",Match_Data!U462-Match_Data!V462)</x:f>
      </x:c>
      <x:c r="M462" s="32" t="str">
        <x:f>IF(Match_Data!Y462="","",1/Match_Data!Y462)</x:f>
      </x:c>
      <x:c r="N462" s="32" t="str">
        <x:f>IF(Match_Data!AA462="","",1/Match_Data!AA462)</x:f>
      </x:c>
      <x:c r="O462" s="32" t="str">
        <x:f>IF(OR(M462="",N462=""),"",N462-M462)</x:f>
      </x:c>
      <x:c r="P462" t="str">
        <x:f>IF(Match_Data!J462="","",IF(Match_Data!J462="OVER",1,0))</x:f>
      </x:c>
    </x:row>
    <x:row r="463">
      <x:c r="A463" t="n">
        <x:f>Match_Data!A463</x:f>
        <x:v>0</x:v>
      </x:c>
      <x:c r="B463" s="28" t="n">
        <x:f>Match_Data!B463</x:f>
        <x:v>0</x:v>
      </x:c>
      <x:c r="C463" t="n">
        <x:f>Match_Data!C463</x:f>
        <x:v>0</x:v>
      </x:c>
      <x:c r="D463" t="n">
        <x:f>Match_Data!E463</x:f>
        <x:v>0</x:v>
      </x:c>
      <x:c r="E463" t="n">
        <x:f>Match_Data!F463</x:f>
        <x:v>0</x:v>
      </x:c>
      <x:c r="F463" t="n">
        <x:f>Match_Data!AC463</x:f>
        <x:v>0</x:v>
      </x:c>
      <x:c r="G463" t="str">
        <x:f>IF(OR(Match_Data!K463="",Match_Data!L463=""),"",AVERAGE(Match_Data!K463:L463))</x:f>
      </x:c>
      <x:c r="H463" t="str">
        <x:f>IF(OR(Match_Data!M463="",Match_Data!N463=""),"",AVERAGE(Match_Data!M463:N463))</x:f>
      </x:c>
      <x:c r="I463" t="str">
        <x:f>IF(OR(Match_Data!O463="",Match_Data!Q463=""),"",Match_Data!O463+Match_Data!Q463)</x:f>
      </x:c>
      <x:c r="J463" t="str">
        <x:f>IF(OR(Match_Data!P463="",Match_Data!R463=""),"",Match_Data!P463+Match_Data!R463)</x:f>
      </x:c>
      <x:c r="K463" t="str">
        <x:f>IF(OR(Match_Data!S463="",Match_Data!T463=""),"",Match_Data!S463+Match_Data!T463)</x:f>
      </x:c>
      <x:c r="L463" t="str">
        <x:f>IF(OR(Match_Data!U463="",Match_Data!V463=""),"",Match_Data!U463-Match_Data!V463)</x:f>
      </x:c>
      <x:c r="M463" s="32" t="str">
        <x:f>IF(Match_Data!Y463="","",1/Match_Data!Y463)</x:f>
      </x:c>
      <x:c r="N463" s="32" t="str">
        <x:f>IF(Match_Data!AA463="","",1/Match_Data!AA463)</x:f>
      </x:c>
      <x:c r="O463" s="32" t="str">
        <x:f>IF(OR(M463="",N463=""),"",N463-M463)</x:f>
      </x:c>
      <x:c r="P463" t="str">
        <x:f>IF(Match_Data!J463="","",IF(Match_Data!J463="OVER",1,0))</x:f>
      </x:c>
    </x:row>
    <x:row r="464">
      <x:c r="A464" t="n">
        <x:f>Match_Data!A464</x:f>
        <x:v>0</x:v>
      </x:c>
      <x:c r="B464" s="28" t="n">
        <x:f>Match_Data!B464</x:f>
        <x:v>0</x:v>
      </x:c>
      <x:c r="C464" t="n">
        <x:f>Match_Data!C464</x:f>
        <x:v>0</x:v>
      </x:c>
      <x:c r="D464" t="n">
        <x:f>Match_Data!E464</x:f>
        <x:v>0</x:v>
      </x:c>
      <x:c r="E464" t="n">
        <x:f>Match_Data!F464</x:f>
        <x:v>0</x:v>
      </x:c>
      <x:c r="F464" t="n">
        <x:f>Match_Data!AC464</x:f>
        <x:v>0</x:v>
      </x:c>
      <x:c r="G464" t="str">
        <x:f>IF(OR(Match_Data!K464="",Match_Data!L464=""),"",AVERAGE(Match_Data!K464:L464))</x:f>
      </x:c>
      <x:c r="H464" t="str">
        <x:f>IF(OR(Match_Data!M464="",Match_Data!N464=""),"",AVERAGE(Match_Data!M464:N464))</x:f>
      </x:c>
      <x:c r="I464" t="str">
        <x:f>IF(OR(Match_Data!O464="",Match_Data!Q464=""),"",Match_Data!O464+Match_Data!Q464)</x:f>
      </x:c>
      <x:c r="J464" t="str">
        <x:f>IF(OR(Match_Data!P464="",Match_Data!R464=""),"",Match_Data!P464+Match_Data!R464)</x:f>
      </x:c>
      <x:c r="K464" t="str">
        <x:f>IF(OR(Match_Data!S464="",Match_Data!T464=""),"",Match_Data!S464+Match_Data!T464)</x:f>
      </x:c>
      <x:c r="L464" t="str">
        <x:f>IF(OR(Match_Data!U464="",Match_Data!V464=""),"",Match_Data!U464-Match_Data!V464)</x:f>
      </x:c>
      <x:c r="M464" s="32" t="str">
        <x:f>IF(Match_Data!Y464="","",1/Match_Data!Y464)</x:f>
      </x:c>
      <x:c r="N464" s="32" t="str">
        <x:f>IF(Match_Data!AA464="","",1/Match_Data!AA464)</x:f>
      </x:c>
      <x:c r="O464" s="32" t="str">
        <x:f>IF(OR(M464="",N464=""),"",N464-M464)</x:f>
      </x:c>
      <x:c r="P464" t="str">
        <x:f>IF(Match_Data!J464="","",IF(Match_Data!J464="OVER",1,0))</x:f>
      </x:c>
    </x:row>
    <x:row r="465">
      <x:c r="A465" t="n">
        <x:f>Match_Data!A465</x:f>
        <x:v>0</x:v>
      </x:c>
      <x:c r="B465" s="28" t="n">
        <x:f>Match_Data!B465</x:f>
        <x:v>0</x:v>
      </x:c>
      <x:c r="C465" t="n">
        <x:f>Match_Data!C465</x:f>
        <x:v>0</x:v>
      </x:c>
      <x:c r="D465" t="n">
        <x:f>Match_Data!E465</x:f>
        <x:v>0</x:v>
      </x:c>
      <x:c r="E465" t="n">
        <x:f>Match_Data!F465</x:f>
        <x:v>0</x:v>
      </x:c>
      <x:c r="F465" t="n">
        <x:f>Match_Data!AC465</x:f>
        <x:v>0</x:v>
      </x:c>
      <x:c r="G465" t="str">
        <x:f>IF(OR(Match_Data!K465="",Match_Data!L465=""),"",AVERAGE(Match_Data!K465:L465))</x:f>
      </x:c>
      <x:c r="H465" t="str">
        <x:f>IF(OR(Match_Data!M465="",Match_Data!N465=""),"",AVERAGE(Match_Data!M465:N465))</x:f>
      </x:c>
      <x:c r="I465" t="str">
        <x:f>IF(OR(Match_Data!O465="",Match_Data!Q465=""),"",Match_Data!O465+Match_Data!Q465)</x:f>
      </x:c>
      <x:c r="J465" t="str">
        <x:f>IF(OR(Match_Data!P465="",Match_Data!R465=""),"",Match_Data!P465+Match_Data!R465)</x:f>
      </x:c>
      <x:c r="K465" t="str">
        <x:f>IF(OR(Match_Data!S465="",Match_Data!T465=""),"",Match_Data!S465+Match_Data!T465)</x:f>
      </x:c>
      <x:c r="L465" t="str">
        <x:f>IF(OR(Match_Data!U465="",Match_Data!V465=""),"",Match_Data!U465-Match_Data!V465)</x:f>
      </x:c>
      <x:c r="M465" s="32" t="str">
        <x:f>IF(Match_Data!Y465="","",1/Match_Data!Y465)</x:f>
      </x:c>
      <x:c r="N465" s="32" t="str">
        <x:f>IF(Match_Data!AA465="","",1/Match_Data!AA465)</x:f>
      </x:c>
      <x:c r="O465" s="32" t="str">
        <x:f>IF(OR(M465="",N465=""),"",N465-M465)</x:f>
      </x:c>
      <x:c r="P465" t="str">
        <x:f>IF(Match_Data!J465="","",IF(Match_Data!J465="OVER",1,0))</x:f>
      </x:c>
    </x:row>
    <x:row r="466">
      <x:c r="A466" t="n">
        <x:f>Match_Data!A466</x:f>
        <x:v>0</x:v>
      </x:c>
      <x:c r="B466" s="28" t="n">
        <x:f>Match_Data!B466</x:f>
        <x:v>0</x:v>
      </x:c>
      <x:c r="C466" t="n">
        <x:f>Match_Data!C466</x:f>
        <x:v>0</x:v>
      </x:c>
      <x:c r="D466" t="n">
        <x:f>Match_Data!E466</x:f>
        <x:v>0</x:v>
      </x:c>
      <x:c r="E466" t="n">
        <x:f>Match_Data!F466</x:f>
        <x:v>0</x:v>
      </x:c>
      <x:c r="F466" t="n">
        <x:f>Match_Data!AC466</x:f>
        <x:v>0</x:v>
      </x:c>
      <x:c r="G466" t="str">
        <x:f>IF(OR(Match_Data!K466="",Match_Data!L466=""),"",AVERAGE(Match_Data!K466:L466))</x:f>
      </x:c>
      <x:c r="H466" t="str">
        <x:f>IF(OR(Match_Data!M466="",Match_Data!N466=""),"",AVERAGE(Match_Data!M466:N466))</x:f>
      </x:c>
      <x:c r="I466" t="str">
        <x:f>IF(OR(Match_Data!O466="",Match_Data!Q466=""),"",Match_Data!O466+Match_Data!Q466)</x:f>
      </x:c>
      <x:c r="J466" t="str">
        <x:f>IF(OR(Match_Data!P466="",Match_Data!R466=""),"",Match_Data!P466+Match_Data!R466)</x:f>
      </x:c>
      <x:c r="K466" t="str">
        <x:f>IF(OR(Match_Data!S466="",Match_Data!T466=""),"",Match_Data!S466+Match_Data!T466)</x:f>
      </x:c>
      <x:c r="L466" t="str">
        <x:f>IF(OR(Match_Data!U466="",Match_Data!V466=""),"",Match_Data!U466-Match_Data!V466)</x:f>
      </x:c>
      <x:c r="M466" s="32" t="str">
        <x:f>IF(Match_Data!Y466="","",1/Match_Data!Y466)</x:f>
      </x:c>
      <x:c r="N466" s="32" t="str">
        <x:f>IF(Match_Data!AA466="","",1/Match_Data!AA466)</x:f>
      </x:c>
      <x:c r="O466" s="32" t="str">
        <x:f>IF(OR(M466="",N466=""),"",N466-M466)</x:f>
      </x:c>
      <x:c r="P466" t="str">
        <x:f>IF(Match_Data!J466="","",IF(Match_Data!J466="OVER",1,0))</x:f>
      </x:c>
    </x:row>
    <x:row r="467">
      <x:c r="A467" t="n">
        <x:f>Match_Data!A467</x:f>
        <x:v>0</x:v>
      </x:c>
      <x:c r="B467" s="28" t="n">
        <x:f>Match_Data!B467</x:f>
        <x:v>0</x:v>
      </x:c>
      <x:c r="C467" t="n">
        <x:f>Match_Data!C467</x:f>
        <x:v>0</x:v>
      </x:c>
      <x:c r="D467" t="n">
        <x:f>Match_Data!E467</x:f>
        <x:v>0</x:v>
      </x:c>
      <x:c r="E467" t="n">
        <x:f>Match_Data!F467</x:f>
        <x:v>0</x:v>
      </x:c>
      <x:c r="F467" t="n">
        <x:f>Match_Data!AC467</x:f>
        <x:v>0</x:v>
      </x:c>
      <x:c r="G467" t="str">
        <x:f>IF(OR(Match_Data!K467="",Match_Data!L467=""),"",AVERAGE(Match_Data!K467:L467))</x:f>
      </x:c>
      <x:c r="H467" t="str">
        <x:f>IF(OR(Match_Data!M467="",Match_Data!N467=""),"",AVERAGE(Match_Data!M467:N467))</x:f>
      </x:c>
      <x:c r="I467" t="str">
        <x:f>IF(OR(Match_Data!O467="",Match_Data!Q467=""),"",Match_Data!O467+Match_Data!Q467)</x:f>
      </x:c>
      <x:c r="J467" t="str">
        <x:f>IF(OR(Match_Data!P467="",Match_Data!R467=""),"",Match_Data!P467+Match_Data!R467)</x:f>
      </x:c>
      <x:c r="K467" t="str">
        <x:f>IF(OR(Match_Data!S467="",Match_Data!T467=""),"",Match_Data!S467+Match_Data!T467)</x:f>
      </x:c>
      <x:c r="L467" t="str">
        <x:f>IF(OR(Match_Data!U467="",Match_Data!V467=""),"",Match_Data!U467-Match_Data!V467)</x:f>
      </x:c>
      <x:c r="M467" s="32" t="str">
        <x:f>IF(Match_Data!Y467="","",1/Match_Data!Y467)</x:f>
      </x:c>
      <x:c r="N467" s="32" t="str">
        <x:f>IF(Match_Data!AA467="","",1/Match_Data!AA467)</x:f>
      </x:c>
      <x:c r="O467" s="32" t="str">
        <x:f>IF(OR(M467="",N467=""),"",N467-M467)</x:f>
      </x:c>
      <x:c r="P467" t="str">
        <x:f>IF(Match_Data!J467="","",IF(Match_Data!J467="OVER",1,0))</x:f>
      </x:c>
    </x:row>
    <x:row r="468">
      <x:c r="A468" t="n">
        <x:f>Match_Data!A468</x:f>
        <x:v>0</x:v>
      </x:c>
      <x:c r="B468" s="28" t="n">
        <x:f>Match_Data!B468</x:f>
        <x:v>0</x:v>
      </x:c>
      <x:c r="C468" t="n">
        <x:f>Match_Data!C468</x:f>
        <x:v>0</x:v>
      </x:c>
      <x:c r="D468" t="n">
        <x:f>Match_Data!E468</x:f>
        <x:v>0</x:v>
      </x:c>
      <x:c r="E468" t="n">
        <x:f>Match_Data!F468</x:f>
        <x:v>0</x:v>
      </x:c>
      <x:c r="F468" t="n">
        <x:f>Match_Data!AC468</x:f>
        <x:v>0</x:v>
      </x:c>
      <x:c r="G468" t="str">
        <x:f>IF(OR(Match_Data!K468="",Match_Data!L468=""),"",AVERAGE(Match_Data!K468:L468))</x:f>
      </x:c>
      <x:c r="H468" t="str">
        <x:f>IF(OR(Match_Data!M468="",Match_Data!N468=""),"",AVERAGE(Match_Data!M468:N468))</x:f>
      </x:c>
      <x:c r="I468" t="str">
        <x:f>IF(OR(Match_Data!O468="",Match_Data!Q468=""),"",Match_Data!O468+Match_Data!Q468)</x:f>
      </x:c>
      <x:c r="J468" t="str">
        <x:f>IF(OR(Match_Data!P468="",Match_Data!R468=""),"",Match_Data!P468+Match_Data!R468)</x:f>
      </x:c>
      <x:c r="K468" t="str">
        <x:f>IF(OR(Match_Data!S468="",Match_Data!T468=""),"",Match_Data!S468+Match_Data!T468)</x:f>
      </x:c>
      <x:c r="L468" t="str">
        <x:f>IF(OR(Match_Data!U468="",Match_Data!V468=""),"",Match_Data!U468-Match_Data!V468)</x:f>
      </x:c>
      <x:c r="M468" s="32" t="str">
        <x:f>IF(Match_Data!Y468="","",1/Match_Data!Y468)</x:f>
      </x:c>
      <x:c r="N468" s="32" t="str">
        <x:f>IF(Match_Data!AA468="","",1/Match_Data!AA468)</x:f>
      </x:c>
      <x:c r="O468" s="32" t="str">
        <x:f>IF(OR(M468="",N468=""),"",N468-M468)</x:f>
      </x:c>
      <x:c r="P468" t="str">
        <x:f>IF(Match_Data!J468="","",IF(Match_Data!J468="OVER",1,0))</x:f>
      </x:c>
    </x:row>
    <x:row r="469">
      <x:c r="A469" t="n">
        <x:f>Match_Data!A469</x:f>
        <x:v>0</x:v>
      </x:c>
      <x:c r="B469" s="28" t="n">
        <x:f>Match_Data!B469</x:f>
        <x:v>0</x:v>
      </x:c>
      <x:c r="C469" t="n">
        <x:f>Match_Data!C469</x:f>
        <x:v>0</x:v>
      </x:c>
      <x:c r="D469" t="n">
        <x:f>Match_Data!E469</x:f>
        <x:v>0</x:v>
      </x:c>
      <x:c r="E469" t="n">
        <x:f>Match_Data!F469</x:f>
        <x:v>0</x:v>
      </x:c>
      <x:c r="F469" t="n">
        <x:f>Match_Data!AC469</x:f>
        <x:v>0</x:v>
      </x:c>
      <x:c r="G469" t="str">
        <x:f>IF(OR(Match_Data!K469="",Match_Data!L469=""),"",AVERAGE(Match_Data!K469:L469))</x:f>
      </x:c>
      <x:c r="H469" t="str">
        <x:f>IF(OR(Match_Data!M469="",Match_Data!N469=""),"",AVERAGE(Match_Data!M469:N469))</x:f>
      </x:c>
      <x:c r="I469" t="str">
        <x:f>IF(OR(Match_Data!O469="",Match_Data!Q469=""),"",Match_Data!O469+Match_Data!Q469)</x:f>
      </x:c>
      <x:c r="J469" t="str">
        <x:f>IF(OR(Match_Data!P469="",Match_Data!R469=""),"",Match_Data!P469+Match_Data!R469)</x:f>
      </x:c>
      <x:c r="K469" t="str">
        <x:f>IF(OR(Match_Data!S469="",Match_Data!T469=""),"",Match_Data!S469+Match_Data!T469)</x:f>
      </x:c>
      <x:c r="L469" t="str">
        <x:f>IF(OR(Match_Data!U469="",Match_Data!V469=""),"",Match_Data!U469-Match_Data!V469)</x:f>
      </x:c>
      <x:c r="M469" s="32" t="str">
        <x:f>IF(Match_Data!Y469="","",1/Match_Data!Y469)</x:f>
      </x:c>
      <x:c r="N469" s="32" t="str">
        <x:f>IF(Match_Data!AA469="","",1/Match_Data!AA469)</x:f>
      </x:c>
      <x:c r="O469" s="32" t="str">
        <x:f>IF(OR(M469="",N469=""),"",N469-M469)</x:f>
      </x:c>
      <x:c r="P469" t="str">
        <x:f>IF(Match_Data!J469="","",IF(Match_Data!J469="OVER",1,0))</x:f>
      </x:c>
    </x:row>
    <x:row r="470">
      <x:c r="A470" t="n">
        <x:f>Match_Data!A470</x:f>
        <x:v>0</x:v>
      </x:c>
      <x:c r="B470" s="28" t="n">
        <x:f>Match_Data!B470</x:f>
        <x:v>0</x:v>
      </x:c>
      <x:c r="C470" t="n">
        <x:f>Match_Data!C470</x:f>
        <x:v>0</x:v>
      </x:c>
      <x:c r="D470" t="n">
        <x:f>Match_Data!E470</x:f>
        <x:v>0</x:v>
      </x:c>
      <x:c r="E470" t="n">
        <x:f>Match_Data!F470</x:f>
        <x:v>0</x:v>
      </x:c>
      <x:c r="F470" t="n">
        <x:f>Match_Data!AC470</x:f>
        <x:v>0</x:v>
      </x:c>
      <x:c r="G470" t="str">
        <x:f>IF(OR(Match_Data!K470="",Match_Data!L470=""),"",AVERAGE(Match_Data!K470:L470))</x:f>
      </x:c>
      <x:c r="H470" t="str">
        <x:f>IF(OR(Match_Data!M470="",Match_Data!N470=""),"",AVERAGE(Match_Data!M470:N470))</x:f>
      </x:c>
      <x:c r="I470" t="str">
        <x:f>IF(OR(Match_Data!O470="",Match_Data!Q470=""),"",Match_Data!O470+Match_Data!Q470)</x:f>
      </x:c>
      <x:c r="J470" t="str">
        <x:f>IF(OR(Match_Data!P470="",Match_Data!R470=""),"",Match_Data!P470+Match_Data!R470)</x:f>
      </x:c>
      <x:c r="K470" t="str">
        <x:f>IF(OR(Match_Data!S470="",Match_Data!T470=""),"",Match_Data!S470+Match_Data!T470)</x:f>
      </x:c>
      <x:c r="L470" t="str">
        <x:f>IF(OR(Match_Data!U470="",Match_Data!V470=""),"",Match_Data!U470-Match_Data!V470)</x:f>
      </x:c>
      <x:c r="M470" s="32" t="str">
        <x:f>IF(Match_Data!Y470="","",1/Match_Data!Y470)</x:f>
      </x:c>
      <x:c r="N470" s="32" t="str">
        <x:f>IF(Match_Data!AA470="","",1/Match_Data!AA470)</x:f>
      </x:c>
      <x:c r="O470" s="32" t="str">
        <x:f>IF(OR(M470="",N470=""),"",N470-M470)</x:f>
      </x:c>
      <x:c r="P470" t="str">
        <x:f>IF(Match_Data!J470="","",IF(Match_Data!J470="OVER",1,0))</x:f>
      </x:c>
    </x:row>
    <x:row r="471">
      <x:c r="A471" t="n">
        <x:f>Match_Data!A471</x:f>
        <x:v>0</x:v>
      </x:c>
      <x:c r="B471" s="28" t="n">
        <x:f>Match_Data!B471</x:f>
        <x:v>0</x:v>
      </x:c>
      <x:c r="C471" t="n">
        <x:f>Match_Data!C471</x:f>
        <x:v>0</x:v>
      </x:c>
      <x:c r="D471" t="n">
        <x:f>Match_Data!E471</x:f>
        <x:v>0</x:v>
      </x:c>
      <x:c r="E471" t="n">
        <x:f>Match_Data!F471</x:f>
        <x:v>0</x:v>
      </x:c>
      <x:c r="F471" t="n">
        <x:f>Match_Data!AC471</x:f>
        <x:v>0</x:v>
      </x:c>
      <x:c r="G471" t="str">
        <x:f>IF(OR(Match_Data!K471="",Match_Data!L471=""),"",AVERAGE(Match_Data!K471:L471))</x:f>
      </x:c>
      <x:c r="H471" t="str">
        <x:f>IF(OR(Match_Data!M471="",Match_Data!N471=""),"",AVERAGE(Match_Data!M471:N471))</x:f>
      </x:c>
      <x:c r="I471" t="str">
        <x:f>IF(OR(Match_Data!O471="",Match_Data!Q471=""),"",Match_Data!O471+Match_Data!Q471)</x:f>
      </x:c>
      <x:c r="J471" t="str">
        <x:f>IF(OR(Match_Data!P471="",Match_Data!R471=""),"",Match_Data!P471+Match_Data!R471)</x:f>
      </x:c>
      <x:c r="K471" t="str">
        <x:f>IF(OR(Match_Data!S471="",Match_Data!T471=""),"",Match_Data!S471+Match_Data!T471)</x:f>
      </x:c>
      <x:c r="L471" t="str">
        <x:f>IF(OR(Match_Data!U471="",Match_Data!V471=""),"",Match_Data!U471-Match_Data!V471)</x:f>
      </x:c>
      <x:c r="M471" s="32" t="str">
        <x:f>IF(Match_Data!Y471="","",1/Match_Data!Y471)</x:f>
      </x:c>
      <x:c r="N471" s="32" t="str">
        <x:f>IF(Match_Data!AA471="","",1/Match_Data!AA471)</x:f>
      </x:c>
      <x:c r="O471" s="32" t="str">
        <x:f>IF(OR(M471="",N471=""),"",N471-M471)</x:f>
      </x:c>
      <x:c r="P471" t="str">
        <x:f>IF(Match_Data!J471="","",IF(Match_Data!J471="OVER",1,0))</x:f>
      </x:c>
    </x:row>
    <x:row r="472">
      <x:c r="A472" t="n">
        <x:f>Match_Data!A472</x:f>
        <x:v>0</x:v>
      </x:c>
      <x:c r="B472" s="28" t="n">
        <x:f>Match_Data!B472</x:f>
        <x:v>0</x:v>
      </x:c>
      <x:c r="C472" t="n">
        <x:f>Match_Data!C472</x:f>
        <x:v>0</x:v>
      </x:c>
      <x:c r="D472" t="n">
        <x:f>Match_Data!E472</x:f>
        <x:v>0</x:v>
      </x:c>
      <x:c r="E472" t="n">
        <x:f>Match_Data!F472</x:f>
        <x:v>0</x:v>
      </x:c>
      <x:c r="F472" t="n">
        <x:f>Match_Data!AC472</x:f>
        <x:v>0</x:v>
      </x:c>
      <x:c r="G472" t="str">
        <x:f>IF(OR(Match_Data!K472="",Match_Data!L472=""),"",AVERAGE(Match_Data!K472:L472))</x:f>
      </x:c>
      <x:c r="H472" t="str">
        <x:f>IF(OR(Match_Data!M472="",Match_Data!N472=""),"",AVERAGE(Match_Data!M472:N472))</x:f>
      </x:c>
      <x:c r="I472" t="str">
        <x:f>IF(OR(Match_Data!O472="",Match_Data!Q472=""),"",Match_Data!O472+Match_Data!Q472)</x:f>
      </x:c>
      <x:c r="J472" t="str">
        <x:f>IF(OR(Match_Data!P472="",Match_Data!R472=""),"",Match_Data!P472+Match_Data!R472)</x:f>
      </x:c>
      <x:c r="K472" t="str">
        <x:f>IF(OR(Match_Data!S472="",Match_Data!T472=""),"",Match_Data!S472+Match_Data!T472)</x:f>
      </x:c>
      <x:c r="L472" t="str">
        <x:f>IF(OR(Match_Data!U472="",Match_Data!V472=""),"",Match_Data!U472-Match_Data!V472)</x:f>
      </x:c>
      <x:c r="M472" s="32" t="str">
        <x:f>IF(Match_Data!Y472="","",1/Match_Data!Y472)</x:f>
      </x:c>
      <x:c r="N472" s="32" t="str">
        <x:f>IF(Match_Data!AA472="","",1/Match_Data!AA472)</x:f>
      </x:c>
      <x:c r="O472" s="32" t="str">
        <x:f>IF(OR(M472="",N472=""),"",N472-M472)</x:f>
      </x:c>
      <x:c r="P472" t="str">
        <x:f>IF(Match_Data!J472="","",IF(Match_Data!J472="OVER",1,0))</x:f>
      </x:c>
    </x:row>
    <x:row r="473">
      <x:c r="A473" t="n">
        <x:f>Match_Data!A473</x:f>
        <x:v>0</x:v>
      </x:c>
      <x:c r="B473" s="28" t="n">
        <x:f>Match_Data!B473</x:f>
        <x:v>0</x:v>
      </x:c>
      <x:c r="C473" t="n">
        <x:f>Match_Data!C473</x:f>
        <x:v>0</x:v>
      </x:c>
      <x:c r="D473" t="n">
        <x:f>Match_Data!E473</x:f>
        <x:v>0</x:v>
      </x:c>
      <x:c r="E473" t="n">
        <x:f>Match_Data!F473</x:f>
        <x:v>0</x:v>
      </x:c>
      <x:c r="F473" t="n">
        <x:f>Match_Data!AC473</x:f>
        <x:v>0</x:v>
      </x:c>
      <x:c r="G473" t="str">
        <x:f>IF(OR(Match_Data!K473="",Match_Data!L473=""),"",AVERAGE(Match_Data!K473:L473))</x:f>
      </x:c>
      <x:c r="H473" t="str">
        <x:f>IF(OR(Match_Data!M473="",Match_Data!N473=""),"",AVERAGE(Match_Data!M473:N473))</x:f>
      </x:c>
      <x:c r="I473" t="str">
        <x:f>IF(OR(Match_Data!O473="",Match_Data!Q473=""),"",Match_Data!O473+Match_Data!Q473)</x:f>
      </x:c>
      <x:c r="J473" t="str">
        <x:f>IF(OR(Match_Data!P473="",Match_Data!R473=""),"",Match_Data!P473+Match_Data!R473)</x:f>
      </x:c>
      <x:c r="K473" t="str">
        <x:f>IF(OR(Match_Data!S473="",Match_Data!T473=""),"",Match_Data!S473+Match_Data!T473)</x:f>
      </x:c>
      <x:c r="L473" t="str">
        <x:f>IF(OR(Match_Data!U473="",Match_Data!V473=""),"",Match_Data!U473-Match_Data!V473)</x:f>
      </x:c>
      <x:c r="M473" s="32" t="str">
        <x:f>IF(Match_Data!Y473="","",1/Match_Data!Y473)</x:f>
      </x:c>
      <x:c r="N473" s="32" t="str">
        <x:f>IF(Match_Data!AA473="","",1/Match_Data!AA473)</x:f>
      </x:c>
      <x:c r="O473" s="32" t="str">
        <x:f>IF(OR(M473="",N473=""),"",N473-M473)</x:f>
      </x:c>
      <x:c r="P473" t="str">
        <x:f>IF(Match_Data!J473="","",IF(Match_Data!J473="OVER",1,0))</x:f>
      </x:c>
    </x:row>
    <x:row r="474">
      <x:c r="A474" t="n">
        <x:f>Match_Data!A474</x:f>
        <x:v>0</x:v>
      </x:c>
      <x:c r="B474" s="28" t="n">
        <x:f>Match_Data!B474</x:f>
        <x:v>0</x:v>
      </x:c>
      <x:c r="C474" t="n">
        <x:f>Match_Data!C474</x:f>
        <x:v>0</x:v>
      </x:c>
      <x:c r="D474" t="n">
        <x:f>Match_Data!E474</x:f>
        <x:v>0</x:v>
      </x:c>
      <x:c r="E474" t="n">
        <x:f>Match_Data!F474</x:f>
        <x:v>0</x:v>
      </x:c>
      <x:c r="F474" t="n">
        <x:f>Match_Data!AC474</x:f>
        <x:v>0</x:v>
      </x:c>
      <x:c r="G474" t="str">
        <x:f>IF(OR(Match_Data!K474="",Match_Data!L474=""),"",AVERAGE(Match_Data!K474:L474))</x:f>
      </x:c>
      <x:c r="H474" t="str">
        <x:f>IF(OR(Match_Data!M474="",Match_Data!N474=""),"",AVERAGE(Match_Data!M474:N474))</x:f>
      </x:c>
      <x:c r="I474" t="str">
        <x:f>IF(OR(Match_Data!O474="",Match_Data!Q474=""),"",Match_Data!O474+Match_Data!Q474)</x:f>
      </x:c>
      <x:c r="J474" t="str">
        <x:f>IF(OR(Match_Data!P474="",Match_Data!R474=""),"",Match_Data!P474+Match_Data!R474)</x:f>
      </x:c>
      <x:c r="K474" t="str">
        <x:f>IF(OR(Match_Data!S474="",Match_Data!T474=""),"",Match_Data!S474+Match_Data!T474)</x:f>
      </x:c>
      <x:c r="L474" t="str">
        <x:f>IF(OR(Match_Data!U474="",Match_Data!V474=""),"",Match_Data!U474-Match_Data!V474)</x:f>
      </x:c>
      <x:c r="M474" s="32" t="str">
        <x:f>IF(Match_Data!Y474="","",1/Match_Data!Y474)</x:f>
      </x:c>
      <x:c r="N474" s="32" t="str">
        <x:f>IF(Match_Data!AA474="","",1/Match_Data!AA474)</x:f>
      </x:c>
      <x:c r="O474" s="32" t="str">
        <x:f>IF(OR(M474="",N474=""),"",N474-M474)</x:f>
      </x:c>
      <x:c r="P474" t="str">
        <x:f>IF(Match_Data!J474="","",IF(Match_Data!J474="OVER",1,0))</x:f>
      </x:c>
    </x:row>
    <x:row r="475">
      <x:c r="A475" t="n">
        <x:f>Match_Data!A475</x:f>
        <x:v>0</x:v>
      </x:c>
      <x:c r="B475" s="28" t="n">
        <x:f>Match_Data!B475</x:f>
        <x:v>0</x:v>
      </x:c>
      <x:c r="C475" t="n">
        <x:f>Match_Data!C475</x:f>
        <x:v>0</x:v>
      </x:c>
      <x:c r="D475" t="n">
        <x:f>Match_Data!E475</x:f>
        <x:v>0</x:v>
      </x:c>
      <x:c r="E475" t="n">
        <x:f>Match_Data!F475</x:f>
        <x:v>0</x:v>
      </x:c>
      <x:c r="F475" t="n">
        <x:f>Match_Data!AC475</x:f>
        <x:v>0</x:v>
      </x:c>
      <x:c r="G475" t="str">
        <x:f>IF(OR(Match_Data!K475="",Match_Data!L475=""),"",AVERAGE(Match_Data!K475:L475))</x:f>
      </x:c>
      <x:c r="H475" t="str">
        <x:f>IF(OR(Match_Data!M475="",Match_Data!N475=""),"",AVERAGE(Match_Data!M475:N475))</x:f>
      </x:c>
      <x:c r="I475" t="str">
        <x:f>IF(OR(Match_Data!O475="",Match_Data!Q475=""),"",Match_Data!O475+Match_Data!Q475)</x:f>
      </x:c>
      <x:c r="J475" t="str">
        <x:f>IF(OR(Match_Data!P475="",Match_Data!R475=""),"",Match_Data!P475+Match_Data!R475)</x:f>
      </x:c>
      <x:c r="K475" t="str">
        <x:f>IF(OR(Match_Data!S475="",Match_Data!T475=""),"",Match_Data!S475+Match_Data!T475)</x:f>
      </x:c>
      <x:c r="L475" t="str">
        <x:f>IF(OR(Match_Data!U475="",Match_Data!V475=""),"",Match_Data!U475-Match_Data!V475)</x:f>
      </x:c>
      <x:c r="M475" s="32" t="str">
        <x:f>IF(Match_Data!Y475="","",1/Match_Data!Y475)</x:f>
      </x:c>
      <x:c r="N475" s="32" t="str">
        <x:f>IF(Match_Data!AA475="","",1/Match_Data!AA475)</x:f>
      </x:c>
      <x:c r="O475" s="32" t="str">
        <x:f>IF(OR(M475="",N475=""),"",N475-M475)</x:f>
      </x:c>
      <x:c r="P475" t="str">
        <x:f>IF(Match_Data!J475="","",IF(Match_Data!J475="OVER",1,0))</x:f>
      </x:c>
    </x:row>
    <x:row r="476">
      <x:c r="A476" t="n">
        <x:f>Match_Data!A476</x:f>
        <x:v>0</x:v>
      </x:c>
      <x:c r="B476" s="28" t="n">
        <x:f>Match_Data!B476</x:f>
        <x:v>0</x:v>
      </x:c>
      <x:c r="C476" t="n">
        <x:f>Match_Data!C476</x:f>
        <x:v>0</x:v>
      </x:c>
      <x:c r="D476" t="n">
        <x:f>Match_Data!E476</x:f>
        <x:v>0</x:v>
      </x:c>
      <x:c r="E476" t="n">
        <x:f>Match_Data!F476</x:f>
        <x:v>0</x:v>
      </x:c>
      <x:c r="F476" t="n">
        <x:f>Match_Data!AC476</x:f>
        <x:v>0</x:v>
      </x:c>
      <x:c r="G476" t="str">
        <x:f>IF(OR(Match_Data!K476="",Match_Data!L476=""),"",AVERAGE(Match_Data!K476:L476))</x:f>
      </x:c>
      <x:c r="H476" t="str">
        <x:f>IF(OR(Match_Data!M476="",Match_Data!N476=""),"",AVERAGE(Match_Data!M476:N476))</x:f>
      </x:c>
      <x:c r="I476" t="str">
        <x:f>IF(OR(Match_Data!O476="",Match_Data!Q476=""),"",Match_Data!O476+Match_Data!Q476)</x:f>
      </x:c>
      <x:c r="J476" t="str">
        <x:f>IF(OR(Match_Data!P476="",Match_Data!R476=""),"",Match_Data!P476+Match_Data!R476)</x:f>
      </x:c>
      <x:c r="K476" t="str">
        <x:f>IF(OR(Match_Data!S476="",Match_Data!T476=""),"",Match_Data!S476+Match_Data!T476)</x:f>
      </x:c>
      <x:c r="L476" t="str">
        <x:f>IF(OR(Match_Data!U476="",Match_Data!V476=""),"",Match_Data!U476-Match_Data!V476)</x:f>
      </x:c>
      <x:c r="M476" s="32" t="str">
        <x:f>IF(Match_Data!Y476="","",1/Match_Data!Y476)</x:f>
      </x:c>
      <x:c r="N476" s="32" t="str">
        <x:f>IF(Match_Data!AA476="","",1/Match_Data!AA476)</x:f>
      </x:c>
      <x:c r="O476" s="32" t="str">
        <x:f>IF(OR(M476="",N476=""),"",N476-M476)</x:f>
      </x:c>
      <x:c r="P476" t="str">
        <x:f>IF(Match_Data!J476="","",IF(Match_Data!J476="OVER",1,0))</x:f>
      </x:c>
    </x:row>
    <x:row r="477">
      <x:c r="A477" t="n">
        <x:f>Match_Data!A477</x:f>
        <x:v>0</x:v>
      </x:c>
      <x:c r="B477" s="28" t="n">
        <x:f>Match_Data!B477</x:f>
        <x:v>0</x:v>
      </x:c>
      <x:c r="C477" t="n">
        <x:f>Match_Data!C477</x:f>
        <x:v>0</x:v>
      </x:c>
      <x:c r="D477" t="n">
        <x:f>Match_Data!E477</x:f>
        <x:v>0</x:v>
      </x:c>
      <x:c r="E477" t="n">
        <x:f>Match_Data!F477</x:f>
        <x:v>0</x:v>
      </x:c>
      <x:c r="F477" t="n">
        <x:f>Match_Data!AC477</x:f>
        <x:v>0</x:v>
      </x:c>
      <x:c r="G477" t="str">
        <x:f>IF(OR(Match_Data!K477="",Match_Data!L477=""),"",AVERAGE(Match_Data!K477:L477))</x:f>
      </x:c>
      <x:c r="H477" t="str">
        <x:f>IF(OR(Match_Data!M477="",Match_Data!N477=""),"",AVERAGE(Match_Data!M477:N477))</x:f>
      </x:c>
      <x:c r="I477" t="str">
        <x:f>IF(OR(Match_Data!O477="",Match_Data!Q477=""),"",Match_Data!O477+Match_Data!Q477)</x:f>
      </x:c>
      <x:c r="J477" t="str">
        <x:f>IF(OR(Match_Data!P477="",Match_Data!R477=""),"",Match_Data!P477+Match_Data!R477)</x:f>
      </x:c>
      <x:c r="K477" t="str">
        <x:f>IF(OR(Match_Data!S477="",Match_Data!T477=""),"",Match_Data!S477+Match_Data!T477)</x:f>
      </x:c>
      <x:c r="L477" t="str">
        <x:f>IF(OR(Match_Data!U477="",Match_Data!V477=""),"",Match_Data!U477-Match_Data!V477)</x:f>
      </x:c>
      <x:c r="M477" s="32" t="str">
        <x:f>IF(Match_Data!Y477="","",1/Match_Data!Y477)</x:f>
      </x:c>
      <x:c r="N477" s="32" t="str">
        <x:f>IF(Match_Data!AA477="","",1/Match_Data!AA477)</x:f>
      </x:c>
      <x:c r="O477" s="32" t="str">
        <x:f>IF(OR(M477="",N477=""),"",N477-M477)</x:f>
      </x:c>
      <x:c r="P477" t="str">
        <x:f>IF(Match_Data!J477="","",IF(Match_Data!J477="OVER",1,0))</x:f>
      </x:c>
    </x:row>
    <x:row r="478">
      <x:c r="A478" t="n">
        <x:f>Match_Data!A478</x:f>
        <x:v>0</x:v>
      </x:c>
      <x:c r="B478" s="28" t="n">
        <x:f>Match_Data!B478</x:f>
        <x:v>0</x:v>
      </x:c>
      <x:c r="C478" t="n">
        <x:f>Match_Data!C478</x:f>
        <x:v>0</x:v>
      </x:c>
      <x:c r="D478" t="n">
        <x:f>Match_Data!E478</x:f>
        <x:v>0</x:v>
      </x:c>
      <x:c r="E478" t="n">
        <x:f>Match_Data!F478</x:f>
        <x:v>0</x:v>
      </x:c>
      <x:c r="F478" t="n">
        <x:f>Match_Data!AC478</x:f>
        <x:v>0</x:v>
      </x:c>
      <x:c r="G478" t="str">
        <x:f>IF(OR(Match_Data!K478="",Match_Data!L478=""),"",AVERAGE(Match_Data!K478:L478))</x:f>
      </x:c>
      <x:c r="H478" t="str">
        <x:f>IF(OR(Match_Data!M478="",Match_Data!N478=""),"",AVERAGE(Match_Data!M478:N478))</x:f>
      </x:c>
      <x:c r="I478" t="str">
        <x:f>IF(OR(Match_Data!O478="",Match_Data!Q478=""),"",Match_Data!O478+Match_Data!Q478)</x:f>
      </x:c>
      <x:c r="J478" t="str">
        <x:f>IF(OR(Match_Data!P478="",Match_Data!R478=""),"",Match_Data!P478+Match_Data!R478)</x:f>
      </x:c>
      <x:c r="K478" t="str">
        <x:f>IF(OR(Match_Data!S478="",Match_Data!T478=""),"",Match_Data!S478+Match_Data!T478)</x:f>
      </x:c>
      <x:c r="L478" t="str">
        <x:f>IF(OR(Match_Data!U478="",Match_Data!V478=""),"",Match_Data!U478-Match_Data!V478)</x:f>
      </x:c>
      <x:c r="M478" s="32" t="str">
        <x:f>IF(Match_Data!Y478="","",1/Match_Data!Y478)</x:f>
      </x:c>
      <x:c r="N478" s="32" t="str">
        <x:f>IF(Match_Data!AA478="","",1/Match_Data!AA478)</x:f>
      </x:c>
      <x:c r="O478" s="32" t="str">
        <x:f>IF(OR(M478="",N478=""),"",N478-M478)</x:f>
      </x:c>
      <x:c r="P478" t="str">
        <x:f>IF(Match_Data!J478="","",IF(Match_Data!J478="OVER",1,0))</x:f>
      </x:c>
    </x:row>
    <x:row r="479">
      <x:c r="A479" t="n">
        <x:f>Match_Data!A479</x:f>
        <x:v>0</x:v>
      </x:c>
      <x:c r="B479" s="28" t="n">
        <x:f>Match_Data!B479</x:f>
        <x:v>0</x:v>
      </x:c>
      <x:c r="C479" t="n">
        <x:f>Match_Data!C479</x:f>
        <x:v>0</x:v>
      </x:c>
      <x:c r="D479" t="n">
        <x:f>Match_Data!E479</x:f>
        <x:v>0</x:v>
      </x:c>
      <x:c r="E479" t="n">
        <x:f>Match_Data!F479</x:f>
        <x:v>0</x:v>
      </x:c>
      <x:c r="F479" t="n">
        <x:f>Match_Data!AC479</x:f>
        <x:v>0</x:v>
      </x:c>
      <x:c r="G479" t="str">
        <x:f>IF(OR(Match_Data!K479="",Match_Data!L479=""),"",AVERAGE(Match_Data!K479:L479))</x:f>
      </x:c>
      <x:c r="H479" t="str">
        <x:f>IF(OR(Match_Data!M479="",Match_Data!N479=""),"",AVERAGE(Match_Data!M479:N479))</x:f>
      </x:c>
      <x:c r="I479" t="str">
        <x:f>IF(OR(Match_Data!O479="",Match_Data!Q479=""),"",Match_Data!O479+Match_Data!Q479)</x:f>
      </x:c>
      <x:c r="J479" t="str">
        <x:f>IF(OR(Match_Data!P479="",Match_Data!R479=""),"",Match_Data!P479+Match_Data!R479)</x:f>
      </x:c>
      <x:c r="K479" t="str">
        <x:f>IF(OR(Match_Data!S479="",Match_Data!T479=""),"",Match_Data!S479+Match_Data!T479)</x:f>
      </x:c>
      <x:c r="L479" t="str">
        <x:f>IF(OR(Match_Data!U479="",Match_Data!V479=""),"",Match_Data!U479-Match_Data!V479)</x:f>
      </x:c>
      <x:c r="M479" s="32" t="str">
        <x:f>IF(Match_Data!Y479="","",1/Match_Data!Y479)</x:f>
      </x:c>
      <x:c r="N479" s="32" t="str">
        <x:f>IF(Match_Data!AA479="","",1/Match_Data!AA479)</x:f>
      </x:c>
      <x:c r="O479" s="32" t="str">
        <x:f>IF(OR(M479="",N479=""),"",N479-M479)</x:f>
      </x:c>
      <x:c r="P479" t="str">
        <x:f>IF(Match_Data!J479="","",IF(Match_Data!J479="OVER",1,0))</x:f>
      </x:c>
    </x:row>
    <x:row r="480">
      <x:c r="A480" t="n">
        <x:f>Match_Data!A480</x:f>
        <x:v>0</x:v>
      </x:c>
      <x:c r="B480" s="28" t="n">
        <x:f>Match_Data!B480</x:f>
        <x:v>0</x:v>
      </x:c>
      <x:c r="C480" t="n">
        <x:f>Match_Data!C480</x:f>
        <x:v>0</x:v>
      </x:c>
      <x:c r="D480" t="n">
        <x:f>Match_Data!E480</x:f>
        <x:v>0</x:v>
      </x:c>
      <x:c r="E480" t="n">
        <x:f>Match_Data!F480</x:f>
        <x:v>0</x:v>
      </x:c>
      <x:c r="F480" t="n">
        <x:f>Match_Data!AC480</x:f>
        <x:v>0</x:v>
      </x:c>
      <x:c r="G480" t="str">
        <x:f>IF(OR(Match_Data!K480="",Match_Data!L480=""),"",AVERAGE(Match_Data!K480:L480))</x:f>
      </x:c>
      <x:c r="H480" t="str">
        <x:f>IF(OR(Match_Data!M480="",Match_Data!N480=""),"",AVERAGE(Match_Data!M480:N480))</x:f>
      </x:c>
      <x:c r="I480" t="str">
        <x:f>IF(OR(Match_Data!O480="",Match_Data!Q480=""),"",Match_Data!O480+Match_Data!Q480)</x:f>
      </x:c>
      <x:c r="J480" t="str">
        <x:f>IF(OR(Match_Data!P480="",Match_Data!R480=""),"",Match_Data!P480+Match_Data!R480)</x:f>
      </x:c>
      <x:c r="K480" t="str">
        <x:f>IF(OR(Match_Data!S480="",Match_Data!T480=""),"",Match_Data!S480+Match_Data!T480)</x:f>
      </x:c>
      <x:c r="L480" t="str">
        <x:f>IF(OR(Match_Data!U480="",Match_Data!V480=""),"",Match_Data!U480-Match_Data!V480)</x:f>
      </x:c>
      <x:c r="M480" s="32" t="str">
        <x:f>IF(Match_Data!Y480="","",1/Match_Data!Y480)</x:f>
      </x:c>
      <x:c r="N480" s="32" t="str">
        <x:f>IF(Match_Data!AA480="","",1/Match_Data!AA480)</x:f>
      </x:c>
      <x:c r="O480" s="32" t="str">
        <x:f>IF(OR(M480="",N480=""),"",N480-M480)</x:f>
      </x:c>
      <x:c r="P480" t="str">
        <x:f>IF(Match_Data!J480="","",IF(Match_Data!J480="OVER",1,0))</x:f>
      </x:c>
    </x:row>
    <x:row r="481">
      <x:c r="A481" t="n">
        <x:f>Match_Data!A481</x:f>
        <x:v>0</x:v>
      </x:c>
      <x:c r="B481" s="28" t="n">
        <x:f>Match_Data!B481</x:f>
        <x:v>0</x:v>
      </x:c>
      <x:c r="C481" t="n">
        <x:f>Match_Data!C481</x:f>
        <x:v>0</x:v>
      </x:c>
      <x:c r="D481" t="n">
        <x:f>Match_Data!E481</x:f>
        <x:v>0</x:v>
      </x:c>
      <x:c r="E481" t="n">
        <x:f>Match_Data!F481</x:f>
        <x:v>0</x:v>
      </x:c>
      <x:c r="F481" t="n">
        <x:f>Match_Data!AC481</x:f>
        <x:v>0</x:v>
      </x:c>
      <x:c r="G481" t="str">
        <x:f>IF(OR(Match_Data!K481="",Match_Data!L481=""),"",AVERAGE(Match_Data!K481:L481))</x:f>
      </x:c>
      <x:c r="H481" t="str">
        <x:f>IF(OR(Match_Data!M481="",Match_Data!N481=""),"",AVERAGE(Match_Data!M481:N481))</x:f>
      </x:c>
      <x:c r="I481" t="str">
        <x:f>IF(OR(Match_Data!O481="",Match_Data!Q481=""),"",Match_Data!O481+Match_Data!Q481)</x:f>
      </x:c>
      <x:c r="J481" t="str">
        <x:f>IF(OR(Match_Data!P481="",Match_Data!R481=""),"",Match_Data!P481+Match_Data!R481)</x:f>
      </x:c>
      <x:c r="K481" t="str">
        <x:f>IF(OR(Match_Data!S481="",Match_Data!T481=""),"",Match_Data!S481+Match_Data!T481)</x:f>
      </x:c>
      <x:c r="L481" t="str">
        <x:f>IF(OR(Match_Data!U481="",Match_Data!V481=""),"",Match_Data!U481-Match_Data!V481)</x:f>
      </x:c>
      <x:c r="M481" s="32" t="str">
        <x:f>IF(Match_Data!Y481="","",1/Match_Data!Y481)</x:f>
      </x:c>
      <x:c r="N481" s="32" t="str">
        <x:f>IF(Match_Data!AA481="","",1/Match_Data!AA481)</x:f>
      </x:c>
      <x:c r="O481" s="32" t="str">
        <x:f>IF(OR(M481="",N481=""),"",N481-M481)</x:f>
      </x:c>
      <x:c r="P481" t="str">
        <x:f>IF(Match_Data!J481="","",IF(Match_Data!J481="OVER",1,0))</x:f>
      </x:c>
    </x:row>
    <x:row r="482">
      <x:c r="A482" t="n">
        <x:f>Match_Data!A482</x:f>
        <x:v>0</x:v>
      </x:c>
      <x:c r="B482" s="28" t="n">
        <x:f>Match_Data!B482</x:f>
        <x:v>0</x:v>
      </x:c>
      <x:c r="C482" t="n">
        <x:f>Match_Data!C482</x:f>
        <x:v>0</x:v>
      </x:c>
      <x:c r="D482" t="n">
        <x:f>Match_Data!E482</x:f>
        <x:v>0</x:v>
      </x:c>
      <x:c r="E482" t="n">
        <x:f>Match_Data!F482</x:f>
        <x:v>0</x:v>
      </x:c>
      <x:c r="F482" t="n">
        <x:f>Match_Data!AC482</x:f>
        <x:v>0</x:v>
      </x:c>
      <x:c r="G482" t="str">
        <x:f>IF(OR(Match_Data!K482="",Match_Data!L482=""),"",AVERAGE(Match_Data!K482:L482))</x:f>
      </x:c>
      <x:c r="H482" t="str">
        <x:f>IF(OR(Match_Data!M482="",Match_Data!N482=""),"",AVERAGE(Match_Data!M482:N482))</x:f>
      </x:c>
      <x:c r="I482" t="str">
        <x:f>IF(OR(Match_Data!O482="",Match_Data!Q482=""),"",Match_Data!O482+Match_Data!Q482)</x:f>
      </x:c>
      <x:c r="J482" t="str">
        <x:f>IF(OR(Match_Data!P482="",Match_Data!R482=""),"",Match_Data!P482+Match_Data!R482)</x:f>
      </x:c>
      <x:c r="K482" t="str">
        <x:f>IF(OR(Match_Data!S482="",Match_Data!T482=""),"",Match_Data!S482+Match_Data!T482)</x:f>
      </x:c>
      <x:c r="L482" t="str">
        <x:f>IF(OR(Match_Data!U482="",Match_Data!V482=""),"",Match_Data!U482-Match_Data!V482)</x:f>
      </x:c>
      <x:c r="M482" s="32" t="str">
        <x:f>IF(Match_Data!Y482="","",1/Match_Data!Y482)</x:f>
      </x:c>
      <x:c r="N482" s="32" t="str">
        <x:f>IF(Match_Data!AA482="","",1/Match_Data!AA482)</x:f>
      </x:c>
      <x:c r="O482" s="32" t="str">
        <x:f>IF(OR(M482="",N482=""),"",N482-M482)</x:f>
      </x:c>
      <x:c r="P482" t="str">
        <x:f>IF(Match_Data!J482="","",IF(Match_Data!J482="OVER",1,0))</x:f>
      </x:c>
    </x:row>
    <x:row r="483">
      <x:c r="A483" t="n">
        <x:f>Match_Data!A483</x:f>
        <x:v>0</x:v>
      </x:c>
      <x:c r="B483" s="28" t="n">
        <x:f>Match_Data!B483</x:f>
        <x:v>0</x:v>
      </x:c>
      <x:c r="C483" t="n">
        <x:f>Match_Data!C483</x:f>
        <x:v>0</x:v>
      </x:c>
      <x:c r="D483" t="n">
        <x:f>Match_Data!E483</x:f>
        <x:v>0</x:v>
      </x:c>
      <x:c r="E483" t="n">
        <x:f>Match_Data!F483</x:f>
        <x:v>0</x:v>
      </x:c>
      <x:c r="F483" t="n">
        <x:f>Match_Data!AC483</x:f>
        <x:v>0</x:v>
      </x:c>
      <x:c r="G483" t="str">
        <x:f>IF(OR(Match_Data!K483="",Match_Data!L483=""),"",AVERAGE(Match_Data!K483:L483))</x:f>
      </x:c>
      <x:c r="H483" t="str">
        <x:f>IF(OR(Match_Data!M483="",Match_Data!N483=""),"",AVERAGE(Match_Data!M483:N483))</x:f>
      </x:c>
      <x:c r="I483" t="str">
        <x:f>IF(OR(Match_Data!O483="",Match_Data!Q483=""),"",Match_Data!O483+Match_Data!Q483)</x:f>
      </x:c>
      <x:c r="J483" t="str">
        <x:f>IF(OR(Match_Data!P483="",Match_Data!R483=""),"",Match_Data!P483+Match_Data!R483)</x:f>
      </x:c>
      <x:c r="K483" t="str">
        <x:f>IF(OR(Match_Data!S483="",Match_Data!T483=""),"",Match_Data!S483+Match_Data!T483)</x:f>
      </x:c>
      <x:c r="L483" t="str">
        <x:f>IF(OR(Match_Data!U483="",Match_Data!V483=""),"",Match_Data!U483-Match_Data!V483)</x:f>
      </x:c>
      <x:c r="M483" s="32" t="str">
        <x:f>IF(Match_Data!Y483="","",1/Match_Data!Y483)</x:f>
      </x:c>
      <x:c r="N483" s="32" t="str">
        <x:f>IF(Match_Data!AA483="","",1/Match_Data!AA483)</x:f>
      </x:c>
      <x:c r="O483" s="32" t="str">
        <x:f>IF(OR(M483="",N483=""),"",N483-M483)</x:f>
      </x:c>
      <x:c r="P483" t="str">
        <x:f>IF(Match_Data!J483="","",IF(Match_Data!J483="OVER",1,0))</x:f>
      </x:c>
    </x:row>
    <x:row r="484">
      <x:c r="A484" t="n">
        <x:f>Match_Data!A484</x:f>
        <x:v>0</x:v>
      </x:c>
      <x:c r="B484" s="28" t="n">
        <x:f>Match_Data!B484</x:f>
        <x:v>0</x:v>
      </x:c>
      <x:c r="C484" t="n">
        <x:f>Match_Data!C484</x:f>
        <x:v>0</x:v>
      </x:c>
      <x:c r="D484" t="n">
        <x:f>Match_Data!E484</x:f>
        <x:v>0</x:v>
      </x:c>
      <x:c r="E484" t="n">
        <x:f>Match_Data!F484</x:f>
        <x:v>0</x:v>
      </x:c>
      <x:c r="F484" t="n">
        <x:f>Match_Data!AC484</x:f>
        <x:v>0</x:v>
      </x:c>
      <x:c r="G484" t="str">
        <x:f>IF(OR(Match_Data!K484="",Match_Data!L484=""),"",AVERAGE(Match_Data!K484:L484))</x:f>
      </x:c>
      <x:c r="H484" t="str">
        <x:f>IF(OR(Match_Data!M484="",Match_Data!N484=""),"",AVERAGE(Match_Data!M484:N484))</x:f>
      </x:c>
      <x:c r="I484" t="str">
        <x:f>IF(OR(Match_Data!O484="",Match_Data!Q484=""),"",Match_Data!O484+Match_Data!Q484)</x:f>
      </x:c>
      <x:c r="J484" t="str">
        <x:f>IF(OR(Match_Data!P484="",Match_Data!R484=""),"",Match_Data!P484+Match_Data!R484)</x:f>
      </x:c>
      <x:c r="K484" t="str">
        <x:f>IF(OR(Match_Data!S484="",Match_Data!T484=""),"",Match_Data!S484+Match_Data!T484)</x:f>
      </x:c>
      <x:c r="L484" t="str">
        <x:f>IF(OR(Match_Data!U484="",Match_Data!V484=""),"",Match_Data!U484-Match_Data!V484)</x:f>
      </x:c>
      <x:c r="M484" s="32" t="str">
        <x:f>IF(Match_Data!Y484="","",1/Match_Data!Y484)</x:f>
      </x:c>
      <x:c r="N484" s="32" t="str">
        <x:f>IF(Match_Data!AA484="","",1/Match_Data!AA484)</x:f>
      </x:c>
      <x:c r="O484" s="32" t="str">
        <x:f>IF(OR(M484="",N484=""),"",N484-M484)</x:f>
      </x:c>
      <x:c r="P484" t="str">
        <x:f>IF(Match_Data!J484="","",IF(Match_Data!J484="OVER",1,0))</x:f>
      </x:c>
    </x:row>
    <x:row r="485">
      <x:c r="A485" t="n">
        <x:f>Match_Data!A485</x:f>
        <x:v>0</x:v>
      </x:c>
      <x:c r="B485" s="28" t="n">
        <x:f>Match_Data!B485</x:f>
        <x:v>0</x:v>
      </x:c>
      <x:c r="C485" t="n">
        <x:f>Match_Data!C485</x:f>
        <x:v>0</x:v>
      </x:c>
      <x:c r="D485" t="n">
        <x:f>Match_Data!E485</x:f>
        <x:v>0</x:v>
      </x:c>
      <x:c r="E485" t="n">
        <x:f>Match_Data!F485</x:f>
        <x:v>0</x:v>
      </x:c>
      <x:c r="F485" t="n">
        <x:f>Match_Data!AC485</x:f>
        <x:v>0</x:v>
      </x:c>
      <x:c r="G485" t="str">
        <x:f>IF(OR(Match_Data!K485="",Match_Data!L485=""),"",AVERAGE(Match_Data!K485:L485))</x:f>
      </x:c>
      <x:c r="H485" t="str">
        <x:f>IF(OR(Match_Data!M485="",Match_Data!N485=""),"",AVERAGE(Match_Data!M485:N485))</x:f>
      </x:c>
      <x:c r="I485" t="str">
        <x:f>IF(OR(Match_Data!O485="",Match_Data!Q485=""),"",Match_Data!O485+Match_Data!Q485)</x:f>
      </x:c>
      <x:c r="J485" t="str">
        <x:f>IF(OR(Match_Data!P485="",Match_Data!R485=""),"",Match_Data!P485+Match_Data!R485)</x:f>
      </x:c>
      <x:c r="K485" t="str">
        <x:f>IF(OR(Match_Data!S485="",Match_Data!T485=""),"",Match_Data!S485+Match_Data!T485)</x:f>
      </x:c>
      <x:c r="L485" t="str">
        <x:f>IF(OR(Match_Data!U485="",Match_Data!V485=""),"",Match_Data!U485-Match_Data!V485)</x:f>
      </x:c>
      <x:c r="M485" s="32" t="str">
        <x:f>IF(Match_Data!Y485="","",1/Match_Data!Y485)</x:f>
      </x:c>
      <x:c r="N485" s="32" t="str">
        <x:f>IF(Match_Data!AA485="","",1/Match_Data!AA485)</x:f>
      </x:c>
      <x:c r="O485" s="32" t="str">
        <x:f>IF(OR(M485="",N485=""),"",N485-M485)</x:f>
      </x:c>
      <x:c r="P485" t="str">
        <x:f>IF(Match_Data!J485="","",IF(Match_Data!J485="OVER",1,0))</x:f>
      </x:c>
    </x:row>
    <x:row r="486">
      <x:c r="A486" t="n">
        <x:f>Match_Data!A486</x:f>
        <x:v>0</x:v>
      </x:c>
      <x:c r="B486" s="28" t="n">
        <x:f>Match_Data!B486</x:f>
        <x:v>0</x:v>
      </x:c>
      <x:c r="C486" t="n">
        <x:f>Match_Data!C486</x:f>
        <x:v>0</x:v>
      </x:c>
      <x:c r="D486" t="n">
        <x:f>Match_Data!E486</x:f>
        <x:v>0</x:v>
      </x:c>
      <x:c r="E486" t="n">
        <x:f>Match_Data!F486</x:f>
        <x:v>0</x:v>
      </x:c>
      <x:c r="F486" t="n">
        <x:f>Match_Data!AC486</x:f>
        <x:v>0</x:v>
      </x:c>
      <x:c r="G486" t="str">
        <x:f>IF(OR(Match_Data!K486="",Match_Data!L486=""),"",AVERAGE(Match_Data!K486:L486))</x:f>
      </x:c>
      <x:c r="H486" t="str">
        <x:f>IF(OR(Match_Data!M486="",Match_Data!N486=""),"",AVERAGE(Match_Data!M486:N486))</x:f>
      </x:c>
      <x:c r="I486" t="str">
        <x:f>IF(OR(Match_Data!O486="",Match_Data!Q486=""),"",Match_Data!O486+Match_Data!Q486)</x:f>
      </x:c>
      <x:c r="J486" t="str">
        <x:f>IF(OR(Match_Data!P486="",Match_Data!R486=""),"",Match_Data!P486+Match_Data!R486)</x:f>
      </x:c>
      <x:c r="K486" t="str">
        <x:f>IF(OR(Match_Data!S486="",Match_Data!T486=""),"",Match_Data!S486+Match_Data!T486)</x:f>
      </x:c>
      <x:c r="L486" t="str">
        <x:f>IF(OR(Match_Data!U486="",Match_Data!V486=""),"",Match_Data!U486-Match_Data!V486)</x:f>
      </x:c>
      <x:c r="M486" s="32" t="str">
        <x:f>IF(Match_Data!Y486="","",1/Match_Data!Y486)</x:f>
      </x:c>
      <x:c r="N486" s="32" t="str">
        <x:f>IF(Match_Data!AA486="","",1/Match_Data!AA486)</x:f>
      </x:c>
      <x:c r="O486" s="32" t="str">
        <x:f>IF(OR(M486="",N486=""),"",N486-M486)</x:f>
      </x:c>
      <x:c r="P486" t="str">
        <x:f>IF(Match_Data!J486="","",IF(Match_Data!J486="OVER",1,0))</x:f>
      </x:c>
    </x:row>
    <x:row r="487">
      <x:c r="A487" t="n">
        <x:f>Match_Data!A487</x:f>
        <x:v>0</x:v>
      </x:c>
      <x:c r="B487" s="28" t="n">
        <x:f>Match_Data!B487</x:f>
        <x:v>0</x:v>
      </x:c>
      <x:c r="C487" t="n">
        <x:f>Match_Data!C487</x:f>
        <x:v>0</x:v>
      </x:c>
      <x:c r="D487" t="n">
        <x:f>Match_Data!E487</x:f>
        <x:v>0</x:v>
      </x:c>
      <x:c r="E487" t="n">
        <x:f>Match_Data!F487</x:f>
        <x:v>0</x:v>
      </x:c>
      <x:c r="F487" t="n">
        <x:f>Match_Data!AC487</x:f>
        <x:v>0</x:v>
      </x:c>
      <x:c r="G487" t="str">
        <x:f>IF(OR(Match_Data!K487="",Match_Data!L487=""),"",AVERAGE(Match_Data!K487:L487))</x:f>
      </x:c>
      <x:c r="H487" t="str">
        <x:f>IF(OR(Match_Data!M487="",Match_Data!N487=""),"",AVERAGE(Match_Data!M487:N487))</x:f>
      </x:c>
      <x:c r="I487" t="str">
        <x:f>IF(OR(Match_Data!O487="",Match_Data!Q487=""),"",Match_Data!O487+Match_Data!Q487)</x:f>
      </x:c>
      <x:c r="J487" t="str">
        <x:f>IF(OR(Match_Data!P487="",Match_Data!R487=""),"",Match_Data!P487+Match_Data!R487)</x:f>
      </x:c>
      <x:c r="K487" t="str">
        <x:f>IF(OR(Match_Data!S487="",Match_Data!T487=""),"",Match_Data!S487+Match_Data!T487)</x:f>
      </x:c>
      <x:c r="L487" t="str">
        <x:f>IF(OR(Match_Data!U487="",Match_Data!V487=""),"",Match_Data!U487-Match_Data!V487)</x:f>
      </x:c>
      <x:c r="M487" s="32" t="str">
        <x:f>IF(Match_Data!Y487="","",1/Match_Data!Y487)</x:f>
      </x:c>
      <x:c r="N487" s="32" t="str">
        <x:f>IF(Match_Data!AA487="","",1/Match_Data!AA487)</x:f>
      </x:c>
      <x:c r="O487" s="32" t="str">
        <x:f>IF(OR(M487="",N487=""),"",N487-M487)</x:f>
      </x:c>
      <x:c r="P487" t="str">
        <x:f>IF(Match_Data!J487="","",IF(Match_Data!J487="OVER",1,0))</x:f>
      </x:c>
    </x:row>
    <x:row r="488">
      <x:c r="A488" t="n">
        <x:f>Match_Data!A488</x:f>
        <x:v>0</x:v>
      </x:c>
      <x:c r="B488" s="28" t="n">
        <x:f>Match_Data!B488</x:f>
        <x:v>0</x:v>
      </x:c>
      <x:c r="C488" t="n">
        <x:f>Match_Data!C488</x:f>
        <x:v>0</x:v>
      </x:c>
      <x:c r="D488" t="n">
        <x:f>Match_Data!E488</x:f>
        <x:v>0</x:v>
      </x:c>
      <x:c r="E488" t="n">
        <x:f>Match_Data!F488</x:f>
        <x:v>0</x:v>
      </x:c>
      <x:c r="F488" t="n">
        <x:f>Match_Data!AC488</x:f>
        <x:v>0</x:v>
      </x:c>
      <x:c r="G488" t="str">
        <x:f>IF(OR(Match_Data!K488="",Match_Data!L488=""),"",AVERAGE(Match_Data!K488:L488))</x:f>
      </x:c>
      <x:c r="H488" t="str">
        <x:f>IF(OR(Match_Data!M488="",Match_Data!N488=""),"",AVERAGE(Match_Data!M488:N488))</x:f>
      </x:c>
      <x:c r="I488" t="str">
        <x:f>IF(OR(Match_Data!O488="",Match_Data!Q488=""),"",Match_Data!O488+Match_Data!Q488)</x:f>
      </x:c>
      <x:c r="J488" t="str">
        <x:f>IF(OR(Match_Data!P488="",Match_Data!R488=""),"",Match_Data!P488+Match_Data!R488)</x:f>
      </x:c>
      <x:c r="K488" t="str">
        <x:f>IF(OR(Match_Data!S488="",Match_Data!T488=""),"",Match_Data!S488+Match_Data!T488)</x:f>
      </x:c>
      <x:c r="L488" t="str">
        <x:f>IF(OR(Match_Data!U488="",Match_Data!V488=""),"",Match_Data!U488-Match_Data!V488)</x:f>
      </x:c>
      <x:c r="M488" s="32" t="str">
        <x:f>IF(Match_Data!Y488="","",1/Match_Data!Y488)</x:f>
      </x:c>
      <x:c r="N488" s="32" t="str">
        <x:f>IF(Match_Data!AA488="","",1/Match_Data!AA488)</x:f>
      </x:c>
      <x:c r="O488" s="32" t="str">
        <x:f>IF(OR(M488="",N488=""),"",N488-M488)</x:f>
      </x:c>
      <x:c r="P488" t="str">
        <x:f>IF(Match_Data!J488="","",IF(Match_Data!J488="OVER",1,0))</x:f>
      </x:c>
    </x:row>
    <x:row r="489">
      <x:c r="A489" t="n">
        <x:f>Match_Data!A489</x:f>
        <x:v>0</x:v>
      </x:c>
      <x:c r="B489" s="28" t="n">
        <x:f>Match_Data!B489</x:f>
        <x:v>0</x:v>
      </x:c>
      <x:c r="C489" t="n">
        <x:f>Match_Data!C489</x:f>
        <x:v>0</x:v>
      </x:c>
      <x:c r="D489" t="n">
        <x:f>Match_Data!E489</x:f>
        <x:v>0</x:v>
      </x:c>
      <x:c r="E489" t="n">
        <x:f>Match_Data!F489</x:f>
        <x:v>0</x:v>
      </x:c>
      <x:c r="F489" t="n">
        <x:f>Match_Data!AC489</x:f>
        <x:v>0</x:v>
      </x:c>
      <x:c r="G489" t="str">
        <x:f>IF(OR(Match_Data!K489="",Match_Data!L489=""),"",AVERAGE(Match_Data!K489:L489))</x:f>
      </x:c>
      <x:c r="H489" t="str">
        <x:f>IF(OR(Match_Data!M489="",Match_Data!N489=""),"",AVERAGE(Match_Data!M489:N489))</x:f>
      </x:c>
      <x:c r="I489" t="str">
        <x:f>IF(OR(Match_Data!O489="",Match_Data!Q489=""),"",Match_Data!O489+Match_Data!Q489)</x:f>
      </x:c>
      <x:c r="J489" t="str">
        <x:f>IF(OR(Match_Data!P489="",Match_Data!R489=""),"",Match_Data!P489+Match_Data!R489)</x:f>
      </x:c>
      <x:c r="K489" t="str">
        <x:f>IF(OR(Match_Data!S489="",Match_Data!T489=""),"",Match_Data!S489+Match_Data!T489)</x:f>
      </x:c>
      <x:c r="L489" t="str">
        <x:f>IF(OR(Match_Data!U489="",Match_Data!V489=""),"",Match_Data!U489-Match_Data!V489)</x:f>
      </x:c>
      <x:c r="M489" s="32" t="str">
        <x:f>IF(Match_Data!Y489="","",1/Match_Data!Y489)</x:f>
      </x:c>
      <x:c r="N489" s="32" t="str">
        <x:f>IF(Match_Data!AA489="","",1/Match_Data!AA489)</x:f>
      </x:c>
      <x:c r="O489" s="32" t="str">
        <x:f>IF(OR(M489="",N489=""),"",N489-M489)</x:f>
      </x:c>
      <x:c r="P489" t="str">
        <x:f>IF(Match_Data!J489="","",IF(Match_Data!J489="OVER",1,0))</x:f>
      </x:c>
    </x:row>
    <x:row r="490">
      <x:c r="A490" t="n">
        <x:f>Match_Data!A490</x:f>
        <x:v>0</x:v>
      </x:c>
      <x:c r="B490" s="28" t="n">
        <x:f>Match_Data!B490</x:f>
        <x:v>0</x:v>
      </x:c>
      <x:c r="C490" t="n">
        <x:f>Match_Data!C490</x:f>
        <x:v>0</x:v>
      </x:c>
      <x:c r="D490" t="n">
        <x:f>Match_Data!E490</x:f>
        <x:v>0</x:v>
      </x:c>
      <x:c r="E490" t="n">
        <x:f>Match_Data!F490</x:f>
        <x:v>0</x:v>
      </x:c>
      <x:c r="F490" t="n">
        <x:f>Match_Data!AC490</x:f>
        <x:v>0</x:v>
      </x:c>
      <x:c r="G490" t="str">
        <x:f>IF(OR(Match_Data!K490="",Match_Data!L490=""),"",AVERAGE(Match_Data!K490:L490))</x:f>
      </x:c>
      <x:c r="H490" t="str">
        <x:f>IF(OR(Match_Data!M490="",Match_Data!N490=""),"",AVERAGE(Match_Data!M490:N490))</x:f>
      </x:c>
      <x:c r="I490" t="str">
        <x:f>IF(OR(Match_Data!O490="",Match_Data!Q490=""),"",Match_Data!O490+Match_Data!Q490)</x:f>
      </x:c>
      <x:c r="J490" t="str">
        <x:f>IF(OR(Match_Data!P490="",Match_Data!R490=""),"",Match_Data!P490+Match_Data!R490)</x:f>
      </x:c>
      <x:c r="K490" t="str">
        <x:f>IF(OR(Match_Data!S490="",Match_Data!T490=""),"",Match_Data!S490+Match_Data!T490)</x:f>
      </x:c>
      <x:c r="L490" t="str">
        <x:f>IF(OR(Match_Data!U490="",Match_Data!V490=""),"",Match_Data!U490-Match_Data!V490)</x:f>
      </x:c>
      <x:c r="M490" s="32" t="str">
        <x:f>IF(Match_Data!Y490="","",1/Match_Data!Y490)</x:f>
      </x:c>
      <x:c r="N490" s="32" t="str">
        <x:f>IF(Match_Data!AA490="","",1/Match_Data!AA490)</x:f>
      </x:c>
      <x:c r="O490" s="32" t="str">
        <x:f>IF(OR(M490="",N490=""),"",N490-M490)</x:f>
      </x:c>
      <x:c r="P490" t="str">
        <x:f>IF(Match_Data!J490="","",IF(Match_Data!J490="OVER",1,0))</x:f>
      </x:c>
    </x:row>
    <x:row r="491">
      <x:c r="A491" t="n">
        <x:f>Match_Data!A491</x:f>
        <x:v>0</x:v>
      </x:c>
      <x:c r="B491" s="28" t="n">
        <x:f>Match_Data!B491</x:f>
        <x:v>0</x:v>
      </x:c>
      <x:c r="C491" t="n">
        <x:f>Match_Data!C491</x:f>
        <x:v>0</x:v>
      </x:c>
      <x:c r="D491" t="n">
        <x:f>Match_Data!E491</x:f>
        <x:v>0</x:v>
      </x:c>
      <x:c r="E491" t="n">
        <x:f>Match_Data!F491</x:f>
        <x:v>0</x:v>
      </x:c>
      <x:c r="F491" t="n">
        <x:f>Match_Data!AC491</x:f>
        <x:v>0</x:v>
      </x:c>
      <x:c r="G491" t="str">
        <x:f>IF(OR(Match_Data!K491="",Match_Data!L491=""),"",AVERAGE(Match_Data!K491:L491))</x:f>
      </x:c>
      <x:c r="H491" t="str">
        <x:f>IF(OR(Match_Data!M491="",Match_Data!N491=""),"",AVERAGE(Match_Data!M491:N491))</x:f>
      </x:c>
      <x:c r="I491" t="str">
        <x:f>IF(OR(Match_Data!O491="",Match_Data!Q491=""),"",Match_Data!O491+Match_Data!Q491)</x:f>
      </x:c>
      <x:c r="J491" t="str">
        <x:f>IF(OR(Match_Data!P491="",Match_Data!R491=""),"",Match_Data!P491+Match_Data!R491)</x:f>
      </x:c>
      <x:c r="K491" t="str">
        <x:f>IF(OR(Match_Data!S491="",Match_Data!T491=""),"",Match_Data!S491+Match_Data!T491)</x:f>
      </x:c>
      <x:c r="L491" t="str">
        <x:f>IF(OR(Match_Data!U491="",Match_Data!V491=""),"",Match_Data!U491-Match_Data!V491)</x:f>
      </x:c>
      <x:c r="M491" s="32" t="str">
        <x:f>IF(Match_Data!Y491="","",1/Match_Data!Y491)</x:f>
      </x:c>
      <x:c r="N491" s="32" t="str">
        <x:f>IF(Match_Data!AA491="","",1/Match_Data!AA491)</x:f>
      </x:c>
      <x:c r="O491" s="32" t="str">
        <x:f>IF(OR(M491="",N491=""),"",N491-M491)</x:f>
      </x:c>
      <x:c r="P491" t="str">
        <x:f>IF(Match_Data!J491="","",IF(Match_Data!J491="OVER",1,0))</x:f>
      </x:c>
    </x:row>
    <x:row r="492">
      <x:c r="A492" t="n">
        <x:f>Match_Data!A492</x:f>
        <x:v>0</x:v>
      </x:c>
      <x:c r="B492" s="28" t="n">
        <x:f>Match_Data!B492</x:f>
        <x:v>0</x:v>
      </x:c>
      <x:c r="C492" t="n">
        <x:f>Match_Data!C492</x:f>
        <x:v>0</x:v>
      </x:c>
      <x:c r="D492" t="n">
        <x:f>Match_Data!E492</x:f>
        <x:v>0</x:v>
      </x:c>
      <x:c r="E492" t="n">
        <x:f>Match_Data!F492</x:f>
        <x:v>0</x:v>
      </x:c>
      <x:c r="F492" t="n">
        <x:f>Match_Data!AC492</x:f>
        <x:v>0</x:v>
      </x:c>
      <x:c r="G492" t="str">
        <x:f>IF(OR(Match_Data!K492="",Match_Data!L492=""),"",AVERAGE(Match_Data!K492:L492))</x:f>
      </x:c>
      <x:c r="H492" t="str">
        <x:f>IF(OR(Match_Data!M492="",Match_Data!N492=""),"",AVERAGE(Match_Data!M492:N492))</x:f>
      </x:c>
      <x:c r="I492" t="str">
        <x:f>IF(OR(Match_Data!O492="",Match_Data!Q492=""),"",Match_Data!O492+Match_Data!Q492)</x:f>
      </x:c>
      <x:c r="J492" t="str">
        <x:f>IF(OR(Match_Data!P492="",Match_Data!R492=""),"",Match_Data!P492+Match_Data!R492)</x:f>
      </x:c>
      <x:c r="K492" t="str">
        <x:f>IF(OR(Match_Data!S492="",Match_Data!T492=""),"",Match_Data!S492+Match_Data!T492)</x:f>
      </x:c>
      <x:c r="L492" t="str">
        <x:f>IF(OR(Match_Data!U492="",Match_Data!V492=""),"",Match_Data!U492-Match_Data!V492)</x:f>
      </x:c>
      <x:c r="M492" s="32" t="str">
        <x:f>IF(Match_Data!Y492="","",1/Match_Data!Y492)</x:f>
      </x:c>
      <x:c r="N492" s="32" t="str">
        <x:f>IF(Match_Data!AA492="","",1/Match_Data!AA492)</x:f>
      </x:c>
      <x:c r="O492" s="32" t="str">
        <x:f>IF(OR(M492="",N492=""),"",N492-M492)</x:f>
      </x:c>
      <x:c r="P492" t="str">
        <x:f>IF(Match_Data!J492="","",IF(Match_Data!J492="OVER",1,0))</x:f>
      </x:c>
    </x:row>
    <x:row r="493">
      <x:c r="A493" t="n">
        <x:f>Match_Data!A493</x:f>
        <x:v>0</x:v>
      </x:c>
      <x:c r="B493" s="28" t="n">
        <x:f>Match_Data!B493</x:f>
        <x:v>0</x:v>
      </x:c>
      <x:c r="C493" t="n">
        <x:f>Match_Data!C493</x:f>
        <x:v>0</x:v>
      </x:c>
      <x:c r="D493" t="n">
        <x:f>Match_Data!E493</x:f>
        <x:v>0</x:v>
      </x:c>
      <x:c r="E493" t="n">
        <x:f>Match_Data!F493</x:f>
        <x:v>0</x:v>
      </x:c>
      <x:c r="F493" t="n">
        <x:f>Match_Data!AC493</x:f>
        <x:v>0</x:v>
      </x:c>
      <x:c r="G493" t="str">
        <x:f>IF(OR(Match_Data!K493="",Match_Data!L493=""),"",AVERAGE(Match_Data!K493:L493))</x:f>
      </x:c>
      <x:c r="H493" t="str">
        <x:f>IF(OR(Match_Data!M493="",Match_Data!N493=""),"",AVERAGE(Match_Data!M493:N493))</x:f>
      </x:c>
      <x:c r="I493" t="str">
        <x:f>IF(OR(Match_Data!O493="",Match_Data!Q493=""),"",Match_Data!O493+Match_Data!Q493)</x:f>
      </x:c>
      <x:c r="J493" t="str">
        <x:f>IF(OR(Match_Data!P493="",Match_Data!R493=""),"",Match_Data!P493+Match_Data!R493)</x:f>
      </x:c>
      <x:c r="K493" t="str">
        <x:f>IF(OR(Match_Data!S493="",Match_Data!T493=""),"",Match_Data!S493+Match_Data!T493)</x:f>
      </x:c>
      <x:c r="L493" t="str">
        <x:f>IF(OR(Match_Data!U493="",Match_Data!V493=""),"",Match_Data!U493-Match_Data!V493)</x:f>
      </x:c>
      <x:c r="M493" s="32" t="str">
        <x:f>IF(Match_Data!Y493="","",1/Match_Data!Y493)</x:f>
      </x:c>
      <x:c r="N493" s="32" t="str">
        <x:f>IF(Match_Data!AA493="","",1/Match_Data!AA493)</x:f>
      </x:c>
      <x:c r="O493" s="32" t="str">
        <x:f>IF(OR(M493="",N493=""),"",N493-M493)</x:f>
      </x:c>
      <x:c r="P493" t="str">
        <x:f>IF(Match_Data!J493="","",IF(Match_Data!J493="OVER",1,0))</x:f>
      </x:c>
    </x:row>
    <x:row r="494">
      <x:c r="A494" t="n">
        <x:f>Match_Data!A494</x:f>
        <x:v>0</x:v>
      </x:c>
      <x:c r="B494" s="28" t="n">
        <x:f>Match_Data!B494</x:f>
        <x:v>0</x:v>
      </x:c>
      <x:c r="C494" t="n">
        <x:f>Match_Data!C494</x:f>
        <x:v>0</x:v>
      </x:c>
      <x:c r="D494" t="n">
        <x:f>Match_Data!E494</x:f>
        <x:v>0</x:v>
      </x:c>
      <x:c r="E494" t="n">
        <x:f>Match_Data!F494</x:f>
        <x:v>0</x:v>
      </x:c>
      <x:c r="F494" t="n">
        <x:f>Match_Data!AC494</x:f>
        <x:v>0</x:v>
      </x:c>
      <x:c r="G494" t="str">
        <x:f>IF(OR(Match_Data!K494="",Match_Data!L494=""),"",AVERAGE(Match_Data!K494:L494))</x:f>
      </x:c>
      <x:c r="H494" t="str">
        <x:f>IF(OR(Match_Data!M494="",Match_Data!N494=""),"",AVERAGE(Match_Data!M494:N494))</x:f>
      </x:c>
      <x:c r="I494" t="str">
        <x:f>IF(OR(Match_Data!O494="",Match_Data!Q494=""),"",Match_Data!O494+Match_Data!Q494)</x:f>
      </x:c>
      <x:c r="J494" t="str">
        <x:f>IF(OR(Match_Data!P494="",Match_Data!R494=""),"",Match_Data!P494+Match_Data!R494)</x:f>
      </x:c>
      <x:c r="K494" t="str">
        <x:f>IF(OR(Match_Data!S494="",Match_Data!T494=""),"",Match_Data!S494+Match_Data!T494)</x:f>
      </x:c>
      <x:c r="L494" t="str">
        <x:f>IF(OR(Match_Data!U494="",Match_Data!V494=""),"",Match_Data!U494-Match_Data!V494)</x:f>
      </x:c>
      <x:c r="M494" s="32" t="str">
        <x:f>IF(Match_Data!Y494="","",1/Match_Data!Y494)</x:f>
      </x:c>
      <x:c r="N494" s="32" t="str">
        <x:f>IF(Match_Data!AA494="","",1/Match_Data!AA494)</x:f>
      </x:c>
      <x:c r="O494" s="32" t="str">
        <x:f>IF(OR(M494="",N494=""),"",N494-M494)</x:f>
      </x:c>
      <x:c r="P494" t="str">
        <x:f>IF(Match_Data!J494="","",IF(Match_Data!J494="OVER",1,0))</x:f>
      </x:c>
    </x:row>
    <x:row r="495">
      <x:c r="A495" t="n">
        <x:f>Match_Data!A495</x:f>
        <x:v>0</x:v>
      </x:c>
      <x:c r="B495" s="28" t="n">
        <x:f>Match_Data!B495</x:f>
        <x:v>0</x:v>
      </x:c>
      <x:c r="C495" t="n">
        <x:f>Match_Data!C495</x:f>
        <x:v>0</x:v>
      </x:c>
      <x:c r="D495" t="n">
        <x:f>Match_Data!E495</x:f>
        <x:v>0</x:v>
      </x:c>
      <x:c r="E495" t="n">
        <x:f>Match_Data!F495</x:f>
        <x:v>0</x:v>
      </x:c>
      <x:c r="F495" t="n">
        <x:f>Match_Data!AC495</x:f>
        <x:v>0</x:v>
      </x:c>
      <x:c r="G495" t="str">
        <x:f>IF(OR(Match_Data!K495="",Match_Data!L495=""),"",AVERAGE(Match_Data!K495:L495))</x:f>
      </x:c>
      <x:c r="H495" t="str">
        <x:f>IF(OR(Match_Data!M495="",Match_Data!N495=""),"",AVERAGE(Match_Data!M495:N495))</x:f>
      </x:c>
      <x:c r="I495" t="str">
        <x:f>IF(OR(Match_Data!O495="",Match_Data!Q495=""),"",Match_Data!O495+Match_Data!Q495)</x:f>
      </x:c>
      <x:c r="J495" t="str">
        <x:f>IF(OR(Match_Data!P495="",Match_Data!R495=""),"",Match_Data!P495+Match_Data!R495)</x:f>
      </x:c>
      <x:c r="K495" t="str">
        <x:f>IF(OR(Match_Data!S495="",Match_Data!T495=""),"",Match_Data!S495+Match_Data!T495)</x:f>
      </x:c>
      <x:c r="L495" t="str">
        <x:f>IF(OR(Match_Data!U495="",Match_Data!V495=""),"",Match_Data!U495-Match_Data!V495)</x:f>
      </x:c>
      <x:c r="M495" s="32" t="str">
        <x:f>IF(Match_Data!Y495="","",1/Match_Data!Y495)</x:f>
      </x:c>
      <x:c r="N495" s="32" t="str">
        <x:f>IF(Match_Data!AA495="","",1/Match_Data!AA495)</x:f>
      </x:c>
      <x:c r="O495" s="32" t="str">
        <x:f>IF(OR(M495="",N495=""),"",N495-M495)</x:f>
      </x:c>
      <x:c r="P495" t="str">
        <x:f>IF(Match_Data!J495="","",IF(Match_Data!J495="OVER",1,0))</x:f>
      </x:c>
    </x:row>
    <x:row r="496">
      <x:c r="A496" t="n">
        <x:f>Match_Data!A496</x:f>
        <x:v>0</x:v>
      </x:c>
      <x:c r="B496" s="28" t="n">
        <x:f>Match_Data!B496</x:f>
        <x:v>0</x:v>
      </x:c>
      <x:c r="C496" t="n">
        <x:f>Match_Data!C496</x:f>
        <x:v>0</x:v>
      </x:c>
      <x:c r="D496" t="n">
        <x:f>Match_Data!E496</x:f>
        <x:v>0</x:v>
      </x:c>
      <x:c r="E496" t="n">
        <x:f>Match_Data!F496</x:f>
        <x:v>0</x:v>
      </x:c>
      <x:c r="F496" t="n">
        <x:f>Match_Data!AC496</x:f>
        <x:v>0</x:v>
      </x:c>
      <x:c r="G496" t="str">
        <x:f>IF(OR(Match_Data!K496="",Match_Data!L496=""),"",AVERAGE(Match_Data!K496:L496))</x:f>
      </x:c>
      <x:c r="H496" t="str">
        <x:f>IF(OR(Match_Data!M496="",Match_Data!N496=""),"",AVERAGE(Match_Data!M496:N496))</x:f>
      </x:c>
      <x:c r="I496" t="str">
        <x:f>IF(OR(Match_Data!O496="",Match_Data!Q496=""),"",Match_Data!O496+Match_Data!Q496)</x:f>
      </x:c>
      <x:c r="J496" t="str">
        <x:f>IF(OR(Match_Data!P496="",Match_Data!R496=""),"",Match_Data!P496+Match_Data!R496)</x:f>
      </x:c>
      <x:c r="K496" t="str">
        <x:f>IF(OR(Match_Data!S496="",Match_Data!T496=""),"",Match_Data!S496+Match_Data!T496)</x:f>
      </x:c>
      <x:c r="L496" t="str">
        <x:f>IF(OR(Match_Data!U496="",Match_Data!V496=""),"",Match_Data!U496-Match_Data!V496)</x:f>
      </x:c>
      <x:c r="M496" s="32" t="str">
        <x:f>IF(Match_Data!Y496="","",1/Match_Data!Y496)</x:f>
      </x:c>
      <x:c r="N496" s="32" t="str">
        <x:f>IF(Match_Data!AA496="","",1/Match_Data!AA496)</x:f>
      </x:c>
      <x:c r="O496" s="32" t="str">
        <x:f>IF(OR(M496="",N496=""),"",N496-M496)</x:f>
      </x:c>
      <x:c r="P496" t="str">
        <x:f>IF(Match_Data!J496="","",IF(Match_Data!J496="OVER",1,0))</x:f>
      </x:c>
    </x:row>
    <x:row r="497">
      <x:c r="A497" t="n">
        <x:f>Match_Data!A497</x:f>
        <x:v>0</x:v>
      </x:c>
      <x:c r="B497" s="28" t="n">
        <x:f>Match_Data!B497</x:f>
        <x:v>0</x:v>
      </x:c>
      <x:c r="C497" t="n">
        <x:f>Match_Data!C497</x:f>
        <x:v>0</x:v>
      </x:c>
      <x:c r="D497" t="n">
        <x:f>Match_Data!E497</x:f>
        <x:v>0</x:v>
      </x:c>
      <x:c r="E497" t="n">
        <x:f>Match_Data!F497</x:f>
        <x:v>0</x:v>
      </x:c>
      <x:c r="F497" t="n">
        <x:f>Match_Data!AC497</x:f>
        <x:v>0</x:v>
      </x:c>
      <x:c r="G497" t="str">
        <x:f>IF(OR(Match_Data!K497="",Match_Data!L497=""),"",AVERAGE(Match_Data!K497:L497))</x:f>
      </x:c>
      <x:c r="H497" t="str">
        <x:f>IF(OR(Match_Data!M497="",Match_Data!N497=""),"",AVERAGE(Match_Data!M497:N497))</x:f>
      </x:c>
      <x:c r="I497" t="str">
        <x:f>IF(OR(Match_Data!O497="",Match_Data!Q497=""),"",Match_Data!O497+Match_Data!Q497)</x:f>
      </x:c>
      <x:c r="J497" t="str">
        <x:f>IF(OR(Match_Data!P497="",Match_Data!R497=""),"",Match_Data!P497+Match_Data!R497)</x:f>
      </x:c>
      <x:c r="K497" t="str">
        <x:f>IF(OR(Match_Data!S497="",Match_Data!T497=""),"",Match_Data!S497+Match_Data!T497)</x:f>
      </x:c>
      <x:c r="L497" t="str">
        <x:f>IF(OR(Match_Data!U497="",Match_Data!V497=""),"",Match_Data!U497-Match_Data!V497)</x:f>
      </x:c>
      <x:c r="M497" s="32" t="str">
        <x:f>IF(Match_Data!Y497="","",1/Match_Data!Y497)</x:f>
      </x:c>
      <x:c r="N497" s="32" t="str">
        <x:f>IF(Match_Data!AA497="","",1/Match_Data!AA497)</x:f>
      </x:c>
      <x:c r="O497" s="32" t="str">
        <x:f>IF(OR(M497="",N497=""),"",N497-M497)</x:f>
      </x:c>
      <x:c r="P497" t="str">
        <x:f>IF(Match_Data!J497="","",IF(Match_Data!J497="OVER",1,0))</x:f>
      </x:c>
    </x:row>
    <x:row r="498">
      <x:c r="A498" t="n">
        <x:f>Match_Data!A498</x:f>
        <x:v>0</x:v>
      </x:c>
      <x:c r="B498" s="28" t="n">
        <x:f>Match_Data!B498</x:f>
        <x:v>0</x:v>
      </x:c>
      <x:c r="C498" t="n">
        <x:f>Match_Data!C498</x:f>
        <x:v>0</x:v>
      </x:c>
      <x:c r="D498" t="n">
        <x:f>Match_Data!E498</x:f>
        <x:v>0</x:v>
      </x:c>
      <x:c r="E498" t="n">
        <x:f>Match_Data!F498</x:f>
        <x:v>0</x:v>
      </x:c>
      <x:c r="F498" t="n">
        <x:f>Match_Data!AC498</x:f>
        <x:v>0</x:v>
      </x:c>
      <x:c r="G498" t="str">
        <x:f>IF(OR(Match_Data!K498="",Match_Data!L498=""),"",AVERAGE(Match_Data!K498:L498))</x:f>
      </x:c>
      <x:c r="H498" t="str">
        <x:f>IF(OR(Match_Data!M498="",Match_Data!N498=""),"",AVERAGE(Match_Data!M498:N498))</x:f>
      </x:c>
      <x:c r="I498" t="str">
        <x:f>IF(OR(Match_Data!O498="",Match_Data!Q498=""),"",Match_Data!O498+Match_Data!Q498)</x:f>
      </x:c>
      <x:c r="J498" t="str">
        <x:f>IF(OR(Match_Data!P498="",Match_Data!R498=""),"",Match_Data!P498+Match_Data!R498)</x:f>
      </x:c>
      <x:c r="K498" t="str">
        <x:f>IF(OR(Match_Data!S498="",Match_Data!T498=""),"",Match_Data!S498+Match_Data!T498)</x:f>
      </x:c>
      <x:c r="L498" t="str">
        <x:f>IF(OR(Match_Data!U498="",Match_Data!V498=""),"",Match_Data!U498-Match_Data!V498)</x:f>
      </x:c>
      <x:c r="M498" s="32" t="str">
        <x:f>IF(Match_Data!Y498="","",1/Match_Data!Y498)</x:f>
      </x:c>
      <x:c r="N498" s="32" t="str">
        <x:f>IF(Match_Data!AA498="","",1/Match_Data!AA498)</x:f>
      </x:c>
      <x:c r="O498" s="32" t="str">
        <x:f>IF(OR(M498="",N498=""),"",N498-M498)</x:f>
      </x:c>
      <x:c r="P498" t="str">
        <x:f>IF(Match_Data!J498="","",IF(Match_Data!J498="OVER",1,0))</x:f>
      </x:c>
    </x:row>
    <x:row r="499">
      <x:c r="A499" t="n">
        <x:f>Match_Data!A499</x:f>
        <x:v>0</x:v>
      </x:c>
      <x:c r="B499" s="28" t="n">
        <x:f>Match_Data!B499</x:f>
        <x:v>0</x:v>
      </x:c>
      <x:c r="C499" t="n">
        <x:f>Match_Data!C499</x:f>
        <x:v>0</x:v>
      </x:c>
      <x:c r="D499" t="n">
        <x:f>Match_Data!E499</x:f>
        <x:v>0</x:v>
      </x:c>
      <x:c r="E499" t="n">
        <x:f>Match_Data!F499</x:f>
        <x:v>0</x:v>
      </x:c>
      <x:c r="F499" t="n">
        <x:f>Match_Data!AC499</x:f>
        <x:v>0</x:v>
      </x:c>
      <x:c r="G499" t="str">
        <x:f>IF(OR(Match_Data!K499="",Match_Data!L499=""),"",AVERAGE(Match_Data!K499:L499))</x:f>
      </x:c>
      <x:c r="H499" t="str">
        <x:f>IF(OR(Match_Data!M499="",Match_Data!N499=""),"",AVERAGE(Match_Data!M499:N499))</x:f>
      </x:c>
      <x:c r="I499" t="str">
        <x:f>IF(OR(Match_Data!O499="",Match_Data!Q499=""),"",Match_Data!O499+Match_Data!Q499)</x:f>
      </x:c>
      <x:c r="J499" t="str">
        <x:f>IF(OR(Match_Data!P499="",Match_Data!R499=""),"",Match_Data!P499+Match_Data!R499)</x:f>
      </x:c>
      <x:c r="K499" t="str">
        <x:f>IF(OR(Match_Data!S499="",Match_Data!T499=""),"",Match_Data!S499+Match_Data!T499)</x:f>
      </x:c>
      <x:c r="L499" t="str">
        <x:f>IF(OR(Match_Data!U499="",Match_Data!V499=""),"",Match_Data!U499-Match_Data!V499)</x:f>
      </x:c>
      <x:c r="M499" s="32" t="str">
        <x:f>IF(Match_Data!Y499="","",1/Match_Data!Y499)</x:f>
      </x:c>
      <x:c r="N499" s="32" t="str">
        <x:f>IF(Match_Data!AA499="","",1/Match_Data!AA499)</x:f>
      </x:c>
      <x:c r="O499" s="32" t="str">
        <x:f>IF(OR(M499="",N499=""),"",N499-M499)</x:f>
      </x:c>
      <x:c r="P499" t="str">
        <x:f>IF(Match_Data!J499="","",IF(Match_Data!J499="OVER",1,0))</x:f>
      </x:c>
    </x:row>
    <x:row r="500">
      <x:c r="A500" t="n">
        <x:f>Match_Data!A500</x:f>
        <x:v>0</x:v>
      </x:c>
      <x:c r="B500" s="28" t="n">
        <x:f>Match_Data!B500</x:f>
        <x:v>0</x:v>
      </x:c>
      <x:c r="C500" t="n">
        <x:f>Match_Data!C500</x:f>
        <x:v>0</x:v>
      </x:c>
      <x:c r="D500" t="n">
        <x:f>Match_Data!E500</x:f>
        <x:v>0</x:v>
      </x:c>
      <x:c r="E500" t="n">
        <x:f>Match_Data!F500</x:f>
        <x:v>0</x:v>
      </x:c>
      <x:c r="F500" t="n">
        <x:f>Match_Data!AC500</x:f>
        <x:v>0</x:v>
      </x:c>
      <x:c r="G500" t="str">
        <x:f>IF(OR(Match_Data!K500="",Match_Data!L500=""),"",AVERAGE(Match_Data!K500:L500))</x:f>
      </x:c>
      <x:c r="H500" t="str">
        <x:f>IF(OR(Match_Data!M500="",Match_Data!N500=""),"",AVERAGE(Match_Data!M500:N500))</x:f>
      </x:c>
      <x:c r="I500" t="str">
        <x:f>IF(OR(Match_Data!O500="",Match_Data!Q500=""),"",Match_Data!O500+Match_Data!Q500)</x:f>
      </x:c>
      <x:c r="J500" t="str">
        <x:f>IF(OR(Match_Data!P500="",Match_Data!R500=""),"",Match_Data!P500+Match_Data!R500)</x:f>
      </x:c>
      <x:c r="K500" t="str">
        <x:f>IF(OR(Match_Data!S500="",Match_Data!T500=""),"",Match_Data!S500+Match_Data!T500)</x:f>
      </x:c>
      <x:c r="L500" t="str">
        <x:f>IF(OR(Match_Data!U500="",Match_Data!V500=""),"",Match_Data!U500-Match_Data!V500)</x:f>
      </x:c>
      <x:c r="M500" s="32" t="str">
        <x:f>IF(Match_Data!Y500="","",1/Match_Data!Y500)</x:f>
      </x:c>
      <x:c r="N500" s="32" t="str">
        <x:f>IF(Match_Data!AA500="","",1/Match_Data!AA500)</x:f>
      </x:c>
      <x:c r="O500" s="32" t="str">
        <x:f>IF(OR(M500="",N500=""),"",N500-M500)</x:f>
      </x:c>
      <x:c r="P500" t="str">
        <x:f>IF(Match_Data!J500="","",IF(Match_Data!J500="OVER",1,0))</x:f>
      </x:c>
    </x:row>
    <x:row r="501">
      <x:c r="A501" t="n">
        <x:f>Match_Data!A501</x:f>
        <x:v>0</x:v>
      </x:c>
      <x:c r="B501" s="28" t="n">
        <x:f>Match_Data!B501</x:f>
        <x:v>0</x:v>
      </x:c>
      <x:c r="C501" t="n">
        <x:f>Match_Data!C501</x:f>
        <x:v>0</x:v>
      </x:c>
      <x:c r="D501" t="n">
        <x:f>Match_Data!E501</x:f>
        <x:v>0</x:v>
      </x:c>
      <x:c r="E501" t="n">
        <x:f>Match_Data!F501</x:f>
        <x:v>0</x:v>
      </x:c>
      <x:c r="F501" t="n">
        <x:f>Match_Data!AC501</x:f>
        <x:v>0</x:v>
      </x:c>
      <x:c r="G501" t="str">
        <x:f>IF(OR(Match_Data!K501="",Match_Data!L501=""),"",AVERAGE(Match_Data!K501:L501))</x:f>
      </x:c>
      <x:c r="H501" t="str">
        <x:f>IF(OR(Match_Data!M501="",Match_Data!N501=""),"",AVERAGE(Match_Data!M501:N501))</x:f>
      </x:c>
      <x:c r="I501" t="str">
        <x:f>IF(OR(Match_Data!O501="",Match_Data!Q501=""),"",Match_Data!O501+Match_Data!Q501)</x:f>
      </x:c>
      <x:c r="J501" t="str">
        <x:f>IF(OR(Match_Data!P501="",Match_Data!R501=""),"",Match_Data!P501+Match_Data!R501)</x:f>
      </x:c>
      <x:c r="K501" t="str">
        <x:f>IF(OR(Match_Data!S501="",Match_Data!T501=""),"",Match_Data!S501+Match_Data!T501)</x:f>
      </x:c>
      <x:c r="L501" t="str">
        <x:f>IF(OR(Match_Data!U501="",Match_Data!V501=""),"",Match_Data!U501-Match_Data!V501)</x:f>
      </x:c>
      <x:c r="M501" s="32" t="str">
        <x:f>IF(Match_Data!Y501="","",1/Match_Data!Y501)</x:f>
      </x:c>
      <x:c r="N501" s="32" t="str">
        <x:f>IF(Match_Data!AA501="","",1/Match_Data!AA501)</x:f>
      </x:c>
      <x:c r="O501" s="32" t="str">
        <x:f>IF(OR(M501="",N501=""),"",N501-M501)</x:f>
      </x:c>
      <x:c r="P501" t="str">
        <x:f>IF(Match_Data!J501="","",IF(Match_Data!J501="OVER",1,0))</x:f>
      </x:c>
    </x:row>
    <x:row r="502">
      <x:c r="A502" t="n">
        <x:f>Match_Data!A502</x:f>
        <x:v>0</x:v>
      </x:c>
      <x:c r="B502" s="28" t="n">
        <x:f>Match_Data!B502</x:f>
        <x:v>0</x:v>
      </x:c>
      <x:c r="C502" t="n">
        <x:f>Match_Data!C502</x:f>
        <x:v>0</x:v>
      </x:c>
      <x:c r="D502" t="n">
        <x:f>Match_Data!E502</x:f>
        <x:v>0</x:v>
      </x:c>
      <x:c r="E502" t="n">
        <x:f>Match_Data!F502</x:f>
        <x:v>0</x:v>
      </x:c>
      <x:c r="F502" t="n">
        <x:f>Match_Data!AC502</x:f>
        <x:v>0</x:v>
      </x:c>
      <x:c r="G502" t="str">
        <x:f>IF(OR(Match_Data!K502="",Match_Data!L502=""),"",AVERAGE(Match_Data!K502:L502))</x:f>
      </x:c>
      <x:c r="H502" t="str">
        <x:f>IF(OR(Match_Data!M502="",Match_Data!N502=""),"",AVERAGE(Match_Data!M502:N502))</x:f>
      </x:c>
      <x:c r="I502" t="str">
        <x:f>IF(OR(Match_Data!O502="",Match_Data!Q502=""),"",Match_Data!O502+Match_Data!Q502)</x:f>
      </x:c>
      <x:c r="J502" t="str">
        <x:f>IF(OR(Match_Data!P502="",Match_Data!R502=""),"",Match_Data!P502+Match_Data!R502)</x:f>
      </x:c>
      <x:c r="K502" t="str">
        <x:f>IF(OR(Match_Data!S502="",Match_Data!T502=""),"",Match_Data!S502+Match_Data!T502)</x:f>
      </x:c>
      <x:c r="L502" t="str">
        <x:f>IF(OR(Match_Data!U502="",Match_Data!V502=""),"",Match_Data!U502-Match_Data!V502)</x:f>
      </x:c>
      <x:c r="M502" s="32" t="str">
        <x:f>IF(Match_Data!Y502="","",1/Match_Data!Y502)</x:f>
      </x:c>
      <x:c r="N502" s="32" t="str">
        <x:f>IF(Match_Data!AA502="","",1/Match_Data!AA502)</x:f>
      </x:c>
      <x:c r="O502" s="32" t="str">
        <x:f>IF(OR(M502="",N502=""),"",N502-M502)</x:f>
      </x:c>
      <x:c r="P502" t="str">
        <x:f>IF(Match_Data!J502="","",IF(Match_Data!J502="OVER",1,0))</x:f>
      </x:c>
    </x:row>
    <x:row r="503">
      <x:c r="A503" t="n">
        <x:f>Match_Data!A503</x:f>
        <x:v>0</x:v>
      </x:c>
      <x:c r="B503" s="28" t="n">
        <x:f>Match_Data!B503</x:f>
        <x:v>0</x:v>
      </x:c>
      <x:c r="C503" t="n">
        <x:f>Match_Data!C503</x:f>
        <x:v>0</x:v>
      </x:c>
      <x:c r="D503" t="n">
        <x:f>Match_Data!E503</x:f>
        <x:v>0</x:v>
      </x:c>
      <x:c r="E503" t="n">
        <x:f>Match_Data!F503</x:f>
        <x:v>0</x:v>
      </x:c>
      <x:c r="F503" t="n">
        <x:f>Match_Data!AC503</x:f>
        <x:v>0</x:v>
      </x:c>
      <x:c r="G503" t="str">
        <x:f>IF(OR(Match_Data!K503="",Match_Data!L503=""),"",AVERAGE(Match_Data!K503:L503))</x:f>
      </x:c>
      <x:c r="H503" t="str">
        <x:f>IF(OR(Match_Data!M503="",Match_Data!N503=""),"",AVERAGE(Match_Data!M503:N503))</x:f>
      </x:c>
      <x:c r="I503" t="str">
        <x:f>IF(OR(Match_Data!O503="",Match_Data!Q503=""),"",Match_Data!O503+Match_Data!Q503)</x:f>
      </x:c>
      <x:c r="J503" t="str">
        <x:f>IF(OR(Match_Data!P503="",Match_Data!R503=""),"",Match_Data!P503+Match_Data!R503)</x:f>
      </x:c>
      <x:c r="K503" t="str">
        <x:f>IF(OR(Match_Data!S503="",Match_Data!T503=""),"",Match_Data!S503+Match_Data!T503)</x:f>
      </x:c>
      <x:c r="L503" t="str">
        <x:f>IF(OR(Match_Data!U503="",Match_Data!V503=""),"",Match_Data!U503-Match_Data!V503)</x:f>
      </x:c>
      <x:c r="M503" s="32" t="str">
        <x:f>IF(Match_Data!Y503="","",1/Match_Data!Y503)</x:f>
      </x:c>
      <x:c r="N503" s="32" t="str">
        <x:f>IF(Match_Data!AA503="","",1/Match_Data!AA503)</x:f>
      </x:c>
      <x:c r="O503" s="32" t="str">
        <x:f>IF(OR(M503="",N503=""),"",N503-M503)</x:f>
      </x:c>
      <x:c r="P503" t="str">
        <x:f>IF(Match_Data!J503="","",IF(Match_Data!J503="OVER",1,0))</x:f>
      </x:c>
    </x:row>
    <x:row r="504">
      <x:c r="A504" t="n">
        <x:f>Match_Data!A504</x:f>
        <x:v>0</x:v>
      </x:c>
      <x:c r="B504" s="28" t="n">
        <x:f>Match_Data!B504</x:f>
        <x:v>0</x:v>
      </x:c>
      <x:c r="C504" t="n">
        <x:f>Match_Data!C504</x:f>
        <x:v>0</x:v>
      </x:c>
      <x:c r="D504" t="n">
        <x:f>Match_Data!E504</x:f>
        <x:v>0</x:v>
      </x:c>
      <x:c r="E504" t="n">
        <x:f>Match_Data!F504</x:f>
        <x:v>0</x:v>
      </x:c>
      <x:c r="F504" t="n">
        <x:f>Match_Data!AC504</x:f>
        <x:v>0</x:v>
      </x:c>
      <x:c r="G504" t="str">
        <x:f>IF(OR(Match_Data!K504="",Match_Data!L504=""),"",AVERAGE(Match_Data!K504:L504))</x:f>
      </x:c>
      <x:c r="H504" t="str">
        <x:f>IF(OR(Match_Data!M504="",Match_Data!N504=""),"",AVERAGE(Match_Data!M504:N504))</x:f>
      </x:c>
      <x:c r="I504" t="str">
        <x:f>IF(OR(Match_Data!O504="",Match_Data!Q504=""),"",Match_Data!O504+Match_Data!Q504)</x:f>
      </x:c>
      <x:c r="J504" t="str">
        <x:f>IF(OR(Match_Data!P504="",Match_Data!R504=""),"",Match_Data!P504+Match_Data!R504)</x:f>
      </x:c>
      <x:c r="K504" t="str">
        <x:f>IF(OR(Match_Data!S504="",Match_Data!T504=""),"",Match_Data!S504+Match_Data!T504)</x:f>
      </x:c>
      <x:c r="L504" t="str">
        <x:f>IF(OR(Match_Data!U504="",Match_Data!V504=""),"",Match_Data!U504-Match_Data!V504)</x:f>
      </x:c>
      <x:c r="M504" s="32" t="str">
        <x:f>IF(Match_Data!Y504="","",1/Match_Data!Y504)</x:f>
      </x:c>
      <x:c r="N504" s="32" t="str">
        <x:f>IF(Match_Data!AA504="","",1/Match_Data!AA504)</x:f>
      </x:c>
      <x:c r="O504" s="32" t="str">
        <x:f>IF(OR(M504="",N504=""),"",N504-M504)</x:f>
      </x:c>
      <x:c r="P504" t="str">
        <x:f>IF(Match_Data!J504="","",IF(Match_Data!J504="OVER",1,0))</x:f>
      </x:c>
    </x:row>
    <x:row r="505">
      <x:c r="A505" t="n">
        <x:f>Match_Data!A505</x:f>
        <x:v>0</x:v>
      </x:c>
      <x:c r="B505" s="28" t="n">
        <x:f>Match_Data!B505</x:f>
        <x:v>0</x:v>
      </x:c>
      <x:c r="C505" t="n">
        <x:f>Match_Data!C505</x:f>
        <x:v>0</x:v>
      </x:c>
      <x:c r="D505" t="n">
        <x:f>Match_Data!E505</x:f>
        <x:v>0</x:v>
      </x:c>
      <x:c r="E505" t="n">
        <x:f>Match_Data!F505</x:f>
        <x:v>0</x:v>
      </x:c>
      <x:c r="F505" t="n">
        <x:f>Match_Data!AC505</x:f>
        <x:v>0</x:v>
      </x:c>
      <x:c r="G505" t="str">
        <x:f>IF(OR(Match_Data!K505="",Match_Data!L505=""),"",AVERAGE(Match_Data!K505:L505))</x:f>
      </x:c>
      <x:c r="H505" t="str">
        <x:f>IF(OR(Match_Data!M505="",Match_Data!N505=""),"",AVERAGE(Match_Data!M505:N505))</x:f>
      </x:c>
      <x:c r="I505" t="str">
        <x:f>IF(OR(Match_Data!O505="",Match_Data!Q505=""),"",Match_Data!O505+Match_Data!Q505)</x:f>
      </x:c>
      <x:c r="J505" t="str">
        <x:f>IF(OR(Match_Data!P505="",Match_Data!R505=""),"",Match_Data!P505+Match_Data!R505)</x:f>
      </x:c>
      <x:c r="K505" t="str">
        <x:f>IF(OR(Match_Data!S505="",Match_Data!T505=""),"",Match_Data!S505+Match_Data!T505)</x:f>
      </x:c>
      <x:c r="L505" t="str">
        <x:f>IF(OR(Match_Data!U505="",Match_Data!V505=""),"",Match_Data!U505-Match_Data!V505)</x:f>
      </x:c>
      <x:c r="M505" s="32" t="str">
        <x:f>IF(Match_Data!Y505="","",1/Match_Data!Y505)</x:f>
      </x:c>
      <x:c r="N505" s="32" t="str">
        <x:f>IF(Match_Data!AA505="","",1/Match_Data!AA505)</x:f>
      </x:c>
      <x:c r="O505" s="32" t="str">
        <x:f>IF(OR(M505="",N505=""),"",N505-M505)</x:f>
      </x:c>
      <x:c r="P505" t="str">
        <x:f>IF(Match_Data!J505="","",IF(Match_Data!J505="OVER",1,0))</x:f>
      </x:c>
    </x:row>
    <x:row r="506">
      <x:c r="A506" t="n">
        <x:f>Match_Data!A506</x:f>
        <x:v>0</x:v>
      </x:c>
      <x:c r="B506" s="28" t="n">
        <x:f>Match_Data!B506</x:f>
        <x:v>0</x:v>
      </x:c>
      <x:c r="C506" t="n">
        <x:f>Match_Data!C506</x:f>
        <x:v>0</x:v>
      </x:c>
      <x:c r="D506" t="n">
        <x:f>Match_Data!E506</x:f>
        <x:v>0</x:v>
      </x:c>
      <x:c r="E506" t="n">
        <x:f>Match_Data!F506</x:f>
        <x:v>0</x:v>
      </x:c>
      <x:c r="F506" t="n">
        <x:f>Match_Data!AC506</x:f>
        <x:v>0</x:v>
      </x:c>
      <x:c r="G506" t="str">
        <x:f>IF(OR(Match_Data!K506="",Match_Data!L506=""),"",AVERAGE(Match_Data!K506:L506))</x:f>
      </x:c>
      <x:c r="H506" t="str">
        <x:f>IF(OR(Match_Data!M506="",Match_Data!N506=""),"",AVERAGE(Match_Data!M506:N506))</x:f>
      </x:c>
      <x:c r="I506" t="str">
        <x:f>IF(OR(Match_Data!O506="",Match_Data!Q506=""),"",Match_Data!O506+Match_Data!Q506)</x:f>
      </x:c>
      <x:c r="J506" t="str">
        <x:f>IF(OR(Match_Data!P506="",Match_Data!R506=""),"",Match_Data!P506+Match_Data!R506)</x:f>
      </x:c>
      <x:c r="K506" t="str">
        <x:f>IF(OR(Match_Data!S506="",Match_Data!T506=""),"",Match_Data!S506+Match_Data!T506)</x:f>
      </x:c>
      <x:c r="L506" t="str">
        <x:f>IF(OR(Match_Data!U506="",Match_Data!V506=""),"",Match_Data!U506-Match_Data!V506)</x:f>
      </x:c>
      <x:c r="M506" s="32" t="str">
        <x:f>IF(Match_Data!Y506="","",1/Match_Data!Y506)</x:f>
      </x:c>
      <x:c r="N506" s="32" t="str">
        <x:f>IF(Match_Data!AA506="","",1/Match_Data!AA506)</x:f>
      </x:c>
      <x:c r="O506" s="32" t="str">
        <x:f>IF(OR(M506="",N506=""),"",N506-M506)</x:f>
      </x:c>
      <x:c r="P506" t="str">
        <x:f>IF(Match_Data!J506="","",IF(Match_Data!J506="OVER",1,0))</x:f>
      </x:c>
    </x:row>
    <x:row r="507">
      <x:c r="A507" t="n">
        <x:f>Match_Data!A507</x:f>
        <x:v>0</x:v>
      </x:c>
      <x:c r="B507" s="28" t="n">
        <x:f>Match_Data!B507</x:f>
        <x:v>0</x:v>
      </x:c>
      <x:c r="C507" t="n">
        <x:f>Match_Data!C507</x:f>
        <x:v>0</x:v>
      </x:c>
      <x:c r="D507" t="n">
        <x:f>Match_Data!E507</x:f>
        <x:v>0</x:v>
      </x:c>
      <x:c r="E507" t="n">
        <x:f>Match_Data!F507</x:f>
        <x:v>0</x:v>
      </x:c>
      <x:c r="F507" t="n">
        <x:f>Match_Data!AC507</x:f>
        <x:v>0</x:v>
      </x:c>
      <x:c r="G507" t="str">
        <x:f>IF(OR(Match_Data!K507="",Match_Data!L507=""),"",AVERAGE(Match_Data!K507:L507))</x:f>
      </x:c>
      <x:c r="H507" t="str">
        <x:f>IF(OR(Match_Data!M507="",Match_Data!N507=""),"",AVERAGE(Match_Data!M507:N507))</x:f>
      </x:c>
      <x:c r="I507" t="str">
        <x:f>IF(OR(Match_Data!O507="",Match_Data!Q507=""),"",Match_Data!O507+Match_Data!Q507)</x:f>
      </x:c>
      <x:c r="J507" t="str">
        <x:f>IF(OR(Match_Data!P507="",Match_Data!R507=""),"",Match_Data!P507+Match_Data!R507)</x:f>
      </x:c>
      <x:c r="K507" t="str">
        <x:f>IF(OR(Match_Data!S507="",Match_Data!T507=""),"",Match_Data!S507+Match_Data!T507)</x:f>
      </x:c>
      <x:c r="L507" t="str">
        <x:f>IF(OR(Match_Data!U507="",Match_Data!V507=""),"",Match_Data!U507-Match_Data!V507)</x:f>
      </x:c>
      <x:c r="M507" s="32" t="str">
        <x:f>IF(Match_Data!Y507="","",1/Match_Data!Y507)</x:f>
      </x:c>
      <x:c r="N507" s="32" t="str">
        <x:f>IF(Match_Data!AA507="","",1/Match_Data!AA507)</x:f>
      </x:c>
      <x:c r="O507" s="32" t="str">
        <x:f>IF(OR(M507="",N507=""),"",N507-M507)</x:f>
      </x:c>
      <x:c r="P507" t="str">
        <x:f>IF(Match_Data!J507="","",IF(Match_Data!J507="OVER",1,0))</x:f>
      </x:c>
    </x:row>
    <x:row r="508">
      <x:c r="A508" t="n">
        <x:f>Match_Data!A508</x:f>
        <x:v>0</x:v>
      </x:c>
      <x:c r="B508" s="28" t="n">
        <x:f>Match_Data!B508</x:f>
        <x:v>0</x:v>
      </x:c>
      <x:c r="C508" t="n">
        <x:f>Match_Data!C508</x:f>
        <x:v>0</x:v>
      </x:c>
      <x:c r="D508" t="n">
        <x:f>Match_Data!E508</x:f>
        <x:v>0</x:v>
      </x:c>
      <x:c r="E508" t="n">
        <x:f>Match_Data!F508</x:f>
        <x:v>0</x:v>
      </x:c>
      <x:c r="F508" t="n">
        <x:f>Match_Data!AC508</x:f>
        <x:v>0</x:v>
      </x:c>
      <x:c r="G508" t="str">
        <x:f>IF(OR(Match_Data!K508="",Match_Data!L508=""),"",AVERAGE(Match_Data!K508:L508))</x:f>
      </x:c>
      <x:c r="H508" t="str">
        <x:f>IF(OR(Match_Data!M508="",Match_Data!N508=""),"",AVERAGE(Match_Data!M508:N508))</x:f>
      </x:c>
      <x:c r="I508" t="str">
        <x:f>IF(OR(Match_Data!O508="",Match_Data!Q508=""),"",Match_Data!O508+Match_Data!Q508)</x:f>
      </x:c>
      <x:c r="J508" t="str">
        <x:f>IF(OR(Match_Data!P508="",Match_Data!R508=""),"",Match_Data!P508+Match_Data!R508)</x:f>
      </x:c>
      <x:c r="K508" t="str">
        <x:f>IF(OR(Match_Data!S508="",Match_Data!T508=""),"",Match_Data!S508+Match_Data!T508)</x:f>
      </x:c>
      <x:c r="L508" t="str">
        <x:f>IF(OR(Match_Data!U508="",Match_Data!V508=""),"",Match_Data!U508-Match_Data!V508)</x:f>
      </x:c>
      <x:c r="M508" s="32" t="str">
        <x:f>IF(Match_Data!Y508="","",1/Match_Data!Y508)</x:f>
      </x:c>
      <x:c r="N508" s="32" t="str">
        <x:f>IF(Match_Data!AA508="","",1/Match_Data!AA508)</x:f>
      </x:c>
      <x:c r="O508" s="32" t="str">
        <x:f>IF(OR(M508="",N508=""),"",N508-M508)</x:f>
      </x:c>
      <x:c r="P508" t="str">
        <x:f>IF(Match_Data!J508="","",IF(Match_Data!J508="OVER",1,0))</x:f>
      </x:c>
    </x:row>
    <x:row r="509">
      <x:c r="A509" t="n">
        <x:f>Match_Data!A509</x:f>
        <x:v>0</x:v>
      </x:c>
      <x:c r="B509" s="28" t="n">
        <x:f>Match_Data!B509</x:f>
        <x:v>0</x:v>
      </x:c>
      <x:c r="C509" t="n">
        <x:f>Match_Data!C509</x:f>
        <x:v>0</x:v>
      </x:c>
      <x:c r="D509" t="n">
        <x:f>Match_Data!E509</x:f>
        <x:v>0</x:v>
      </x:c>
      <x:c r="E509" t="n">
        <x:f>Match_Data!F509</x:f>
        <x:v>0</x:v>
      </x:c>
      <x:c r="F509" t="n">
        <x:f>Match_Data!AC509</x:f>
        <x:v>0</x:v>
      </x:c>
      <x:c r="G509" t="str">
        <x:f>IF(OR(Match_Data!K509="",Match_Data!L509=""),"",AVERAGE(Match_Data!K509:L509))</x:f>
      </x:c>
      <x:c r="H509" t="str">
        <x:f>IF(OR(Match_Data!M509="",Match_Data!N509=""),"",AVERAGE(Match_Data!M509:N509))</x:f>
      </x:c>
      <x:c r="I509" t="str">
        <x:f>IF(OR(Match_Data!O509="",Match_Data!Q509=""),"",Match_Data!O509+Match_Data!Q509)</x:f>
      </x:c>
      <x:c r="J509" t="str">
        <x:f>IF(OR(Match_Data!P509="",Match_Data!R509=""),"",Match_Data!P509+Match_Data!R509)</x:f>
      </x:c>
      <x:c r="K509" t="str">
        <x:f>IF(OR(Match_Data!S509="",Match_Data!T509=""),"",Match_Data!S509+Match_Data!T509)</x:f>
      </x:c>
      <x:c r="L509" t="str">
        <x:f>IF(OR(Match_Data!U509="",Match_Data!V509=""),"",Match_Data!U509-Match_Data!V509)</x:f>
      </x:c>
      <x:c r="M509" s="32" t="str">
        <x:f>IF(Match_Data!Y509="","",1/Match_Data!Y509)</x:f>
      </x:c>
      <x:c r="N509" s="32" t="str">
        <x:f>IF(Match_Data!AA509="","",1/Match_Data!AA509)</x:f>
      </x:c>
      <x:c r="O509" s="32" t="str">
        <x:f>IF(OR(M509="",N509=""),"",N509-M509)</x:f>
      </x:c>
      <x:c r="P509" t="str">
        <x:f>IF(Match_Data!J509="","",IF(Match_Data!J509="OVER",1,0))</x:f>
      </x:c>
    </x:row>
    <x:row r="510">
      <x:c r="A510" t="n">
        <x:f>Match_Data!A510</x:f>
        <x:v>0</x:v>
      </x:c>
      <x:c r="B510" s="28" t="n">
        <x:f>Match_Data!B510</x:f>
        <x:v>0</x:v>
      </x:c>
      <x:c r="C510" t="n">
        <x:f>Match_Data!C510</x:f>
        <x:v>0</x:v>
      </x:c>
      <x:c r="D510" t="n">
        <x:f>Match_Data!E510</x:f>
        <x:v>0</x:v>
      </x:c>
      <x:c r="E510" t="n">
        <x:f>Match_Data!F510</x:f>
        <x:v>0</x:v>
      </x:c>
      <x:c r="F510" t="n">
        <x:f>Match_Data!AC510</x:f>
        <x:v>0</x:v>
      </x:c>
      <x:c r="G510" t="str">
        <x:f>IF(OR(Match_Data!K510="",Match_Data!L510=""),"",AVERAGE(Match_Data!K510:L510))</x:f>
      </x:c>
      <x:c r="H510" t="str">
        <x:f>IF(OR(Match_Data!M510="",Match_Data!N510=""),"",AVERAGE(Match_Data!M510:N510))</x:f>
      </x:c>
      <x:c r="I510" t="str">
        <x:f>IF(OR(Match_Data!O510="",Match_Data!Q510=""),"",Match_Data!O510+Match_Data!Q510)</x:f>
      </x:c>
      <x:c r="J510" t="str">
        <x:f>IF(OR(Match_Data!P510="",Match_Data!R510=""),"",Match_Data!P510+Match_Data!R510)</x:f>
      </x:c>
      <x:c r="K510" t="str">
        <x:f>IF(OR(Match_Data!S510="",Match_Data!T510=""),"",Match_Data!S510+Match_Data!T510)</x:f>
      </x:c>
      <x:c r="L510" t="str">
        <x:f>IF(OR(Match_Data!U510="",Match_Data!V510=""),"",Match_Data!U510-Match_Data!V510)</x:f>
      </x:c>
      <x:c r="M510" s="32" t="str">
        <x:f>IF(Match_Data!Y510="","",1/Match_Data!Y510)</x:f>
      </x:c>
      <x:c r="N510" s="32" t="str">
        <x:f>IF(Match_Data!AA510="","",1/Match_Data!AA510)</x:f>
      </x:c>
      <x:c r="O510" s="32" t="str">
        <x:f>IF(OR(M510="",N510=""),"",N510-M510)</x:f>
      </x:c>
      <x:c r="P510" t="str">
        <x:f>IF(Match_Data!J510="","",IF(Match_Data!J510="OVER",1,0))</x:f>
      </x:c>
    </x:row>
    <x:row r="511">
      <x:c r="A511" t="n">
        <x:f>Match_Data!A511</x:f>
        <x:v>0</x:v>
      </x:c>
      <x:c r="B511" s="28" t="n">
        <x:f>Match_Data!B511</x:f>
        <x:v>0</x:v>
      </x:c>
      <x:c r="C511" t="n">
        <x:f>Match_Data!C511</x:f>
        <x:v>0</x:v>
      </x:c>
      <x:c r="D511" t="n">
        <x:f>Match_Data!E511</x:f>
        <x:v>0</x:v>
      </x:c>
      <x:c r="E511" t="n">
        <x:f>Match_Data!F511</x:f>
        <x:v>0</x:v>
      </x:c>
      <x:c r="F511" t="n">
        <x:f>Match_Data!AC511</x:f>
        <x:v>0</x:v>
      </x:c>
      <x:c r="G511" t="str">
        <x:f>IF(OR(Match_Data!K511="",Match_Data!L511=""),"",AVERAGE(Match_Data!K511:L511))</x:f>
      </x:c>
      <x:c r="H511" t="str">
        <x:f>IF(OR(Match_Data!M511="",Match_Data!N511=""),"",AVERAGE(Match_Data!M511:N511))</x:f>
      </x:c>
      <x:c r="I511" t="str">
        <x:f>IF(OR(Match_Data!O511="",Match_Data!Q511=""),"",Match_Data!O511+Match_Data!Q511)</x:f>
      </x:c>
      <x:c r="J511" t="str">
        <x:f>IF(OR(Match_Data!P511="",Match_Data!R511=""),"",Match_Data!P511+Match_Data!R511)</x:f>
      </x:c>
      <x:c r="K511" t="str">
        <x:f>IF(OR(Match_Data!S511="",Match_Data!T511=""),"",Match_Data!S511+Match_Data!T511)</x:f>
      </x:c>
      <x:c r="L511" t="str">
        <x:f>IF(OR(Match_Data!U511="",Match_Data!V511=""),"",Match_Data!U511-Match_Data!V511)</x:f>
      </x:c>
      <x:c r="M511" s="32" t="str">
        <x:f>IF(Match_Data!Y511="","",1/Match_Data!Y511)</x:f>
      </x:c>
      <x:c r="N511" s="32" t="str">
        <x:f>IF(Match_Data!AA511="","",1/Match_Data!AA511)</x:f>
      </x:c>
      <x:c r="O511" s="32" t="str">
        <x:f>IF(OR(M511="",N511=""),"",N511-M511)</x:f>
      </x:c>
      <x:c r="P511" t="str">
        <x:f>IF(Match_Data!J511="","",IF(Match_Data!J511="OVER",1,0))</x:f>
      </x:c>
    </x:row>
    <x:row r="512">
      <x:c r="A512" t="n">
        <x:f>Match_Data!A512</x:f>
        <x:v>0</x:v>
      </x:c>
      <x:c r="B512" s="28" t="n">
        <x:f>Match_Data!B512</x:f>
        <x:v>0</x:v>
      </x:c>
      <x:c r="C512" t="n">
        <x:f>Match_Data!C512</x:f>
        <x:v>0</x:v>
      </x:c>
      <x:c r="D512" t="n">
        <x:f>Match_Data!E512</x:f>
        <x:v>0</x:v>
      </x:c>
      <x:c r="E512" t="n">
        <x:f>Match_Data!F512</x:f>
        <x:v>0</x:v>
      </x:c>
      <x:c r="F512" t="n">
        <x:f>Match_Data!AC512</x:f>
        <x:v>0</x:v>
      </x:c>
      <x:c r="G512" t="str">
        <x:f>IF(OR(Match_Data!K512="",Match_Data!L512=""),"",AVERAGE(Match_Data!K512:L512))</x:f>
      </x:c>
      <x:c r="H512" t="str">
        <x:f>IF(OR(Match_Data!M512="",Match_Data!N512=""),"",AVERAGE(Match_Data!M512:N512))</x:f>
      </x:c>
      <x:c r="I512" t="str">
        <x:f>IF(OR(Match_Data!O512="",Match_Data!Q512=""),"",Match_Data!O512+Match_Data!Q512)</x:f>
      </x:c>
      <x:c r="J512" t="str">
        <x:f>IF(OR(Match_Data!P512="",Match_Data!R512=""),"",Match_Data!P512+Match_Data!R512)</x:f>
      </x:c>
      <x:c r="K512" t="str">
        <x:f>IF(OR(Match_Data!S512="",Match_Data!T512=""),"",Match_Data!S512+Match_Data!T512)</x:f>
      </x:c>
      <x:c r="L512" t="str">
        <x:f>IF(OR(Match_Data!U512="",Match_Data!V512=""),"",Match_Data!U512-Match_Data!V512)</x:f>
      </x:c>
      <x:c r="M512" s="32" t="str">
        <x:f>IF(Match_Data!Y512="","",1/Match_Data!Y512)</x:f>
      </x:c>
      <x:c r="N512" s="32" t="str">
        <x:f>IF(Match_Data!AA512="","",1/Match_Data!AA512)</x:f>
      </x:c>
      <x:c r="O512" s="32" t="str">
        <x:f>IF(OR(M512="",N512=""),"",N512-M512)</x:f>
      </x:c>
      <x:c r="P512" t="str">
        <x:f>IF(Match_Data!J512="","",IF(Match_Data!J512="OVER",1,0))</x:f>
      </x:c>
    </x:row>
    <x:row r="513">
      <x:c r="A513" t="n">
        <x:f>Match_Data!A513</x:f>
        <x:v>0</x:v>
      </x:c>
      <x:c r="B513" s="28" t="n">
        <x:f>Match_Data!B513</x:f>
        <x:v>0</x:v>
      </x:c>
      <x:c r="C513" t="n">
        <x:f>Match_Data!C513</x:f>
        <x:v>0</x:v>
      </x:c>
      <x:c r="D513" t="n">
        <x:f>Match_Data!E513</x:f>
        <x:v>0</x:v>
      </x:c>
      <x:c r="E513" t="n">
        <x:f>Match_Data!F513</x:f>
        <x:v>0</x:v>
      </x:c>
      <x:c r="F513" t="n">
        <x:f>Match_Data!AC513</x:f>
        <x:v>0</x:v>
      </x:c>
      <x:c r="G513" t="str">
        <x:f>IF(OR(Match_Data!K513="",Match_Data!L513=""),"",AVERAGE(Match_Data!K513:L513))</x:f>
      </x:c>
      <x:c r="H513" t="str">
        <x:f>IF(OR(Match_Data!M513="",Match_Data!N513=""),"",AVERAGE(Match_Data!M513:N513))</x:f>
      </x:c>
      <x:c r="I513" t="str">
        <x:f>IF(OR(Match_Data!O513="",Match_Data!Q513=""),"",Match_Data!O513+Match_Data!Q513)</x:f>
      </x:c>
      <x:c r="J513" t="str">
        <x:f>IF(OR(Match_Data!P513="",Match_Data!R513=""),"",Match_Data!P513+Match_Data!R513)</x:f>
      </x:c>
      <x:c r="K513" t="str">
        <x:f>IF(OR(Match_Data!S513="",Match_Data!T513=""),"",Match_Data!S513+Match_Data!T513)</x:f>
      </x:c>
      <x:c r="L513" t="str">
        <x:f>IF(OR(Match_Data!U513="",Match_Data!V513=""),"",Match_Data!U513-Match_Data!V513)</x:f>
      </x:c>
      <x:c r="M513" s="32" t="str">
        <x:f>IF(Match_Data!Y513="","",1/Match_Data!Y513)</x:f>
      </x:c>
      <x:c r="N513" s="32" t="str">
        <x:f>IF(Match_Data!AA513="","",1/Match_Data!AA513)</x:f>
      </x:c>
      <x:c r="O513" s="32" t="str">
        <x:f>IF(OR(M513="",N513=""),"",N513-M513)</x:f>
      </x:c>
      <x:c r="P513" t="str">
        <x:f>IF(Match_Data!J513="","",IF(Match_Data!J513="OVER",1,0))</x:f>
      </x:c>
    </x:row>
    <x:row r="514">
      <x:c r="A514" t="n">
        <x:f>Match_Data!A514</x:f>
        <x:v>0</x:v>
      </x:c>
      <x:c r="B514" s="28" t="n">
        <x:f>Match_Data!B514</x:f>
        <x:v>0</x:v>
      </x:c>
      <x:c r="C514" t="n">
        <x:f>Match_Data!C514</x:f>
        <x:v>0</x:v>
      </x:c>
      <x:c r="D514" t="n">
        <x:f>Match_Data!E514</x:f>
        <x:v>0</x:v>
      </x:c>
      <x:c r="E514" t="n">
        <x:f>Match_Data!F514</x:f>
        <x:v>0</x:v>
      </x:c>
      <x:c r="F514" t="n">
        <x:f>Match_Data!AC514</x:f>
        <x:v>0</x:v>
      </x:c>
      <x:c r="G514" t="str">
        <x:f>IF(OR(Match_Data!K514="",Match_Data!L514=""),"",AVERAGE(Match_Data!K514:L514))</x:f>
      </x:c>
      <x:c r="H514" t="str">
        <x:f>IF(OR(Match_Data!M514="",Match_Data!N514=""),"",AVERAGE(Match_Data!M514:N514))</x:f>
      </x:c>
      <x:c r="I514" t="str">
        <x:f>IF(OR(Match_Data!O514="",Match_Data!Q514=""),"",Match_Data!O514+Match_Data!Q514)</x:f>
      </x:c>
      <x:c r="J514" t="str">
        <x:f>IF(OR(Match_Data!P514="",Match_Data!R514=""),"",Match_Data!P514+Match_Data!R514)</x:f>
      </x:c>
      <x:c r="K514" t="str">
        <x:f>IF(OR(Match_Data!S514="",Match_Data!T514=""),"",Match_Data!S514+Match_Data!T514)</x:f>
      </x:c>
      <x:c r="L514" t="str">
        <x:f>IF(OR(Match_Data!U514="",Match_Data!V514=""),"",Match_Data!U514-Match_Data!V514)</x:f>
      </x:c>
      <x:c r="M514" s="32" t="str">
        <x:f>IF(Match_Data!Y514="","",1/Match_Data!Y514)</x:f>
      </x:c>
      <x:c r="N514" s="32" t="str">
        <x:f>IF(Match_Data!AA514="","",1/Match_Data!AA514)</x:f>
      </x:c>
      <x:c r="O514" s="32" t="str">
        <x:f>IF(OR(M514="",N514=""),"",N514-M514)</x:f>
      </x:c>
      <x:c r="P514" t="str">
        <x:f>IF(Match_Data!J514="","",IF(Match_Data!J514="OVER",1,0))</x:f>
      </x:c>
    </x:row>
    <x:row r="515">
      <x:c r="A515" t="n">
        <x:f>Match_Data!A515</x:f>
        <x:v>0</x:v>
      </x:c>
      <x:c r="B515" s="28" t="n">
        <x:f>Match_Data!B515</x:f>
        <x:v>0</x:v>
      </x:c>
      <x:c r="C515" t="n">
        <x:f>Match_Data!C515</x:f>
        <x:v>0</x:v>
      </x:c>
      <x:c r="D515" t="n">
        <x:f>Match_Data!E515</x:f>
        <x:v>0</x:v>
      </x:c>
      <x:c r="E515" t="n">
        <x:f>Match_Data!F515</x:f>
        <x:v>0</x:v>
      </x:c>
      <x:c r="F515" t="n">
        <x:f>Match_Data!AC515</x:f>
        <x:v>0</x:v>
      </x:c>
      <x:c r="G515" t="str">
        <x:f>IF(OR(Match_Data!K515="",Match_Data!L515=""),"",AVERAGE(Match_Data!K515:L515))</x:f>
      </x:c>
      <x:c r="H515" t="str">
        <x:f>IF(OR(Match_Data!M515="",Match_Data!N515=""),"",AVERAGE(Match_Data!M515:N515))</x:f>
      </x:c>
      <x:c r="I515" t="str">
        <x:f>IF(OR(Match_Data!O515="",Match_Data!Q515=""),"",Match_Data!O515+Match_Data!Q515)</x:f>
      </x:c>
      <x:c r="J515" t="str">
        <x:f>IF(OR(Match_Data!P515="",Match_Data!R515=""),"",Match_Data!P515+Match_Data!R515)</x:f>
      </x:c>
      <x:c r="K515" t="str">
        <x:f>IF(OR(Match_Data!S515="",Match_Data!T515=""),"",Match_Data!S515+Match_Data!T515)</x:f>
      </x:c>
      <x:c r="L515" t="str">
        <x:f>IF(OR(Match_Data!U515="",Match_Data!V515=""),"",Match_Data!U515-Match_Data!V515)</x:f>
      </x:c>
      <x:c r="M515" s="32" t="str">
        <x:f>IF(Match_Data!Y515="","",1/Match_Data!Y515)</x:f>
      </x:c>
      <x:c r="N515" s="32" t="str">
        <x:f>IF(Match_Data!AA515="","",1/Match_Data!AA515)</x:f>
      </x:c>
      <x:c r="O515" s="32" t="str">
        <x:f>IF(OR(M515="",N515=""),"",N515-M515)</x:f>
      </x:c>
      <x:c r="P515" t="str">
        <x:f>IF(Match_Data!J515="","",IF(Match_Data!J515="OVER",1,0))</x:f>
      </x:c>
    </x:row>
    <x:row r="516">
      <x:c r="A516" t="n">
        <x:f>Match_Data!A516</x:f>
        <x:v>0</x:v>
      </x:c>
      <x:c r="B516" s="28" t="n">
        <x:f>Match_Data!B516</x:f>
        <x:v>0</x:v>
      </x:c>
      <x:c r="C516" t="n">
        <x:f>Match_Data!C516</x:f>
        <x:v>0</x:v>
      </x:c>
      <x:c r="D516" t="n">
        <x:f>Match_Data!E516</x:f>
        <x:v>0</x:v>
      </x:c>
      <x:c r="E516" t="n">
        <x:f>Match_Data!F516</x:f>
        <x:v>0</x:v>
      </x:c>
      <x:c r="F516" t="n">
        <x:f>Match_Data!AC516</x:f>
        <x:v>0</x:v>
      </x:c>
      <x:c r="G516" t="str">
        <x:f>IF(OR(Match_Data!K516="",Match_Data!L516=""),"",AVERAGE(Match_Data!K516:L516))</x:f>
      </x:c>
      <x:c r="H516" t="str">
        <x:f>IF(OR(Match_Data!M516="",Match_Data!N516=""),"",AVERAGE(Match_Data!M516:N516))</x:f>
      </x:c>
      <x:c r="I516" t="str">
        <x:f>IF(OR(Match_Data!O516="",Match_Data!Q516=""),"",Match_Data!O516+Match_Data!Q516)</x:f>
      </x:c>
      <x:c r="J516" t="str">
        <x:f>IF(OR(Match_Data!P516="",Match_Data!R516=""),"",Match_Data!P516+Match_Data!R516)</x:f>
      </x:c>
      <x:c r="K516" t="str">
        <x:f>IF(OR(Match_Data!S516="",Match_Data!T516=""),"",Match_Data!S516+Match_Data!T516)</x:f>
      </x:c>
      <x:c r="L516" t="str">
        <x:f>IF(OR(Match_Data!U516="",Match_Data!V516=""),"",Match_Data!U516-Match_Data!V516)</x:f>
      </x:c>
      <x:c r="M516" s="32" t="str">
        <x:f>IF(Match_Data!Y516="","",1/Match_Data!Y516)</x:f>
      </x:c>
      <x:c r="N516" s="32" t="str">
        <x:f>IF(Match_Data!AA516="","",1/Match_Data!AA516)</x:f>
      </x:c>
      <x:c r="O516" s="32" t="str">
        <x:f>IF(OR(M516="",N516=""),"",N516-M516)</x:f>
      </x:c>
      <x:c r="P516" t="str">
        <x:f>IF(Match_Data!J516="","",IF(Match_Data!J516="OVER",1,0))</x:f>
      </x:c>
    </x:row>
    <x:row r="517">
      <x:c r="A517" t="n">
        <x:f>Match_Data!A517</x:f>
        <x:v>0</x:v>
      </x:c>
      <x:c r="B517" s="28" t="n">
        <x:f>Match_Data!B517</x:f>
        <x:v>0</x:v>
      </x:c>
      <x:c r="C517" t="n">
        <x:f>Match_Data!C517</x:f>
        <x:v>0</x:v>
      </x:c>
      <x:c r="D517" t="n">
        <x:f>Match_Data!E517</x:f>
        <x:v>0</x:v>
      </x:c>
      <x:c r="E517" t="n">
        <x:f>Match_Data!F517</x:f>
        <x:v>0</x:v>
      </x:c>
      <x:c r="F517" t="n">
        <x:f>Match_Data!AC517</x:f>
        <x:v>0</x:v>
      </x:c>
      <x:c r="G517" t="str">
        <x:f>IF(OR(Match_Data!K517="",Match_Data!L517=""),"",AVERAGE(Match_Data!K517:L517))</x:f>
      </x:c>
      <x:c r="H517" t="str">
        <x:f>IF(OR(Match_Data!M517="",Match_Data!N517=""),"",AVERAGE(Match_Data!M517:N517))</x:f>
      </x:c>
      <x:c r="I517" t="str">
        <x:f>IF(OR(Match_Data!O517="",Match_Data!Q517=""),"",Match_Data!O517+Match_Data!Q517)</x:f>
      </x:c>
      <x:c r="J517" t="str">
        <x:f>IF(OR(Match_Data!P517="",Match_Data!R517=""),"",Match_Data!P517+Match_Data!R517)</x:f>
      </x:c>
      <x:c r="K517" t="str">
        <x:f>IF(OR(Match_Data!S517="",Match_Data!T517=""),"",Match_Data!S517+Match_Data!T517)</x:f>
      </x:c>
      <x:c r="L517" t="str">
        <x:f>IF(OR(Match_Data!U517="",Match_Data!V517=""),"",Match_Data!U517-Match_Data!V517)</x:f>
      </x:c>
      <x:c r="M517" s="32" t="str">
        <x:f>IF(Match_Data!Y517="","",1/Match_Data!Y517)</x:f>
      </x:c>
      <x:c r="N517" s="32" t="str">
        <x:f>IF(Match_Data!AA517="","",1/Match_Data!AA517)</x:f>
      </x:c>
      <x:c r="O517" s="32" t="str">
        <x:f>IF(OR(M517="",N517=""),"",N517-M517)</x:f>
      </x:c>
      <x:c r="P517" t="str">
        <x:f>IF(Match_Data!J517="","",IF(Match_Data!J517="OVER",1,0))</x:f>
      </x:c>
    </x:row>
    <x:row r="518">
      <x:c r="A518" t="n">
        <x:f>Match_Data!A518</x:f>
        <x:v>0</x:v>
      </x:c>
      <x:c r="B518" s="28" t="n">
        <x:f>Match_Data!B518</x:f>
        <x:v>0</x:v>
      </x:c>
      <x:c r="C518" t="n">
        <x:f>Match_Data!C518</x:f>
        <x:v>0</x:v>
      </x:c>
      <x:c r="D518" t="n">
        <x:f>Match_Data!E518</x:f>
        <x:v>0</x:v>
      </x:c>
      <x:c r="E518" t="n">
        <x:f>Match_Data!F518</x:f>
        <x:v>0</x:v>
      </x:c>
      <x:c r="F518" t="n">
        <x:f>Match_Data!AC518</x:f>
        <x:v>0</x:v>
      </x:c>
      <x:c r="G518" t="str">
        <x:f>IF(OR(Match_Data!K518="",Match_Data!L518=""),"",AVERAGE(Match_Data!K518:L518))</x:f>
      </x:c>
      <x:c r="H518" t="str">
        <x:f>IF(OR(Match_Data!M518="",Match_Data!N518=""),"",AVERAGE(Match_Data!M518:N518))</x:f>
      </x:c>
      <x:c r="I518" t="str">
        <x:f>IF(OR(Match_Data!O518="",Match_Data!Q518=""),"",Match_Data!O518+Match_Data!Q518)</x:f>
      </x:c>
      <x:c r="J518" t="str">
        <x:f>IF(OR(Match_Data!P518="",Match_Data!R518=""),"",Match_Data!P518+Match_Data!R518)</x:f>
      </x:c>
      <x:c r="K518" t="str">
        <x:f>IF(OR(Match_Data!S518="",Match_Data!T518=""),"",Match_Data!S518+Match_Data!T518)</x:f>
      </x:c>
      <x:c r="L518" t="str">
        <x:f>IF(OR(Match_Data!U518="",Match_Data!V518=""),"",Match_Data!U518-Match_Data!V518)</x:f>
      </x:c>
      <x:c r="M518" s="32" t="str">
        <x:f>IF(Match_Data!Y518="","",1/Match_Data!Y518)</x:f>
      </x:c>
      <x:c r="N518" s="32" t="str">
        <x:f>IF(Match_Data!AA518="","",1/Match_Data!AA518)</x:f>
      </x:c>
      <x:c r="O518" s="32" t="str">
        <x:f>IF(OR(M518="",N518=""),"",N518-M518)</x:f>
      </x:c>
      <x:c r="P518" t="str">
        <x:f>IF(Match_Data!J518="","",IF(Match_Data!J518="OVER",1,0))</x:f>
      </x:c>
    </x:row>
    <x:row r="519">
      <x:c r="A519" t="n">
        <x:f>Match_Data!A519</x:f>
        <x:v>0</x:v>
      </x:c>
      <x:c r="B519" s="28" t="n">
        <x:f>Match_Data!B519</x:f>
        <x:v>0</x:v>
      </x:c>
      <x:c r="C519" t="n">
        <x:f>Match_Data!C519</x:f>
        <x:v>0</x:v>
      </x:c>
      <x:c r="D519" t="n">
        <x:f>Match_Data!E519</x:f>
        <x:v>0</x:v>
      </x:c>
      <x:c r="E519" t="n">
        <x:f>Match_Data!F519</x:f>
        <x:v>0</x:v>
      </x:c>
      <x:c r="F519" t="n">
        <x:f>Match_Data!AC519</x:f>
        <x:v>0</x:v>
      </x:c>
      <x:c r="G519" t="str">
        <x:f>IF(OR(Match_Data!K519="",Match_Data!L519=""),"",AVERAGE(Match_Data!K519:L519))</x:f>
      </x:c>
      <x:c r="H519" t="str">
        <x:f>IF(OR(Match_Data!M519="",Match_Data!N519=""),"",AVERAGE(Match_Data!M519:N519))</x:f>
      </x:c>
      <x:c r="I519" t="str">
        <x:f>IF(OR(Match_Data!O519="",Match_Data!Q519=""),"",Match_Data!O519+Match_Data!Q519)</x:f>
      </x:c>
      <x:c r="J519" t="str">
        <x:f>IF(OR(Match_Data!P519="",Match_Data!R519=""),"",Match_Data!P519+Match_Data!R519)</x:f>
      </x:c>
      <x:c r="K519" t="str">
        <x:f>IF(OR(Match_Data!S519="",Match_Data!T519=""),"",Match_Data!S519+Match_Data!T519)</x:f>
      </x:c>
      <x:c r="L519" t="str">
        <x:f>IF(OR(Match_Data!U519="",Match_Data!V519=""),"",Match_Data!U519-Match_Data!V519)</x:f>
      </x:c>
      <x:c r="M519" s="32" t="str">
        <x:f>IF(Match_Data!Y519="","",1/Match_Data!Y519)</x:f>
      </x:c>
      <x:c r="N519" s="32" t="str">
        <x:f>IF(Match_Data!AA519="","",1/Match_Data!AA519)</x:f>
      </x:c>
      <x:c r="O519" s="32" t="str">
        <x:f>IF(OR(M519="",N519=""),"",N519-M519)</x:f>
      </x:c>
      <x:c r="P519" t="str">
        <x:f>IF(Match_Data!J519="","",IF(Match_Data!J519="OVER",1,0))</x:f>
      </x:c>
    </x:row>
    <x:row r="520">
      <x:c r="A520" t="n">
        <x:f>Match_Data!A520</x:f>
        <x:v>0</x:v>
      </x:c>
      <x:c r="B520" s="28" t="n">
        <x:f>Match_Data!B520</x:f>
        <x:v>0</x:v>
      </x:c>
      <x:c r="C520" t="n">
        <x:f>Match_Data!C520</x:f>
        <x:v>0</x:v>
      </x:c>
      <x:c r="D520" t="n">
        <x:f>Match_Data!E520</x:f>
        <x:v>0</x:v>
      </x:c>
      <x:c r="E520" t="n">
        <x:f>Match_Data!F520</x:f>
        <x:v>0</x:v>
      </x:c>
      <x:c r="F520" t="n">
        <x:f>Match_Data!AC520</x:f>
        <x:v>0</x:v>
      </x:c>
      <x:c r="G520" t="str">
        <x:f>IF(OR(Match_Data!K520="",Match_Data!L520=""),"",AVERAGE(Match_Data!K520:L520))</x:f>
      </x:c>
      <x:c r="H520" t="str">
        <x:f>IF(OR(Match_Data!M520="",Match_Data!N520=""),"",AVERAGE(Match_Data!M520:N520))</x:f>
      </x:c>
      <x:c r="I520" t="str">
        <x:f>IF(OR(Match_Data!O520="",Match_Data!Q520=""),"",Match_Data!O520+Match_Data!Q520)</x:f>
      </x:c>
      <x:c r="J520" t="str">
        <x:f>IF(OR(Match_Data!P520="",Match_Data!R520=""),"",Match_Data!P520+Match_Data!R520)</x:f>
      </x:c>
      <x:c r="K520" t="str">
        <x:f>IF(OR(Match_Data!S520="",Match_Data!T520=""),"",Match_Data!S520+Match_Data!T520)</x:f>
      </x:c>
      <x:c r="L520" t="str">
        <x:f>IF(OR(Match_Data!U520="",Match_Data!V520=""),"",Match_Data!U520-Match_Data!V520)</x:f>
      </x:c>
      <x:c r="M520" s="32" t="str">
        <x:f>IF(Match_Data!Y520="","",1/Match_Data!Y520)</x:f>
      </x:c>
      <x:c r="N520" s="32" t="str">
        <x:f>IF(Match_Data!AA520="","",1/Match_Data!AA520)</x:f>
      </x:c>
      <x:c r="O520" s="32" t="str">
        <x:f>IF(OR(M520="",N520=""),"",N520-M520)</x:f>
      </x:c>
      <x:c r="P520" t="str">
        <x:f>IF(Match_Data!J520="","",IF(Match_Data!J520="OVER",1,0))</x:f>
      </x:c>
    </x:row>
    <x:row r="521">
      <x:c r="A521" t="n">
        <x:f>Match_Data!A521</x:f>
        <x:v>0</x:v>
      </x:c>
      <x:c r="B521" s="28" t="n">
        <x:f>Match_Data!B521</x:f>
        <x:v>0</x:v>
      </x:c>
      <x:c r="C521" t="n">
        <x:f>Match_Data!C521</x:f>
        <x:v>0</x:v>
      </x:c>
      <x:c r="D521" t="n">
        <x:f>Match_Data!E521</x:f>
        <x:v>0</x:v>
      </x:c>
      <x:c r="E521" t="n">
        <x:f>Match_Data!F521</x:f>
        <x:v>0</x:v>
      </x:c>
      <x:c r="F521" t="n">
        <x:f>Match_Data!AC521</x:f>
        <x:v>0</x:v>
      </x:c>
      <x:c r="G521" t="str">
        <x:f>IF(OR(Match_Data!K521="",Match_Data!L521=""),"",AVERAGE(Match_Data!K521:L521))</x:f>
      </x:c>
      <x:c r="H521" t="str">
        <x:f>IF(OR(Match_Data!M521="",Match_Data!N521=""),"",AVERAGE(Match_Data!M521:N521))</x:f>
      </x:c>
      <x:c r="I521" t="str">
        <x:f>IF(OR(Match_Data!O521="",Match_Data!Q521=""),"",Match_Data!O521+Match_Data!Q521)</x:f>
      </x:c>
      <x:c r="J521" t="str">
        <x:f>IF(OR(Match_Data!P521="",Match_Data!R521=""),"",Match_Data!P521+Match_Data!R521)</x:f>
      </x:c>
      <x:c r="K521" t="str">
        <x:f>IF(OR(Match_Data!S521="",Match_Data!T521=""),"",Match_Data!S521+Match_Data!T521)</x:f>
      </x:c>
      <x:c r="L521" t="str">
        <x:f>IF(OR(Match_Data!U521="",Match_Data!V521=""),"",Match_Data!U521-Match_Data!V521)</x:f>
      </x:c>
      <x:c r="M521" s="32" t="str">
        <x:f>IF(Match_Data!Y521="","",1/Match_Data!Y521)</x:f>
      </x:c>
      <x:c r="N521" s="32" t="str">
        <x:f>IF(Match_Data!AA521="","",1/Match_Data!AA521)</x:f>
      </x:c>
      <x:c r="O521" s="32" t="str">
        <x:f>IF(OR(M521="",N521=""),"",N521-M521)</x:f>
      </x:c>
      <x:c r="P521" t="str">
        <x:f>IF(Match_Data!J521="","",IF(Match_Data!J521="OVER",1,0))</x:f>
      </x:c>
    </x:row>
    <x:row r="522">
      <x:c r="A522" t="n">
        <x:f>Match_Data!A522</x:f>
        <x:v>0</x:v>
      </x:c>
      <x:c r="B522" s="28" t="n">
        <x:f>Match_Data!B522</x:f>
        <x:v>0</x:v>
      </x:c>
      <x:c r="C522" t="n">
        <x:f>Match_Data!C522</x:f>
        <x:v>0</x:v>
      </x:c>
      <x:c r="D522" t="n">
        <x:f>Match_Data!E522</x:f>
        <x:v>0</x:v>
      </x:c>
      <x:c r="E522" t="n">
        <x:f>Match_Data!F522</x:f>
        <x:v>0</x:v>
      </x:c>
      <x:c r="F522" t="n">
        <x:f>Match_Data!AC522</x:f>
        <x:v>0</x:v>
      </x:c>
      <x:c r="G522" t="str">
        <x:f>IF(OR(Match_Data!K522="",Match_Data!L522=""),"",AVERAGE(Match_Data!K522:L522))</x:f>
      </x:c>
      <x:c r="H522" t="str">
        <x:f>IF(OR(Match_Data!M522="",Match_Data!N522=""),"",AVERAGE(Match_Data!M522:N522))</x:f>
      </x:c>
      <x:c r="I522" t="str">
        <x:f>IF(OR(Match_Data!O522="",Match_Data!Q522=""),"",Match_Data!O522+Match_Data!Q522)</x:f>
      </x:c>
      <x:c r="J522" t="str">
        <x:f>IF(OR(Match_Data!P522="",Match_Data!R522=""),"",Match_Data!P522+Match_Data!R522)</x:f>
      </x:c>
      <x:c r="K522" t="str">
        <x:f>IF(OR(Match_Data!S522="",Match_Data!T522=""),"",Match_Data!S522+Match_Data!T522)</x:f>
      </x:c>
      <x:c r="L522" t="str">
        <x:f>IF(OR(Match_Data!U522="",Match_Data!V522=""),"",Match_Data!U522-Match_Data!V522)</x:f>
      </x:c>
      <x:c r="M522" s="32" t="str">
        <x:f>IF(Match_Data!Y522="","",1/Match_Data!Y522)</x:f>
      </x:c>
      <x:c r="N522" s="32" t="str">
        <x:f>IF(Match_Data!AA522="","",1/Match_Data!AA522)</x:f>
      </x:c>
      <x:c r="O522" s="32" t="str">
        <x:f>IF(OR(M522="",N522=""),"",N522-M522)</x:f>
      </x:c>
      <x:c r="P522" t="str">
        <x:f>IF(Match_Data!J522="","",IF(Match_Data!J522="OVER",1,0))</x:f>
      </x:c>
    </x:row>
    <x:row r="523">
      <x:c r="A523" t="n">
        <x:f>Match_Data!A523</x:f>
        <x:v>0</x:v>
      </x:c>
      <x:c r="B523" s="28" t="n">
        <x:f>Match_Data!B523</x:f>
        <x:v>0</x:v>
      </x:c>
      <x:c r="C523" t="n">
        <x:f>Match_Data!C523</x:f>
        <x:v>0</x:v>
      </x:c>
      <x:c r="D523" t="n">
        <x:f>Match_Data!E523</x:f>
        <x:v>0</x:v>
      </x:c>
      <x:c r="E523" t="n">
        <x:f>Match_Data!F523</x:f>
        <x:v>0</x:v>
      </x:c>
      <x:c r="F523" t="n">
        <x:f>Match_Data!AC523</x:f>
        <x:v>0</x:v>
      </x:c>
      <x:c r="G523" t="str">
        <x:f>IF(OR(Match_Data!K523="",Match_Data!L523=""),"",AVERAGE(Match_Data!K523:L523))</x:f>
      </x:c>
      <x:c r="H523" t="str">
        <x:f>IF(OR(Match_Data!M523="",Match_Data!N523=""),"",AVERAGE(Match_Data!M523:N523))</x:f>
      </x:c>
      <x:c r="I523" t="str">
        <x:f>IF(OR(Match_Data!O523="",Match_Data!Q523=""),"",Match_Data!O523+Match_Data!Q523)</x:f>
      </x:c>
      <x:c r="J523" t="str">
        <x:f>IF(OR(Match_Data!P523="",Match_Data!R523=""),"",Match_Data!P523+Match_Data!R523)</x:f>
      </x:c>
      <x:c r="K523" t="str">
        <x:f>IF(OR(Match_Data!S523="",Match_Data!T523=""),"",Match_Data!S523+Match_Data!T523)</x:f>
      </x:c>
      <x:c r="L523" t="str">
        <x:f>IF(OR(Match_Data!U523="",Match_Data!V523=""),"",Match_Data!U523-Match_Data!V523)</x:f>
      </x:c>
      <x:c r="M523" s="32" t="str">
        <x:f>IF(Match_Data!Y523="","",1/Match_Data!Y523)</x:f>
      </x:c>
      <x:c r="N523" s="32" t="str">
        <x:f>IF(Match_Data!AA523="","",1/Match_Data!AA523)</x:f>
      </x:c>
      <x:c r="O523" s="32" t="str">
        <x:f>IF(OR(M523="",N523=""),"",N523-M523)</x:f>
      </x:c>
      <x:c r="P523" t="str">
        <x:f>IF(Match_Data!J523="","",IF(Match_Data!J523="OVER",1,0))</x:f>
      </x:c>
    </x:row>
    <x:row r="524">
      <x:c r="A524" t="n">
        <x:f>Match_Data!A524</x:f>
        <x:v>0</x:v>
      </x:c>
      <x:c r="B524" s="28" t="n">
        <x:f>Match_Data!B524</x:f>
        <x:v>0</x:v>
      </x:c>
      <x:c r="C524" t="n">
        <x:f>Match_Data!C524</x:f>
        <x:v>0</x:v>
      </x:c>
      <x:c r="D524" t="n">
        <x:f>Match_Data!E524</x:f>
        <x:v>0</x:v>
      </x:c>
      <x:c r="E524" t="n">
        <x:f>Match_Data!F524</x:f>
        <x:v>0</x:v>
      </x:c>
      <x:c r="F524" t="n">
        <x:f>Match_Data!AC524</x:f>
        <x:v>0</x:v>
      </x:c>
      <x:c r="G524" t="str">
        <x:f>IF(OR(Match_Data!K524="",Match_Data!L524=""),"",AVERAGE(Match_Data!K524:L524))</x:f>
      </x:c>
      <x:c r="H524" t="str">
        <x:f>IF(OR(Match_Data!M524="",Match_Data!N524=""),"",AVERAGE(Match_Data!M524:N524))</x:f>
      </x:c>
      <x:c r="I524" t="str">
        <x:f>IF(OR(Match_Data!O524="",Match_Data!Q524=""),"",Match_Data!O524+Match_Data!Q524)</x:f>
      </x:c>
      <x:c r="J524" t="str">
        <x:f>IF(OR(Match_Data!P524="",Match_Data!R524=""),"",Match_Data!P524+Match_Data!R524)</x:f>
      </x:c>
      <x:c r="K524" t="str">
        <x:f>IF(OR(Match_Data!S524="",Match_Data!T524=""),"",Match_Data!S524+Match_Data!T524)</x:f>
      </x:c>
      <x:c r="L524" t="str">
        <x:f>IF(OR(Match_Data!U524="",Match_Data!V524=""),"",Match_Data!U524-Match_Data!V524)</x:f>
      </x:c>
      <x:c r="M524" s="32" t="str">
        <x:f>IF(Match_Data!Y524="","",1/Match_Data!Y524)</x:f>
      </x:c>
      <x:c r="N524" s="32" t="str">
        <x:f>IF(Match_Data!AA524="","",1/Match_Data!AA524)</x:f>
      </x:c>
      <x:c r="O524" s="32" t="str">
        <x:f>IF(OR(M524="",N524=""),"",N524-M524)</x:f>
      </x:c>
      <x:c r="P524" t="str">
        <x:f>IF(Match_Data!J524="","",IF(Match_Data!J524="OVER",1,0))</x:f>
      </x:c>
    </x:row>
    <x:row r="525">
      <x:c r="A525" t="n">
        <x:f>Match_Data!A525</x:f>
        <x:v>0</x:v>
      </x:c>
      <x:c r="B525" s="28" t="n">
        <x:f>Match_Data!B525</x:f>
        <x:v>0</x:v>
      </x:c>
      <x:c r="C525" t="n">
        <x:f>Match_Data!C525</x:f>
        <x:v>0</x:v>
      </x:c>
      <x:c r="D525" t="n">
        <x:f>Match_Data!E525</x:f>
        <x:v>0</x:v>
      </x:c>
      <x:c r="E525" t="n">
        <x:f>Match_Data!F525</x:f>
        <x:v>0</x:v>
      </x:c>
      <x:c r="F525" t="n">
        <x:f>Match_Data!AC525</x:f>
        <x:v>0</x:v>
      </x:c>
      <x:c r="G525" t="str">
        <x:f>IF(OR(Match_Data!K525="",Match_Data!L525=""),"",AVERAGE(Match_Data!K525:L525))</x:f>
      </x:c>
      <x:c r="H525" t="str">
        <x:f>IF(OR(Match_Data!M525="",Match_Data!N525=""),"",AVERAGE(Match_Data!M525:N525))</x:f>
      </x:c>
      <x:c r="I525" t="str">
        <x:f>IF(OR(Match_Data!O525="",Match_Data!Q525=""),"",Match_Data!O525+Match_Data!Q525)</x:f>
      </x:c>
      <x:c r="J525" t="str">
        <x:f>IF(OR(Match_Data!P525="",Match_Data!R525=""),"",Match_Data!P525+Match_Data!R525)</x:f>
      </x:c>
      <x:c r="K525" t="str">
        <x:f>IF(OR(Match_Data!S525="",Match_Data!T525=""),"",Match_Data!S525+Match_Data!T525)</x:f>
      </x:c>
      <x:c r="L525" t="str">
        <x:f>IF(OR(Match_Data!U525="",Match_Data!V525=""),"",Match_Data!U525-Match_Data!V525)</x:f>
      </x:c>
      <x:c r="M525" s="32" t="str">
        <x:f>IF(Match_Data!Y525="","",1/Match_Data!Y525)</x:f>
      </x:c>
      <x:c r="N525" s="32" t="str">
        <x:f>IF(Match_Data!AA525="","",1/Match_Data!AA525)</x:f>
      </x:c>
      <x:c r="O525" s="32" t="str">
        <x:f>IF(OR(M525="",N525=""),"",N525-M525)</x:f>
      </x:c>
      <x:c r="P525" t="str">
        <x:f>IF(Match_Data!J525="","",IF(Match_Data!J525="OVER",1,0))</x:f>
      </x:c>
    </x:row>
    <x:row r="526">
      <x:c r="A526" t="n">
        <x:f>Match_Data!A526</x:f>
        <x:v>0</x:v>
      </x:c>
      <x:c r="B526" s="28" t="n">
        <x:f>Match_Data!B526</x:f>
        <x:v>0</x:v>
      </x:c>
      <x:c r="C526" t="n">
        <x:f>Match_Data!C526</x:f>
        <x:v>0</x:v>
      </x:c>
      <x:c r="D526" t="n">
        <x:f>Match_Data!E526</x:f>
        <x:v>0</x:v>
      </x:c>
      <x:c r="E526" t="n">
        <x:f>Match_Data!F526</x:f>
        <x:v>0</x:v>
      </x:c>
      <x:c r="F526" t="n">
        <x:f>Match_Data!AC526</x:f>
        <x:v>0</x:v>
      </x:c>
      <x:c r="G526" t="str">
        <x:f>IF(OR(Match_Data!K526="",Match_Data!L526=""),"",AVERAGE(Match_Data!K526:L526))</x:f>
      </x:c>
      <x:c r="H526" t="str">
        <x:f>IF(OR(Match_Data!M526="",Match_Data!N526=""),"",AVERAGE(Match_Data!M526:N526))</x:f>
      </x:c>
      <x:c r="I526" t="str">
        <x:f>IF(OR(Match_Data!O526="",Match_Data!Q526=""),"",Match_Data!O526+Match_Data!Q526)</x:f>
      </x:c>
      <x:c r="J526" t="str">
        <x:f>IF(OR(Match_Data!P526="",Match_Data!R526=""),"",Match_Data!P526+Match_Data!R526)</x:f>
      </x:c>
      <x:c r="K526" t="str">
        <x:f>IF(OR(Match_Data!S526="",Match_Data!T526=""),"",Match_Data!S526+Match_Data!T526)</x:f>
      </x:c>
      <x:c r="L526" t="str">
        <x:f>IF(OR(Match_Data!U526="",Match_Data!V526=""),"",Match_Data!U526-Match_Data!V526)</x:f>
      </x:c>
      <x:c r="M526" s="32" t="str">
        <x:f>IF(Match_Data!Y526="","",1/Match_Data!Y526)</x:f>
      </x:c>
      <x:c r="N526" s="32" t="str">
        <x:f>IF(Match_Data!AA526="","",1/Match_Data!AA526)</x:f>
      </x:c>
      <x:c r="O526" s="32" t="str">
        <x:f>IF(OR(M526="",N526=""),"",N526-M526)</x:f>
      </x:c>
      <x:c r="P526" t="str">
        <x:f>IF(Match_Data!J526="","",IF(Match_Data!J526="OVER",1,0))</x:f>
      </x:c>
    </x:row>
    <x:row r="527">
      <x:c r="A527" t="n">
        <x:f>Match_Data!A527</x:f>
        <x:v>0</x:v>
      </x:c>
      <x:c r="B527" s="28" t="n">
        <x:f>Match_Data!B527</x:f>
        <x:v>0</x:v>
      </x:c>
      <x:c r="C527" t="n">
        <x:f>Match_Data!C527</x:f>
        <x:v>0</x:v>
      </x:c>
      <x:c r="D527" t="n">
        <x:f>Match_Data!E527</x:f>
        <x:v>0</x:v>
      </x:c>
      <x:c r="E527" t="n">
        <x:f>Match_Data!F527</x:f>
        <x:v>0</x:v>
      </x:c>
      <x:c r="F527" t="n">
        <x:f>Match_Data!AC527</x:f>
        <x:v>0</x:v>
      </x:c>
      <x:c r="G527" t="str">
        <x:f>IF(OR(Match_Data!K527="",Match_Data!L527=""),"",AVERAGE(Match_Data!K527:L527))</x:f>
      </x:c>
      <x:c r="H527" t="str">
        <x:f>IF(OR(Match_Data!M527="",Match_Data!N527=""),"",AVERAGE(Match_Data!M527:N527))</x:f>
      </x:c>
      <x:c r="I527" t="str">
        <x:f>IF(OR(Match_Data!O527="",Match_Data!Q527=""),"",Match_Data!O527+Match_Data!Q527)</x:f>
      </x:c>
      <x:c r="J527" t="str">
        <x:f>IF(OR(Match_Data!P527="",Match_Data!R527=""),"",Match_Data!P527+Match_Data!R527)</x:f>
      </x:c>
      <x:c r="K527" t="str">
        <x:f>IF(OR(Match_Data!S527="",Match_Data!T527=""),"",Match_Data!S527+Match_Data!T527)</x:f>
      </x:c>
      <x:c r="L527" t="str">
        <x:f>IF(OR(Match_Data!U527="",Match_Data!V527=""),"",Match_Data!U527-Match_Data!V527)</x:f>
      </x:c>
      <x:c r="M527" s="32" t="str">
        <x:f>IF(Match_Data!Y527="","",1/Match_Data!Y527)</x:f>
      </x:c>
      <x:c r="N527" s="32" t="str">
        <x:f>IF(Match_Data!AA527="","",1/Match_Data!AA527)</x:f>
      </x:c>
      <x:c r="O527" s="32" t="str">
        <x:f>IF(OR(M527="",N527=""),"",N527-M527)</x:f>
      </x:c>
      <x:c r="P527" t="str">
        <x:f>IF(Match_Data!J527="","",IF(Match_Data!J527="OVER",1,0))</x:f>
      </x:c>
    </x:row>
    <x:row r="528">
      <x:c r="A528" t="n">
        <x:f>Match_Data!A528</x:f>
        <x:v>0</x:v>
      </x:c>
      <x:c r="B528" s="28" t="n">
        <x:f>Match_Data!B528</x:f>
        <x:v>0</x:v>
      </x:c>
      <x:c r="C528" t="n">
        <x:f>Match_Data!C528</x:f>
        <x:v>0</x:v>
      </x:c>
      <x:c r="D528" t="n">
        <x:f>Match_Data!E528</x:f>
        <x:v>0</x:v>
      </x:c>
      <x:c r="E528" t="n">
        <x:f>Match_Data!F528</x:f>
        <x:v>0</x:v>
      </x:c>
      <x:c r="F528" t="n">
        <x:f>Match_Data!AC528</x:f>
        <x:v>0</x:v>
      </x:c>
      <x:c r="G528" t="str">
        <x:f>IF(OR(Match_Data!K528="",Match_Data!L528=""),"",AVERAGE(Match_Data!K528:L528))</x:f>
      </x:c>
      <x:c r="H528" t="str">
        <x:f>IF(OR(Match_Data!M528="",Match_Data!N528=""),"",AVERAGE(Match_Data!M528:N528))</x:f>
      </x:c>
      <x:c r="I528" t="str">
        <x:f>IF(OR(Match_Data!O528="",Match_Data!Q528=""),"",Match_Data!O528+Match_Data!Q528)</x:f>
      </x:c>
      <x:c r="J528" t="str">
        <x:f>IF(OR(Match_Data!P528="",Match_Data!R528=""),"",Match_Data!P528+Match_Data!R528)</x:f>
      </x:c>
      <x:c r="K528" t="str">
        <x:f>IF(OR(Match_Data!S528="",Match_Data!T528=""),"",Match_Data!S528+Match_Data!T528)</x:f>
      </x:c>
      <x:c r="L528" t="str">
        <x:f>IF(OR(Match_Data!U528="",Match_Data!V528=""),"",Match_Data!U528-Match_Data!V528)</x:f>
      </x:c>
      <x:c r="M528" s="32" t="str">
        <x:f>IF(Match_Data!Y528="","",1/Match_Data!Y528)</x:f>
      </x:c>
      <x:c r="N528" s="32" t="str">
        <x:f>IF(Match_Data!AA528="","",1/Match_Data!AA528)</x:f>
      </x:c>
      <x:c r="O528" s="32" t="str">
        <x:f>IF(OR(M528="",N528=""),"",N528-M528)</x:f>
      </x:c>
      <x:c r="P528" t="str">
        <x:f>IF(Match_Data!J528="","",IF(Match_Data!J528="OVER",1,0))</x:f>
      </x:c>
    </x:row>
    <x:row r="529">
      <x:c r="A529" t="n">
        <x:f>Match_Data!A529</x:f>
        <x:v>0</x:v>
      </x:c>
      <x:c r="B529" s="28" t="n">
        <x:f>Match_Data!B529</x:f>
        <x:v>0</x:v>
      </x:c>
      <x:c r="C529" t="n">
        <x:f>Match_Data!C529</x:f>
        <x:v>0</x:v>
      </x:c>
      <x:c r="D529" t="n">
        <x:f>Match_Data!E529</x:f>
        <x:v>0</x:v>
      </x:c>
      <x:c r="E529" t="n">
        <x:f>Match_Data!F529</x:f>
        <x:v>0</x:v>
      </x:c>
      <x:c r="F529" t="n">
        <x:f>Match_Data!AC529</x:f>
        <x:v>0</x:v>
      </x:c>
      <x:c r="G529" t="str">
        <x:f>IF(OR(Match_Data!K529="",Match_Data!L529=""),"",AVERAGE(Match_Data!K529:L529))</x:f>
      </x:c>
      <x:c r="H529" t="str">
        <x:f>IF(OR(Match_Data!M529="",Match_Data!N529=""),"",AVERAGE(Match_Data!M529:N529))</x:f>
      </x:c>
      <x:c r="I529" t="str">
        <x:f>IF(OR(Match_Data!O529="",Match_Data!Q529=""),"",Match_Data!O529+Match_Data!Q529)</x:f>
      </x:c>
      <x:c r="J529" t="str">
        <x:f>IF(OR(Match_Data!P529="",Match_Data!R529=""),"",Match_Data!P529+Match_Data!R529)</x:f>
      </x:c>
      <x:c r="K529" t="str">
        <x:f>IF(OR(Match_Data!S529="",Match_Data!T529=""),"",Match_Data!S529+Match_Data!T529)</x:f>
      </x:c>
      <x:c r="L529" t="str">
        <x:f>IF(OR(Match_Data!U529="",Match_Data!V529=""),"",Match_Data!U529-Match_Data!V529)</x:f>
      </x:c>
      <x:c r="M529" s="32" t="str">
        <x:f>IF(Match_Data!Y529="","",1/Match_Data!Y529)</x:f>
      </x:c>
      <x:c r="N529" s="32" t="str">
        <x:f>IF(Match_Data!AA529="","",1/Match_Data!AA529)</x:f>
      </x:c>
      <x:c r="O529" s="32" t="str">
        <x:f>IF(OR(M529="",N529=""),"",N529-M529)</x:f>
      </x:c>
      <x:c r="P529" t="str">
        <x:f>IF(Match_Data!J529="","",IF(Match_Data!J529="OVER",1,0))</x:f>
      </x:c>
    </x:row>
    <x:row r="530">
      <x:c r="A530" t="n">
        <x:f>Match_Data!A530</x:f>
        <x:v>0</x:v>
      </x:c>
      <x:c r="B530" s="28" t="n">
        <x:f>Match_Data!B530</x:f>
        <x:v>0</x:v>
      </x:c>
      <x:c r="C530" t="n">
        <x:f>Match_Data!C530</x:f>
        <x:v>0</x:v>
      </x:c>
      <x:c r="D530" t="n">
        <x:f>Match_Data!E530</x:f>
        <x:v>0</x:v>
      </x:c>
      <x:c r="E530" t="n">
        <x:f>Match_Data!F530</x:f>
        <x:v>0</x:v>
      </x:c>
      <x:c r="F530" t="n">
        <x:f>Match_Data!AC530</x:f>
        <x:v>0</x:v>
      </x:c>
      <x:c r="G530" t="str">
        <x:f>IF(OR(Match_Data!K530="",Match_Data!L530=""),"",AVERAGE(Match_Data!K530:L530))</x:f>
      </x:c>
      <x:c r="H530" t="str">
        <x:f>IF(OR(Match_Data!M530="",Match_Data!N530=""),"",AVERAGE(Match_Data!M530:N530))</x:f>
      </x:c>
      <x:c r="I530" t="str">
        <x:f>IF(OR(Match_Data!O530="",Match_Data!Q530=""),"",Match_Data!O530+Match_Data!Q530)</x:f>
      </x:c>
      <x:c r="J530" t="str">
        <x:f>IF(OR(Match_Data!P530="",Match_Data!R530=""),"",Match_Data!P530+Match_Data!R530)</x:f>
      </x:c>
      <x:c r="K530" t="str">
        <x:f>IF(OR(Match_Data!S530="",Match_Data!T530=""),"",Match_Data!S530+Match_Data!T530)</x:f>
      </x:c>
      <x:c r="L530" t="str">
        <x:f>IF(OR(Match_Data!U530="",Match_Data!V530=""),"",Match_Data!U530-Match_Data!V530)</x:f>
      </x:c>
      <x:c r="M530" s="32" t="str">
        <x:f>IF(Match_Data!Y530="","",1/Match_Data!Y530)</x:f>
      </x:c>
      <x:c r="N530" s="32" t="str">
        <x:f>IF(Match_Data!AA530="","",1/Match_Data!AA530)</x:f>
      </x:c>
      <x:c r="O530" s="32" t="str">
        <x:f>IF(OR(M530="",N530=""),"",N530-M530)</x:f>
      </x:c>
      <x:c r="P530" t="str">
        <x:f>IF(Match_Data!J530="","",IF(Match_Data!J530="OVER",1,0))</x:f>
      </x:c>
    </x:row>
    <x:row r="531">
      <x:c r="A531" t="n">
        <x:f>Match_Data!A531</x:f>
        <x:v>0</x:v>
      </x:c>
      <x:c r="B531" s="28" t="n">
        <x:f>Match_Data!B531</x:f>
        <x:v>0</x:v>
      </x:c>
      <x:c r="C531" t="n">
        <x:f>Match_Data!C531</x:f>
        <x:v>0</x:v>
      </x:c>
      <x:c r="D531" t="n">
        <x:f>Match_Data!E531</x:f>
        <x:v>0</x:v>
      </x:c>
      <x:c r="E531" t="n">
        <x:f>Match_Data!F531</x:f>
        <x:v>0</x:v>
      </x:c>
      <x:c r="F531" t="n">
        <x:f>Match_Data!AC531</x:f>
        <x:v>0</x:v>
      </x:c>
      <x:c r="G531" t="str">
        <x:f>IF(OR(Match_Data!K531="",Match_Data!L531=""),"",AVERAGE(Match_Data!K531:L531))</x:f>
      </x:c>
      <x:c r="H531" t="str">
        <x:f>IF(OR(Match_Data!M531="",Match_Data!N531=""),"",AVERAGE(Match_Data!M531:N531))</x:f>
      </x:c>
      <x:c r="I531" t="str">
        <x:f>IF(OR(Match_Data!O531="",Match_Data!Q531=""),"",Match_Data!O531+Match_Data!Q531)</x:f>
      </x:c>
      <x:c r="J531" t="str">
        <x:f>IF(OR(Match_Data!P531="",Match_Data!R531=""),"",Match_Data!P531+Match_Data!R531)</x:f>
      </x:c>
      <x:c r="K531" t="str">
        <x:f>IF(OR(Match_Data!S531="",Match_Data!T531=""),"",Match_Data!S531+Match_Data!T531)</x:f>
      </x:c>
      <x:c r="L531" t="str">
        <x:f>IF(OR(Match_Data!U531="",Match_Data!V531=""),"",Match_Data!U531-Match_Data!V531)</x:f>
      </x:c>
      <x:c r="M531" s="32" t="str">
        <x:f>IF(Match_Data!Y531="","",1/Match_Data!Y531)</x:f>
      </x:c>
      <x:c r="N531" s="32" t="str">
        <x:f>IF(Match_Data!AA531="","",1/Match_Data!AA531)</x:f>
      </x:c>
      <x:c r="O531" s="32" t="str">
        <x:f>IF(OR(M531="",N531=""),"",N531-M531)</x:f>
      </x:c>
      <x:c r="P531" t="str">
        <x:f>IF(Match_Data!J531="","",IF(Match_Data!J531="OVER",1,0))</x:f>
      </x:c>
    </x:row>
    <x:row r="532">
      <x:c r="A532" t="n">
        <x:f>Match_Data!A532</x:f>
        <x:v>0</x:v>
      </x:c>
      <x:c r="B532" s="28" t="n">
        <x:f>Match_Data!B532</x:f>
        <x:v>0</x:v>
      </x:c>
      <x:c r="C532" t="n">
        <x:f>Match_Data!C532</x:f>
        <x:v>0</x:v>
      </x:c>
      <x:c r="D532" t="n">
        <x:f>Match_Data!E532</x:f>
        <x:v>0</x:v>
      </x:c>
      <x:c r="E532" t="n">
        <x:f>Match_Data!F532</x:f>
        <x:v>0</x:v>
      </x:c>
      <x:c r="F532" t="n">
        <x:f>Match_Data!AC532</x:f>
        <x:v>0</x:v>
      </x:c>
      <x:c r="G532" t="str">
        <x:f>IF(OR(Match_Data!K532="",Match_Data!L532=""),"",AVERAGE(Match_Data!K532:L532))</x:f>
      </x:c>
      <x:c r="H532" t="str">
        <x:f>IF(OR(Match_Data!M532="",Match_Data!N532=""),"",AVERAGE(Match_Data!M532:N532))</x:f>
      </x:c>
      <x:c r="I532" t="str">
        <x:f>IF(OR(Match_Data!O532="",Match_Data!Q532=""),"",Match_Data!O532+Match_Data!Q532)</x:f>
      </x:c>
      <x:c r="J532" t="str">
        <x:f>IF(OR(Match_Data!P532="",Match_Data!R532=""),"",Match_Data!P532+Match_Data!R532)</x:f>
      </x:c>
      <x:c r="K532" t="str">
        <x:f>IF(OR(Match_Data!S532="",Match_Data!T532=""),"",Match_Data!S532+Match_Data!T532)</x:f>
      </x:c>
      <x:c r="L532" t="str">
        <x:f>IF(OR(Match_Data!U532="",Match_Data!V532=""),"",Match_Data!U532-Match_Data!V532)</x:f>
      </x:c>
      <x:c r="M532" s="32" t="str">
        <x:f>IF(Match_Data!Y532="","",1/Match_Data!Y532)</x:f>
      </x:c>
      <x:c r="N532" s="32" t="str">
        <x:f>IF(Match_Data!AA532="","",1/Match_Data!AA532)</x:f>
      </x:c>
      <x:c r="O532" s="32" t="str">
        <x:f>IF(OR(M532="",N532=""),"",N532-M532)</x:f>
      </x:c>
      <x:c r="P532" t="str">
        <x:f>IF(Match_Data!J532="","",IF(Match_Data!J532="OVER",1,0))</x:f>
      </x:c>
    </x:row>
    <x:row r="533">
      <x:c r="A533" t="n">
        <x:f>Match_Data!A533</x:f>
        <x:v>0</x:v>
      </x:c>
      <x:c r="B533" s="28" t="n">
        <x:f>Match_Data!B533</x:f>
        <x:v>0</x:v>
      </x:c>
      <x:c r="C533" t="n">
        <x:f>Match_Data!C533</x:f>
        <x:v>0</x:v>
      </x:c>
      <x:c r="D533" t="n">
        <x:f>Match_Data!E533</x:f>
        <x:v>0</x:v>
      </x:c>
      <x:c r="E533" t="n">
        <x:f>Match_Data!F533</x:f>
        <x:v>0</x:v>
      </x:c>
      <x:c r="F533" t="n">
        <x:f>Match_Data!AC533</x:f>
        <x:v>0</x:v>
      </x:c>
      <x:c r="G533" t="str">
        <x:f>IF(OR(Match_Data!K533="",Match_Data!L533=""),"",AVERAGE(Match_Data!K533:L533))</x:f>
      </x:c>
      <x:c r="H533" t="str">
        <x:f>IF(OR(Match_Data!M533="",Match_Data!N533=""),"",AVERAGE(Match_Data!M533:N533))</x:f>
      </x:c>
      <x:c r="I533" t="str">
        <x:f>IF(OR(Match_Data!O533="",Match_Data!Q533=""),"",Match_Data!O533+Match_Data!Q533)</x:f>
      </x:c>
      <x:c r="J533" t="str">
        <x:f>IF(OR(Match_Data!P533="",Match_Data!R533=""),"",Match_Data!P533+Match_Data!R533)</x:f>
      </x:c>
      <x:c r="K533" t="str">
        <x:f>IF(OR(Match_Data!S533="",Match_Data!T533=""),"",Match_Data!S533+Match_Data!T533)</x:f>
      </x:c>
      <x:c r="L533" t="str">
        <x:f>IF(OR(Match_Data!U533="",Match_Data!V533=""),"",Match_Data!U533-Match_Data!V533)</x:f>
      </x:c>
      <x:c r="M533" s="32" t="str">
        <x:f>IF(Match_Data!Y533="","",1/Match_Data!Y533)</x:f>
      </x:c>
      <x:c r="N533" s="32" t="str">
        <x:f>IF(Match_Data!AA533="","",1/Match_Data!AA533)</x:f>
      </x:c>
      <x:c r="O533" s="32" t="str">
        <x:f>IF(OR(M533="",N533=""),"",N533-M533)</x:f>
      </x:c>
      <x:c r="P533" t="str">
        <x:f>IF(Match_Data!J533="","",IF(Match_Data!J533="OVER",1,0))</x:f>
      </x:c>
    </x:row>
    <x:row r="534">
      <x:c r="A534" t="n">
        <x:f>Match_Data!A534</x:f>
        <x:v>0</x:v>
      </x:c>
      <x:c r="B534" s="28" t="n">
        <x:f>Match_Data!B534</x:f>
        <x:v>0</x:v>
      </x:c>
      <x:c r="C534" t="n">
        <x:f>Match_Data!C534</x:f>
        <x:v>0</x:v>
      </x:c>
      <x:c r="D534" t="n">
        <x:f>Match_Data!E534</x:f>
        <x:v>0</x:v>
      </x:c>
      <x:c r="E534" t="n">
        <x:f>Match_Data!F534</x:f>
        <x:v>0</x:v>
      </x:c>
      <x:c r="F534" t="n">
        <x:f>Match_Data!AC534</x:f>
        <x:v>0</x:v>
      </x:c>
      <x:c r="G534" t="str">
        <x:f>IF(OR(Match_Data!K534="",Match_Data!L534=""),"",AVERAGE(Match_Data!K534:L534))</x:f>
      </x:c>
      <x:c r="H534" t="str">
        <x:f>IF(OR(Match_Data!M534="",Match_Data!N534=""),"",AVERAGE(Match_Data!M534:N534))</x:f>
      </x:c>
      <x:c r="I534" t="str">
        <x:f>IF(OR(Match_Data!O534="",Match_Data!Q534=""),"",Match_Data!O534+Match_Data!Q534)</x:f>
      </x:c>
      <x:c r="J534" t="str">
        <x:f>IF(OR(Match_Data!P534="",Match_Data!R534=""),"",Match_Data!P534+Match_Data!R534)</x:f>
      </x:c>
      <x:c r="K534" t="str">
        <x:f>IF(OR(Match_Data!S534="",Match_Data!T534=""),"",Match_Data!S534+Match_Data!T534)</x:f>
      </x:c>
      <x:c r="L534" t="str">
        <x:f>IF(OR(Match_Data!U534="",Match_Data!V534=""),"",Match_Data!U534-Match_Data!V534)</x:f>
      </x:c>
      <x:c r="M534" s="32" t="str">
        <x:f>IF(Match_Data!Y534="","",1/Match_Data!Y534)</x:f>
      </x:c>
      <x:c r="N534" s="32" t="str">
        <x:f>IF(Match_Data!AA534="","",1/Match_Data!AA534)</x:f>
      </x:c>
      <x:c r="O534" s="32" t="str">
        <x:f>IF(OR(M534="",N534=""),"",N534-M534)</x:f>
      </x:c>
      <x:c r="P534" t="str">
        <x:f>IF(Match_Data!J534="","",IF(Match_Data!J534="OVER",1,0))</x:f>
      </x:c>
    </x:row>
    <x:row r="535">
      <x:c r="A535" t="n">
        <x:f>Match_Data!A535</x:f>
        <x:v>0</x:v>
      </x:c>
      <x:c r="B535" s="28" t="n">
        <x:f>Match_Data!B535</x:f>
        <x:v>0</x:v>
      </x:c>
      <x:c r="C535" t="n">
        <x:f>Match_Data!C535</x:f>
        <x:v>0</x:v>
      </x:c>
      <x:c r="D535" t="n">
        <x:f>Match_Data!E535</x:f>
        <x:v>0</x:v>
      </x:c>
      <x:c r="E535" t="n">
        <x:f>Match_Data!F535</x:f>
        <x:v>0</x:v>
      </x:c>
      <x:c r="F535" t="n">
        <x:f>Match_Data!AC535</x:f>
        <x:v>0</x:v>
      </x:c>
      <x:c r="G535" t="str">
        <x:f>IF(OR(Match_Data!K535="",Match_Data!L535=""),"",AVERAGE(Match_Data!K535:L535))</x:f>
      </x:c>
      <x:c r="H535" t="str">
        <x:f>IF(OR(Match_Data!M535="",Match_Data!N535=""),"",AVERAGE(Match_Data!M535:N535))</x:f>
      </x:c>
      <x:c r="I535" t="str">
        <x:f>IF(OR(Match_Data!O535="",Match_Data!Q535=""),"",Match_Data!O535+Match_Data!Q535)</x:f>
      </x:c>
      <x:c r="J535" t="str">
        <x:f>IF(OR(Match_Data!P535="",Match_Data!R535=""),"",Match_Data!P535+Match_Data!R535)</x:f>
      </x:c>
      <x:c r="K535" t="str">
        <x:f>IF(OR(Match_Data!S535="",Match_Data!T535=""),"",Match_Data!S535+Match_Data!T535)</x:f>
      </x:c>
      <x:c r="L535" t="str">
        <x:f>IF(OR(Match_Data!U535="",Match_Data!V535=""),"",Match_Data!U535-Match_Data!V535)</x:f>
      </x:c>
      <x:c r="M535" s="32" t="str">
        <x:f>IF(Match_Data!Y535="","",1/Match_Data!Y535)</x:f>
      </x:c>
      <x:c r="N535" s="32" t="str">
        <x:f>IF(Match_Data!AA535="","",1/Match_Data!AA535)</x:f>
      </x:c>
      <x:c r="O535" s="32" t="str">
        <x:f>IF(OR(M535="",N535=""),"",N535-M535)</x:f>
      </x:c>
      <x:c r="P535" t="str">
        <x:f>IF(Match_Data!J535="","",IF(Match_Data!J535="OVER",1,0))</x:f>
      </x:c>
    </x:row>
    <x:row r="536">
      <x:c r="A536" t="n">
        <x:f>Match_Data!A536</x:f>
        <x:v>0</x:v>
      </x:c>
      <x:c r="B536" s="28" t="n">
        <x:f>Match_Data!B536</x:f>
        <x:v>0</x:v>
      </x:c>
      <x:c r="C536" t="n">
        <x:f>Match_Data!C536</x:f>
        <x:v>0</x:v>
      </x:c>
      <x:c r="D536" t="n">
        <x:f>Match_Data!E536</x:f>
        <x:v>0</x:v>
      </x:c>
      <x:c r="E536" t="n">
        <x:f>Match_Data!F536</x:f>
        <x:v>0</x:v>
      </x:c>
      <x:c r="F536" t="n">
        <x:f>Match_Data!AC536</x:f>
        <x:v>0</x:v>
      </x:c>
      <x:c r="G536" t="str">
        <x:f>IF(OR(Match_Data!K536="",Match_Data!L536=""),"",AVERAGE(Match_Data!K536:L536))</x:f>
      </x:c>
      <x:c r="H536" t="str">
        <x:f>IF(OR(Match_Data!M536="",Match_Data!N536=""),"",AVERAGE(Match_Data!M536:N536))</x:f>
      </x:c>
      <x:c r="I536" t="str">
        <x:f>IF(OR(Match_Data!O536="",Match_Data!Q536=""),"",Match_Data!O536+Match_Data!Q536)</x:f>
      </x:c>
      <x:c r="J536" t="str">
        <x:f>IF(OR(Match_Data!P536="",Match_Data!R536=""),"",Match_Data!P536+Match_Data!R536)</x:f>
      </x:c>
      <x:c r="K536" t="str">
        <x:f>IF(OR(Match_Data!S536="",Match_Data!T536=""),"",Match_Data!S536+Match_Data!T536)</x:f>
      </x:c>
      <x:c r="L536" t="str">
        <x:f>IF(OR(Match_Data!U536="",Match_Data!V536=""),"",Match_Data!U536-Match_Data!V536)</x:f>
      </x:c>
      <x:c r="M536" s="32" t="str">
        <x:f>IF(Match_Data!Y536="","",1/Match_Data!Y536)</x:f>
      </x:c>
      <x:c r="N536" s="32" t="str">
        <x:f>IF(Match_Data!AA536="","",1/Match_Data!AA536)</x:f>
      </x:c>
      <x:c r="O536" s="32" t="str">
        <x:f>IF(OR(M536="",N536=""),"",N536-M536)</x:f>
      </x:c>
      <x:c r="P536" t="str">
        <x:f>IF(Match_Data!J536="","",IF(Match_Data!J536="OVER",1,0))</x:f>
      </x:c>
    </x:row>
    <x:row r="537">
      <x:c r="A537" t="n">
        <x:f>Match_Data!A537</x:f>
        <x:v>0</x:v>
      </x:c>
      <x:c r="B537" s="28" t="n">
        <x:f>Match_Data!B537</x:f>
        <x:v>0</x:v>
      </x:c>
      <x:c r="C537" t="n">
        <x:f>Match_Data!C537</x:f>
        <x:v>0</x:v>
      </x:c>
      <x:c r="D537" t="n">
        <x:f>Match_Data!E537</x:f>
        <x:v>0</x:v>
      </x:c>
      <x:c r="E537" t="n">
        <x:f>Match_Data!F537</x:f>
        <x:v>0</x:v>
      </x:c>
      <x:c r="F537" t="n">
        <x:f>Match_Data!AC537</x:f>
        <x:v>0</x:v>
      </x:c>
      <x:c r="G537" t="str">
        <x:f>IF(OR(Match_Data!K537="",Match_Data!L537=""),"",AVERAGE(Match_Data!K537:L537))</x:f>
      </x:c>
      <x:c r="H537" t="str">
        <x:f>IF(OR(Match_Data!M537="",Match_Data!N537=""),"",AVERAGE(Match_Data!M537:N537))</x:f>
      </x:c>
      <x:c r="I537" t="str">
        <x:f>IF(OR(Match_Data!O537="",Match_Data!Q537=""),"",Match_Data!O537+Match_Data!Q537)</x:f>
      </x:c>
      <x:c r="J537" t="str">
        <x:f>IF(OR(Match_Data!P537="",Match_Data!R537=""),"",Match_Data!P537+Match_Data!R537)</x:f>
      </x:c>
      <x:c r="K537" t="str">
        <x:f>IF(OR(Match_Data!S537="",Match_Data!T537=""),"",Match_Data!S537+Match_Data!T537)</x:f>
      </x:c>
      <x:c r="L537" t="str">
        <x:f>IF(OR(Match_Data!U537="",Match_Data!V537=""),"",Match_Data!U537-Match_Data!V537)</x:f>
      </x:c>
      <x:c r="M537" s="32" t="str">
        <x:f>IF(Match_Data!Y537="","",1/Match_Data!Y537)</x:f>
      </x:c>
      <x:c r="N537" s="32" t="str">
        <x:f>IF(Match_Data!AA537="","",1/Match_Data!AA537)</x:f>
      </x:c>
      <x:c r="O537" s="32" t="str">
        <x:f>IF(OR(M537="",N537=""),"",N537-M537)</x:f>
      </x:c>
      <x:c r="P537" t="str">
        <x:f>IF(Match_Data!J537="","",IF(Match_Data!J537="OVER",1,0))</x:f>
      </x:c>
    </x:row>
    <x:row r="538">
      <x:c r="A538" t="n">
        <x:f>Match_Data!A538</x:f>
        <x:v>0</x:v>
      </x:c>
      <x:c r="B538" s="28" t="n">
        <x:f>Match_Data!B538</x:f>
        <x:v>0</x:v>
      </x:c>
      <x:c r="C538" t="n">
        <x:f>Match_Data!C538</x:f>
        <x:v>0</x:v>
      </x:c>
      <x:c r="D538" t="n">
        <x:f>Match_Data!E538</x:f>
        <x:v>0</x:v>
      </x:c>
      <x:c r="E538" t="n">
        <x:f>Match_Data!F538</x:f>
        <x:v>0</x:v>
      </x:c>
      <x:c r="F538" t="n">
        <x:f>Match_Data!AC538</x:f>
        <x:v>0</x:v>
      </x:c>
      <x:c r="G538" t="str">
        <x:f>IF(OR(Match_Data!K538="",Match_Data!L538=""),"",AVERAGE(Match_Data!K538:L538))</x:f>
      </x:c>
      <x:c r="H538" t="str">
        <x:f>IF(OR(Match_Data!M538="",Match_Data!N538=""),"",AVERAGE(Match_Data!M538:N538))</x:f>
      </x:c>
      <x:c r="I538" t="str">
        <x:f>IF(OR(Match_Data!O538="",Match_Data!Q538=""),"",Match_Data!O538+Match_Data!Q538)</x:f>
      </x:c>
      <x:c r="J538" t="str">
        <x:f>IF(OR(Match_Data!P538="",Match_Data!R538=""),"",Match_Data!P538+Match_Data!R538)</x:f>
      </x:c>
      <x:c r="K538" t="str">
        <x:f>IF(OR(Match_Data!S538="",Match_Data!T538=""),"",Match_Data!S538+Match_Data!T538)</x:f>
      </x:c>
      <x:c r="L538" t="str">
        <x:f>IF(OR(Match_Data!U538="",Match_Data!V538=""),"",Match_Data!U538-Match_Data!V538)</x:f>
      </x:c>
      <x:c r="M538" s="32" t="str">
        <x:f>IF(Match_Data!Y538="","",1/Match_Data!Y538)</x:f>
      </x:c>
      <x:c r="N538" s="32" t="str">
        <x:f>IF(Match_Data!AA538="","",1/Match_Data!AA538)</x:f>
      </x:c>
      <x:c r="O538" s="32" t="str">
        <x:f>IF(OR(M538="",N538=""),"",N538-M538)</x:f>
      </x:c>
      <x:c r="P538" t="str">
        <x:f>IF(Match_Data!J538="","",IF(Match_Data!J538="OVER",1,0))</x:f>
      </x:c>
    </x:row>
    <x:row r="539">
      <x:c r="A539" t="n">
        <x:f>Match_Data!A539</x:f>
        <x:v>0</x:v>
      </x:c>
      <x:c r="B539" s="28" t="n">
        <x:f>Match_Data!B539</x:f>
        <x:v>0</x:v>
      </x:c>
      <x:c r="C539" t="n">
        <x:f>Match_Data!C539</x:f>
        <x:v>0</x:v>
      </x:c>
      <x:c r="D539" t="n">
        <x:f>Match_Data!E539</x:f>
        <x:v>0</x:v>
      </x:c>
      <x:c r="E539" t="n">
        <x:f>Match_Data!F539</x:f>
        <x:v>0</x:v>
      </x:c>
      <x:c r="F539" t="n">
        <x:f>Match_Data!AC539</x:f>
        <x:v>0</x:v>
      </x:c>
      <x:c r="G539" t="str">
        <x:f>IF(OR(Match_Data!K539="",Match_Data!L539=""),"",AVERAGE(Match_Data!K539:L539))</x:f>
      </x:c>
      <x:c r="H539" t="str">
        <x:f>IF(OR(Match_Data!M539="",Match_Data!N539=""),"",AVERAGE(Match_Data!M539:N539))</x:f>
      </x:c>
      <x:c r="I539" t="str">
        <x:f>IF(OR(Match_Data!O539="",Match_Data!Q539=""),"",Match_Data!O539+Match_Data!Q539)</x:f>
      </x:c>
      <x:c r="J539" t="str">
        <x:f>IF(OR(Match_Data!P539="",Match_Data!R539=""),"",Match_Data!P539+Match_Data!R539)</x:f>
      </x:c>
      <x:c r="K539" t="str">
        <x:f>IF(OR(Match_Data!S539="",Match_Data!T539=""),"",Match_Data!S539+Match_Data!T539)</x:f>
      </x:c>
      <x:c r="L539" t="str">
        <x:f>IF(OR(Match_Data!U539="",Match_Data!V539=""),"",Match_Data!U539-Match_Data!V539)</x:f>
      </x:c>
      <x:c r="M539" s="32" t="str">
        <x:f>IF(Match_Data!Y539="","",1/Match_Data!Y539)</x:f>
      </x:c>
      <x:c r="N539" s="32" t="str">
        <x:f>IF(Match_Data!AA539="","",1/Match_Data!AA539)</x:f>
      </x:c>
      <x:c r="O539" s="32" t="str">
        <x:f>IF(OR(M539="",N539=""),"",N539-M539)</x:f>
      </x:c>
      <x:c r="P539" t="str">
        <x:f>IF(Match_Data!J539="","",IF(Match_Data!J539="OVER",1,0))</x:f>
      </x:c>
    </x:row>
    <x:row r="540">
      <x:c r="A540" t="n">
        <x:f>Match_Data!A540</x:f>
        <x:v>0</x:v>
      </x:c>
      <x:c r="B540" s="28" t="n">
        <x:f>Match_Data!B540</x:f>
        <x:v>0</x:v>
      </x:c>
      <x:c r="C540" t="n">
        <x:f>Match_Data!C540</x:f>
        <x:v>0</x:v>
      </x:c>
      <x:c r="D540" t="n">
        <x:f>Match_Data!E540</x:f>
        <x:v>0</x:v>
      </x:c>
      <x:c r="E540" t="n">
        <x:f>Match_Data!F540</x:f>
        <x:v>0</x:v>
      </x:c>
      <x:c r="F540" t="n">
        <x:f>Match_Data!AC540</x:f>
        <x:v>0</x:v>
      </x:c>
      <x:c r="G540" t="str">
        <x:f>IF(OR(Match_Data!K540="",Match_Data!L540=""),"",AVERAGE(Match_Data!K540:L540))</x:f>
      </x:c>
      <x:c r="H540" t="str">
        <x:f>IF(OR(Match_Data!M540="",Match_Data!N540=""),"",AVERAGE(Match_Data!M540:N540))</x:f>
      </x:c>
      <x:c r="I540" t="str">
        <x:f>IF(OR(Match_Data!O540="",Match_Data!Q540=""),"",Match_Data!O540+Match_Data!Q540)</x:f>
      </x:c>
      <x:c r="J540" t="str">
        <x:f>IF(OR(Match_Data!P540="",Match_Data!R540=""),"",Match_Data!P540+Match_Data!R540)</x:f>
      </x:c>
      <x:c r="K540" t="str">
        <x:f>IF(OR(Match_Data!S540="",Match_Data!T540=""),"",Match_Data!S540+Match_Data!T540)</x:f>
      </x:c>
      <x:c r="L540" t="str">
        <x:f>IF(OR(Match_Data!U540="",Match_Data!V540=""),"",Match_Data!U540-Match_Data!V540)</x:f>
      </x:c>
      <x:c r="M540" s="32" t="str">
        <x:f>IF(Match_Data!Y540="","",1/Match_Data!Y540)</x:f>
      </x:c>
      <x:c r="N540" s="32" t="str">
        <x:f>IF(Match_Data!AA540="","",1/Match_Data!AA540)</x:f>
      </x:c>
      <x:c r="O540" s="32" t="str">
        <x:f>IF(OR(M540="",N540=""),"",N540-M540)</x:f>
      </x:c>
      <x:c r="P540" t="str">
        <x:f>IF(Match_Data!J540="","",IF(Match_Data!J540="OVER",1,0))</x:f>
      </x:c>
    </x:row>
    <x:row r="541">
      <x:c r="A541" t="n">
        <x:f>Match_Data!A541</x:f>
        <x:v>0</x:v>
      </x:c>
      <x:c r="B541" s="28" t="n">
        <x:f>Match_Data!B541</x:f>
        <x:v>0</x:v>
      </x:c>
      <x:c r="C541" t="n">
        <x:f>Match_Data!C541</x:f>
        <x:v>0</x:v>
      </x:c>
      <x:c r="D541" t="n">
        <x:f>Match_Data!E541</x:f>
        <x:v>0</x:v>
      </x:c>
      <x:c r="E541" t="n">
        <x:f>Match_Data!F541</x:f>
        <x:v>0</x:v>
      </x:c>
      <x:c r="F541" t="n">
        <x:f>Match_Data!AC541</x:f>
        <x:v>0</x:v>
      </x:c>
      <x:c r="G541" t="str">
        <x:f>IF(OR(Match_Data!K541="",Match_Data!L541=""),"",AVERAGE(Match_Data!K541:L541))</x:f>
      </x:c>
      <x:c r="H541" t="str">
        <x:f>IF(OR(Match_Data!M541="",Match_Data!N541=""),"",AVERAGE(Match_Data!M541:N541))</x:f>
      </x:c>
      <x:c r="I541" t="str">
        <x:f>IF(OR(Match_Data!O541="",Match_Data!Q541=""),"",Match_Data!O541+Match_Data!Q541)</x:f>
      </x:c>
      <x:c r="J541" t="str">
        <x:f>IF(OR(Match_Data!P541="",Match_Data!R541=""),"",Match_Data!P541+Match_Data!R541)</x:f>
      </x:c>
      <x:c r="K541" t="str">
        <x:f>IF(OR(Match_Data!S541="",Match_Data!T541=""),"",Match_Data!S541+Match_Data!T541)</x:f>
      </x:c>
      <x:c r="L541" t="str">
        <x:f>IF(OR(Match_Data!U541="",Match_Data!V541=""),"",Match_Data!U541-Match_Data!V541)</x:f>
      </x:c>
      <x:c r="M541" s="32" t="str">
        <x:f>IF(Match_Data!Y541="","",1/Match_Data!Y541)</x:f>
      </x:c>
      <x:c r="N541" s="32" t="str">
        <x:f>IF(Match_Data!AA541="","",1/Match_Data!AA541)</x:f>
      </x:c>
      <x:c r="O541" s="32" t="str">
        <x:f>IF(OR(M541="",N541=""),"",N541-M541)</x:f>
      </x:c>
      <x:c r="P541" t="str">
        <x:f>IF(Match_Data!J541="","",IF(Match_Data!J541="OVER",1,0))</x:f>
      </x:c>
    </x:row>
    <x:row r="542">
      <x:c r="A542" t="n">
        <x:f>Match_Data!A542</x:f>
        <x:v>0</x:v>
      </x:c>
      <x:c r="B542" s="28" t="n">
        <x:f>Match_Data!B542</x:f>
        <x:v>0</x:v>
      </x:c>
      <x:c r="C542" t="n">
        <x:f>Match_Data!C542</x:f>
        <x:v>0</x:v>
      </x:c>
      <x:c r="D542" t="n">
        <x:f>Match_Data!E542</x:f>
        <x:v>0</x:v>
      </x:c>
      <x:c r="E542" t="n">
        <x:f>Match_Data!F542</x:f>
        <x:v>0</x:v>
      </x:c>
      <x:c r="F542" t="n">
        <x:f>Match_Data!AC542</x:f>
        <x:v>0</x:v>
      </x:c>
      <x:c r="G542" t="str">
        <x:f>IF(OR(Match_Data!K542="",Match_Data!L542=""),"",AVERAGE(Match_Data!K542:L542))</x:f>
      </x:c>
      <x:c r="H542" t="str">
        <x:f>IF(OR(Match_Data!M542="",Match_Data!N542=""),"",AVERAGE(Match_Data!M542:N542))</x:f>
      </x:c>
      <x:c r="I542" t="str">
        <x:f>IF(OR(Match_Data!O542="",Match_Data!Q542=""),"",Match_Data!O542+Match_Data!Q542)</x:f>
      </x:c>
      <x:c r="J542" t="str">
        <x:f>IF(OR(Match_Data!P542="",Match_Data!R542=""),"",Match_Data!P542+Match_Data!R542)</x:f>
      </x:c>
      <x:c r="K542" t="str">
        <x:f>IF(OR(Match_Data!S542="",Match_Data!T542=""),"",Match_Data!S542+Match_Data!T542)</x:f>
      </x:c>
      <x:c r="L542" t="str">
        <x:f>IF(OR(Match_Data!U542="",Match_Data!V542=""),"",Match_Data!U542-Match_Data!V542)</x:f>
      </x:c>
      <x:c r="M542" s="32" t="str">
        <x:f>IF(Match_Data!Y542="","",1/Match_Data!Y542)</x:f>
      </x:c>
      <x:c r="N542" s="32" t="str">
        <x:f>IF(Match_Data!AA542="","",1/Match_Data!AA542)</x:f>
      </x:c>
      <x:c r="O542" s="32" t="str">
        <x:f>IF(OR(M542="",N542=""),"",N542-M542)</x:f>
      </x:c>
      <x:c r="P542" t="str">
        <x:f>IF(Match_Data!J542="","",IF(Match_Data!J542="OVER",1,0))</x:f>
      </x:c>
    </x:row>
    <x:row r="543">
      <x:c r="A543" t="n">
        <x:f>Match_Data!A543</x:f>
        <x:v>0</x:v>
      </x:c>
      <x:c r="B543" s="28" t="n">
        <x:f>Match_Data!B543</x:f>
        <x:v>0</x:v>
      </x:c>
      <x:c r="C543" t="n">
        <x:f>Match_Data!C543</x:f>
        <x:v>0</x:v>
      </x:c>
      <x:c r="D543" t="n">
        <x:f>Match_Data!E543</x:f>
        <x:v>0</x:v>
      </x:c>
      <x:c r="E543" t="n">
        <x:f>Match_Data!F543</x:f>
        <x:v>0</x:v>
      </x:c>
      <x:c r="F543" t="n">
        <x:f>Match_Data!AC543</x:f>
        <x:v>0</x:v>
      </x:c>
      <x:c r="G543" t="str">
        <x:f>IF(OR(Match_Data!K543="",Match_Data!L543=""),"",AVERAGE(Match_Data!K543:L543))</x:f>
      </x:c>
      <x:c r="H543" t="str">
        <x:f>IF(OR(Match_Data!M543="",Match_Data!N543=""),"",AVERAGE(Match_Data!M543:N543))</x:f>
      </x:c>
      <x:c r="I543" t="str">
        <x:f>IF(OR(Match_Data!O543="",Match_Data!Q543=""),"",Match_Data!O543+Match_Data!Q543)</x:f>
      </x:c>
      <x:c r="J543" t="str">
        <x:f>IF(OR(Match_Data!P543="",Match_Data!R543=""),"",Match_Data!P543+Match_Data!R543)</x:f>
      </x:c>
      <x:c r="K543" t="str">
        <x:f>IF(OR(Match_Data!S543="",Match_Data!T543=""),"",Match_Data!S543+Match_Data!T543)</x:f>
      </x:c>
      <x:c r="L543" t="str">
        <x:f>IF(OR(Match_Data!U543="",Match_Data!V543=""),"",Match_Data!U543-Match_Data!V543)</x:f>
      </x:c>
      <x:c r="M543" s="32" t="str">
        <x:f>IF(Match_Data!Y543="","",1/Match_Data!Y543)</x:f>
      </x:c>
      <x:c r="N543" s="32" t="str">
        <x:f>IF(Match_Data!AA543="","",1/Match_Data!AA543)</x:f>
      </x:c>
      <x:c r="O543" s="32" t="str">
        <x:f>IF(OR(M543="",N543=""),"",N543-M543)</x:f>
      </x:c>
      <x:c r="P543" t="str">
        <x:f>IF(Match_Data!J543="","",IF(Match_Data!J543="OVER",1,0))</x:f>
      </x:c>
    </x:row>
    <x:row r="544">
      <x:c r="A544" t="n">
        <x:f>Match_Data!A544</x:f>
        <x:v>0</x:v>
      </x:c>
      <x:c r="B544" s="28" t="n">
        <x:f>Match_Data!B544</x:f>
        <x:v>0</x:v>
      </x:c>
      <x:c r="C544" t="n">
        <x:f>Match_Data!C544</x:f>
        <x:v>0</x:v>
      </x:c>
      <x:c r="D544" t="n">
        <x:f>Match_Data!E544</x:f>
        <x:v>0</x:v>
      </x:c>
      <x:c r="E544" t="n">
        <x:f>Match_Data!F544</x:f>
        <x:v>0</x:v>
      </x:c>
      <x:c r="F544" t="n">
        <x:f>Match_Data!AC544</x:f>
        <x:v>0</x:v>
      </x:c>
      <x:c r="G544" t="str">
        <x:f>IF(OR(Match_Data!K544="",Match_Data!L544=""),"",AVERAGE(Match_Data!K544:L544))</x:f>
      </x:c>
      <x:c r="H544" t="str">
        <x:f>IF(OR(Match_Data!M544="",Match_Data!N544=""),"",AVERAGE(Match_Data!M544:N544))</x:f>
      </x:c>
      <x:c r="I544" t="str">
        <x:f>IF(OR(Match_Data!O544="",Match_Data!Q544=""),"",Match_Data!O544+Match_Data!Q544)</x:f>
      </x:c>
      <x:c r="J544" t="str">
        <x:f>IF(OR(Match_Data!P544="",Match_Data!R544=""),"",Match_Data!P544+Match_Data!R544)</x:f>
      </x:c>
      <x:c r="K544" t="str">
        <x:f>IF(OR(Match_Data!S544="",Match_Data!T544=""),"",Match_Data!S544+Match_Data!T544)</x:f>
      </x:c>
      <x:c r="L544" t="str">
        <x:f>IF(OR(Match_Data!U544="",Match_Data!V544=""),"",Match_Data!U544-Match_Data!V544)</x:f>
      </x:c>
      <x:c r="M544" s="32" t="str">
        <x:f>IF(Match_Data!Y544="","",1/Match_Data!Y544)</x:f>
      </x:c>
      <x:c r="N544" s="32" t="str">
        <x:f>IF(Match_Data!AA544="","",1/Match_Data!AA544)</x:f>
      </x:c>
      <x:c r="O544" s="32" t="str">
        <x:f>IF(OR(M544="",N544=""),"",N544-M544)</x:f>
      </x:c>
      <x:c r="P544" t="str">
        <x:f>IF(Match_Data!J544="","",IF(Match_Data!J544="OVER",1,0))</x:f>
      </x:c>
    </x:row>
    <x:row r="545">
      <x:c r="A545" t="n">
        <x:f>Match_Data!A545</x:f>
        <x:v>0</x:v>
      </x:c>
      <x:c r="B545" s="28" t="n">
        <x:f>Match_Data!B545</x:f>
        <x:v>0</x:v>
      </x:c>
      <x:c r="C545" t="n">
        <x:f>Match_Data!C545</x:f>
        <x:v>0</x:v>
      </x:c>
      <x:c r="D545" t="n">
        <x:f>Match_Data!E545</x:f>
        <x:v>0</x:v>
      </x:c>
      <x:c r="E545" t="n">
        <x:f>Match_Data!F545</x:f>
        <x:v>0</x:v>
      </x:c>
      <x:c r="F545" t="n">
        <x:f>Match_Data!AC545</x:f>
        <x:v>0</x:v>
      </x:c>
      <x:c r="G545" t="str">
        <x:f>IF(OR(Match_Data!K545="",Match_Data!L545=""),"",AVERAGE(Match_Data!K545:L545))</x:f>
      </x:c>
      <x:c r="H545" t="str">
        <x:f>IF(OR(Match_Data!M545="",Match_Data!N545=""),"",AVERAGE(Match_Data!M545:N545))</x:f>
      </x:c>
      <x:c r="I545" t="str">
        <x:f>IF(OR(Match_Data!O545="",Match_Data!Q545=""),"",Match_Data!O545+Match_Data!Q545)</x:f>
      </x:c>
      <x:c r="J545" t="str">
        <x:f>IF(OR(Match_Data!P545="",Match_Data!R545=""),"",Match_Data!P545+Match_Data!R545)</x:f>
      </x:c>
      <x:c r="K545" t="str">
        <x:f>IF(OR(Match_Data!S545="",Match_Data!T545=""),"",Match_Data!S545+Match_Data!T545)</x:f>
      </x:c>
      <x:c r="L545" t="str">
        <x:f>IF(OR(Match_Data!U545="",Match_Data!V545=""),"",Match_Data!U545-Match_Data!V545)</x:f>
      </x:c>
      <x:c r="M545" s="32" t="str">
        <x:f>IF(Match_Data!Y545="","",1/Match_Data!Y545)</x:f>
      </x:c>
      <x:c r="N545" s="32" t="str">
        <x:f>IF(Match_Data!AA545="","",1/Match_Data!AA545)</x:f>
      </x:c>
      <x:c r="O545" s="32" t="str">
        <x:f>IF(OR(M545="",N545=""),"",N545-M545)</x:f>
      </x:c>
      <x:c r="P545" t="str">
        <x:f>IF(Match_Data!J545="","",IF(Match_Data!J545="OVER",1,0))</x:f>
      </x:c>
    </x:row>
    <x:row r="546">
      <x:c r="A546" t="n">
        <x:f>Match_Data!A546</x:f>
        <x:v>0</x:v>
      </x:c>
      <x:c r="B546" s="28" t="n">
        <x:f>Match_Data!B546</x:f>
        <x:v>0</x:v>
      </x:c>
      <x:c r="C546" t="n">
        <x:f>Match_Data!C546</x:f>
        <x:v>0</x:v>
      </x:c>
      <x:c r="D546" t="n">
        <x:f>Match_Data!E546</x:f>
        <x:v>0</x:v>
      </x:c>
      <x:c r="E546" t="n">
        <x:f>Match_Data!F546</x:f>
        <x:v>0</x:v>
      </x:c>
      <x:c r="F546" t="n">
        <x:f>Match_Data!AC546</x:f>
        <x:v>0</x:v>
      </x:c>
      <x:c r="G546" t="str">
        <x:f>IF(OR(Match_Data!K546="",Match_Data!L546=""),"",AVERAGE(Match_Data!K546:L546))</x:f>
      </x:c>
      <x:c r="H546" t="str">
        <x:f>IF(OR(Match_Data!M546="",Match_Data!N546=""),"",AVERAGE(Match_Data!M546:N546))</x:f>
      </x:c>
      <x:c r="I546" t="str">
        <x:f>IF(OR(Match_Data!O546="",Match_Data!Q546=""),"",Match_Data!O546+Match_Data!Q546)</x:f>
      </x:c>
      <x:c r="J546" t="str">
        <x:f>IF(OR(Match_Data!P546="",Match_Data!R546=""),"",Match_Data!P546+Match_Data!R546)</x:f>
      </x:c>
      <x:c r="K546" t="str">
        <x:f>IF(OR(Match_Data!S546="",Match_Data!T546=""),"",Match_Data!S546+Match_Data!T546)</x:f>
      </x:c>
      <x:c r="L546" t="str">
        <x:f>IF(OR(Match_Data!U546="",Match_Data!V546=""),"",Match_Data!U546-Match_Data!V546)</x:f>
      </x:c>
      <x:c r="M546" s="32" t="str">
        <x:f>IF(Match_Data!Y546="","",1/Match_Data!Y546)</x:f>
      </x:c>
      <x:c r="N546" s="32" t="str">
        <x:f>IF(Match_Data!AA546="","",1/Match_Data!AA546)</x:f>
      </x:c>
      <x:c r="O546" s="32" t="str">
        <x:f>IF(OR(M546="",N546=""),"",N546-M546)</x:f>
      </x:c>
      <x:c r="P546" t="str">
        <x:f>IF(Match_Data!J546="","",IF(Match_Data!J546="OVER",1,0))</x:f>
      </x:c>
    </x:row>
    <x:row r="547">
      <x:c r="A547" t="n">
        <x:f>Match_Data!A547</x:f>
        <x:v>0</x:v>
      </x:c>
      <x:c r="B547" s="28" t="n">
        <x:f>Match_Data!B547</x:f>
        <x:v>0</x:v>
      </x:c>
      <x:c r="C547" t="n">
        <x:f>Match_Data!C547</x:f>
        <x:v>0</x:v>
      </x:c>
      <x:c r="D547" t="n">
        <x:f>Match_Data!E547</x:f>
        <x:v>0</x:v>
      </x:c>
      <x:c r="E547" t="n">
        <x:f>Match_Data!F547</x:f>
        <x:v>0</x:v>
      </x:c>
      <x:c r="F547" t="n">
        <x:f>Match_Data!AC547</x:f>
        <x:v>0</x:v>
      </x:c>
      <x:c r="G547" t="str">
        <x:f>IF(OR(Match_Data!K547="",Match_Data!L547=""),"",AVERAGE(Match_Data!K547:L547))</x:f>
      </x:c>
      <x:c r="H547" t="str">
        <x:f>IF(OR(Match_Data!M547="",Match_Data!N547=""),"",AVERAGE(Match_Data!M547:N547))</x:f>
      </x:c>
      <x:c r="I547" t="str">
        <x:f>IF(OR(Match_Data!O547="",Match_Data!Q547=""),"",Match_Data!O547+Match_Data!Q547)</x:f>
      </x:c>
      <x:c r="J547" t="str">
        <x:f>IF(OR(Match_Data!P547="",Match_Data!R547=""),"",Match_Data!P547+Match_Data!R547)</x:f>
      </x:c>
      <x:c r="K547" t="str">
        <x:f>IF(OR(Match_Data!S547="",Match_Data!T547=""),"",Match_Data!S547+Match_Data!T547)</x:f>
      </x:c>
      <x:c r="L547" t="str">
        <x:f>IF(OR(Match_Data!U547="",Match_Data!V547=""),"",Match_Data!U547-Match_Data!V547)</x:f>
      </x:c>
      <x:c r="M547" s="32" t="str">
        <x:f>IF(Match_Data!Y547="","",1/Match_Data!Y547)</x:f>
      </x:c>
      <x:c r="N547" s="32" t="str">
        <x:f>IF(Match_Data!AA547="","",1/Match_Data!AA547)</x:f>
      </x:c>
      <x:c r="O547" s="32" t="str">
        <x:f>IF(OR(M547="",N547=""),"",N547-M547)</x:f>
      </x:c>
      <x:c r="P547" t="str">
        <x:f>IF(Match_Data!J547="","",IF(Match_Data!J547="OVER",1,0))</x:f>
      </x:c>
    </x:row>
    <x:row r="548">
      <x:c r="A548" t="n">
        <x:f>Match_Data!A548</x:f>
        <x:v>0</x:v>
      </x:c>
      <x:c r="B548" s="28" t="n">
        <x:f>Match_Data!B548</x:f>
        <x:v>0</x:v>
      </x:c>
      <x:c r="C548" t="n">
        <x:f>Match_Data!C548</x:f>
        <x:v>0</x:v>
      </x:c>
      <x:c r="D548" t="n">
        <x:f>Match_Data!E548</x:f>
        <x:v>0</x:v>
      </x:c>
      <x:c r="E548" t="n">
        <x:f>Match_Data!F548</x:f>
        <x:v>0</x:v>
      </x:c>
      <x:c r="F548" t="n">
        <x:f>Match_Data!AC548</x:f>
        <x:v>0</x:v>
      </x:c>
      <x:c r="G548" t="str">
        <x:f>IF(OR(Match_Data!K548="",Match_Data!L548=""),"",AVERAGE(Match_Data!K548:L548))</x:f>
      </x:c>
      <x:c r="H548" t="str">
        <x:f>IF(OR(Match_Data!M548="",Match_Data!N548=""),"",AVERAGE(Match_Data!M548:N548))</x:f>
      </x:c>
      <x:c r="I548" t="str">
        <x:f>IF(OR(Match_Data!O548="",Match_Data!Q548=""),"",Match_Data!O548+Match_Data!Q548)</x:f>
      </x:c>
      <x:c r="J548" t="str">
        <x:f>IF(OR(Match_Data!P548="",Match_Data!R548=""),"",Match_Data!P548+Match_Data!R548)</x:f>
      </x:c>
      <x:c r="K548" t="str">
        <x:f>IF(OR(Match_Data!S548="",Match_Data!T548=""),"",Match_Data!S548+Match_Data!T548)</x:f>
      </x:c>
      <x:c r="L548" t="str">
        <x:f>IF(OR(Match_Data!U548="",Match_Data!V548=""),"",Match_Data!U548-Match_Data!V548)</x:f>
      </x:c>
      <x:c r="M548" s="32" t="str">
        <x:f>IF(Match_Data!Y548="","",1/Match_Data!Y548)</x:f>
      </x:c>
      <x:c r="N548" s="32" t="str">
        <x:f>IF(Match_Data!AA548="","",1/Match_Data!AA548)</x:f>
      </x:c>
      <x:c r="O548" s="32" t="str">
        <x:f>IF(OR(M548="",N548=""),"",N548-M548)</x:f>
      </x:c>
      <x:c r="P548" t="str">
        <x:f>IF(Match_Data!J548="","",IF(Match_Data!J548="OVER",1,0))</x:f>
      </x:c>
    </x:row>
    <x:row r="549">
      <x:c r="A549" t="n">
        <x:f>Match_Data!A549</x:f>
        <x:v>0</x:v>
      </x:c>
      <x:c r="B549" s="28" t="n">
        <x:f>Match_Data!B549</x:f>
        <x:v>0</x:v>
      </x:c>
      <x:c r="C549" t="n">
        <x:f>Match_Data!C549</x:f>
        <x:v>0</x:v>
      </x:c>
      <x:c r="D549" t="n">
        <x:f>Match_Data!E549</x:f>
        <x:v>0</x:v>
      </x:c>
      <x:c r="E549" t="n">
        <x:f>Match_Data!F549</x:f>
        <x:v>0</x:v>
      </x:c>
      <x:c r="F549" t="n">
        <x:f>Match_Data!AC549</x:f>
        <x:v>0</x:v>
      </x:c>
      <x:c r="G549" t="str">
        <x:f>IF(OR(Match_Data!K549="",Match_Data!L549=""),"",AVERAGE(Match_Data!K549:L549))</x:f>
      </x:c>
      <x:c r="H549" t="str">
        <x:f>IF(OR(Match_Data!M549="",Match_Data!N549=""),"",AVERAGE(Match_Data!M549:N549))</x:f>
      </x:c>
      <x:c r="I549" t="str">
        <x:f>IF(OR(Match_Data!O549="",Match_Data!Q549=""),"",Match_Data!O549+Match_Data!Q549)</x:f>
      </x:c>
      <x:c r="J549" t="str">
        <x:f>IF(OR(Match_Data!P549="",Match_Data!R549=""),"",Match_Data!P549+Match_Data!R549)</x:f>
      </x:c>
      <x:c r="K549" t="str">
        <x:f>IF(OR(Match_Data!S549="",Match_Data!T549=""),"",Match_Data!S549+Match_Data!T549)</x:f>
      </x:c>
      <x:c r="L549" t="str">
        <x:f>IF(OR(Match_Data!U549="",Match_Data!V549=""),"",Match_Data!U549-Match_Data!V549)</x:f>
      </x:c>
      <x:c r="M549" s="32" t="str">
        <x:f>IF(Match_Data!Y549="","",1/Match_Data!Y549)</x:f>
      </x:c>
      <x:c r="N549" s="32" t="str">
        <x:f>IF(Match_Data!AA549="","",1/Match_Data!AA549)</x:f>
      </x:c>
      <x:c r="O549" s="32" t="str">
        <x:f>IF(OR(M549="",N549=""),"",N549-M549)</x:f>
      </x:c>
      <x:c r="P549" t="str">
        <x:f>IF(Match_Data!J549="","",IF(Match_Data!J549="OVER",1,0))</x:f>
      </x:c>
    </x:row>
    <x:row r="550">
      <x:c r="A550" t="n">
        <x:f>Match_Data!A550</x:f>
        <x:v>0</x:v>
      </x:c>
      <x:c r="B550" s="28" t="n">
        <x:f>Match_Data!B550</x:f>
        <x:v>0</x:v>
      </x:c>
      <x:c r="C550" t="n">
        <x:f>Match_Data!C550</x:f>
        <x:v>0</x:v>
      </x:c>
      <x:c r="D550" t="n">
        <x:f>Match_Data!E550</x:f>
        <x:v>0</x:v>
      </x:c>
      <x:c r="E550" t="n">
        <x:f>Match_Data!F550</x:f>
        <x:v>0</x:v>
      </x:c>
      <x:c r="F550" t="n">
        <x:f>Match_Data!AC550</x:f>
        <x:v>0</x:v>
      </x:c>
      <x:c r="G550" t="str">
        <x:f>IF(OR(Match_Data!K550="",Match_Data!L550=""),"",AVERAGE(Match_Data!K550:L550))</x:f>
      </x:c>
      <x:c r="H550" t="str">
        <x:f>IF(OR(Match_Data!M550="",Match_Data!N550=""),"",AVERAGE(Match_Data!M550:N550))</x:f>
      </x:c>
      <x:c r="I550" t="str">
        <x:f>IF(OR(Match_Data!O550="",Match_Data!Q550=""),"",Match_Data!O550+Match_Data!Q550)</x:f>
      </x:c>
      <x:c r="J550" t="str">
        <x:f>IF(OR(Match_Data!P550="",Match_Data!R550=""),"",Match_Data!P550+Match_Data!R550)</x:f>
      </x:c>
      <x:c r="K550" t="str">
        <x:f>IF(OR(Match_Data!S550="",Match_Data!T550=""),"",Match_Data!S550+Match_Data!T550)</x:f>
      </x:c>
      <x:c r="L550" t="str">
        <x:f>IF(OR(Match_Data!U550="",Match_Data!V550=""),"",Match_Data!U550-Match_Data!V550)</x:f>
      </x:c>
      <x:c r="M550" s="32" t="str">
        <x:f>IF(Match_Data!Y550="","",1/Match_Data!Y550)</x:f>
      </x:c>
      <x:c r="N550" s="32" t="str">
        <x:f>IF(Match_Data!AA550="","",1/Match_Data!AA550)</x:f>
      </x:c>
      <x:c r="O550" s="32" t="str">
        <x:f>IF(OR(M550="",N550=""),"",N550-M550)</x:f>
      </x:c>
      <x:c r="P550" t="str">
        <x:f>IF(Match_Data!J550="","",IF(Match_Data!J550="OVER",1,0))</x:f>
      </x:c>
    </x:row>
    <x:row r="551">
      <x:c r="A551" t="n">
        <x:f>Match_Data!A551</x:f>
        <x:v>0</x:v>
      </x:c>
      <x:c r="B551" s="28" t="n">
        <x:f>Match_Data!B551</x:f>
        <x:v>0</x:v>
      </x:c>
      <x:c r="C551" t="n">
        <x:f>Match_Data!C551</x:f>
        <x:v>0</x:v>
      </x:c>
      <x:c r="D551" t="n">
        <x:f>Match_Data!E551</x:f>
        <x:v>0</x:v>
      </x:c>
      <x:c r="E551" t="n">
        <x:f>Match_Data!F551</x:f>
        <x:v>0</x:v>
      </x:c>
      <x:c r="F551" t="n">
        <x:f>Match_Data!AC551</x:f>
        <x:v>0</x:v>
      </x:c>
      <x:c r="G551" t="str">
        <x:f>IF(OR(Match_Data!K551="",Match_Data!L551=""),"",AVERAGE(Match_Data!K551:L551))</x:f>
      </x:c>
      <x:c r="H551" t="str">
        <x:f>IF(OR(Match_Data!M551="",Match_Data!N551=""),"",AVERAGE(Match_Data!M551:N551))</x:f>
      </x:c>
      <x:c r="I551" t="str">
        <x:f>IF(OR(Match_Data!O551="",Match_Data!Q551=""),"",Match_Data!O551+Match_Data!Q551)</x:f>
      </x:c>
      <x:c r="J551" t="str">
        <x:f>IF(OR(Match_Data!P551="",Match_Data!R551=""),"",Match_Data!P551+Match_Data!R551)</x:f>
      </x:c>
      <x:c r="K551" t="str">
        <x:f>IF(OR(Match_Data!S551="",Match_Data!T551=""),"",Match_Data!S551+Match_Data!T551)</x:f>
      </x:c>
      <x:c r="L551" t="str">
        <x:f>IF(OR(Match_Data!U551="",Match_Data!V551=""),"",Match_Data!U551-Match_Data!V551)</x:f>
      </x:c>
      <x:c r="M551" s="32" t="str">
        <x:f>IF(Match_Data!Y551="","",1/Match_Data!Y551)</x:f>
      </x:c>
      <x:c r="N551" s="32" t="str">
        <x:f>IF(Match_Data!AA551="","",1/Match_Data!AA551)</x:f>
      </x:c>
      <x:c r="O551" s="32" t="str">
        <x:f>IF(OR(M551="",N551=""),"",N551-M551)</x:f>
      </x:c>
      <x:c r="P551" t="str">
        <x:f>IF(Match_Data!J551="","",IF(Match_Data!J551="OVER",1,0))</x:f>
      </x:c>
    </x:row>
    <x:row r="552">
      <x:c r="A552" t="n">
        <x:f>Match_Data!A552</x:f>
        <x:v>0</x:v>
      </x:c>
      <x:c r="B552" s="28" t="n">
        <x:f>Match_Data!B552</x:f>
        <x:v>0</x:v>
      </x:c>
      <x:c r="C552" t="n">
        <x:f>Match_Data!C552</x:f>
        <x:v>0</x:v>
      </x:c>
      <x:c r="D552" t="n">
        <x:f>Match_Data!E552</x:f>
        <x:v>0</x:v>
      </x:c>
      <x:c r="E552" t="n">
        <x:f>Match_Data!F552</x:f>
        <x:v>0</x:v>
      </x:c>
      <x:c r="F552" t="n">
        <x:f>Match_Data!AC552</x:f>
        <x:v>0</x:v>
      </x:c>
      <x:c r="G552" t="str">
        <x:f>IF(OR(Match_Data!K552="",Match_Data!L552=""),"",AVERAGE(Match_Data!K552:L552))</x:f>
      </x:c>
      <x:c r="H552" t="str">
        <x:f>IF(OR(Match_Data!M552="",Match_Data!N552=""),"",AVERAGE(Match_Data!M552:N552))</x:f>
      </x:c>
      <x:c r="I552" t="str">
        <x:f>IF(OR(Match_Data!O552="",Match_Data!Q552=""),"",Match_Data!O552+Match_Data!Q552)</x:f>
      </x:c>
      <x:c r="J552" t="str">
        <x:f>IF(OR(Match_Data!P552="",Match_Data!R552=""),"",Match_Data!P552+Match_Data!R552)</x:f>
      </x:c>
      <x:c r="K552" t="str">
        <x:f>IF(OR(Match_Data!S552="",Match_Data!T552=""),"",Match_Data!S552+Match_Data!T552)</x:f>
      </x:c>
      <x:c r="L552" t="str">
        <x:f>IF(OR(Match_Data!U552="",Match_Data!V552=""),"",Match_Data!U552-Match_Data!V552)</x:f>
      </x:c>
      <x:c r="M552" s="32" t="str">
        <x:f>IF(Match_Data!Y552="","",1/Match_Data!Y552)</x:f>
      </x:c>
      <x:c r="N552" s="32" t="str">
        <x:f>IF(Match_Data!AA552="","",1/Match_Data!AA552)</x:f>
      </x:c>
      <x:c r="O552" s="32" t="str">
        <x:f>IF(OR(M552="",N552=""),"",N552-M552)</x:f>
      </x:c>
      <x:c r="P552" t="str">
        <x:f>IF(Match_Data!J552="","",IF(Match_Data!J552="OVER",1,0))</x:f>
      </x:c>
    </x:row>
    <x:row r="553">
      <x:c r="A553" t="n">
        <x:f>Match_Data!A553</x:f>
        <x:v>0</x:v>
      </x:c>
      <x:c r="B553" s="28" t="n">
        <x:f>Match_Data!B553</x:f>
        <x:v>0</x:v>
      </x:c>
      <x:c r="C553" t="n">
        <x:f>Match_Data!C553</x:f>
        <x:v>0</x:v>
      </x:c>
      <x:c r="D553" t="n">
        <x:f>Match_Data!E553</x:f>
        <x:v>0</x:v>
      </x:c>
      <x:c r="E553" t="n">
        <x:f>Match_Data!F553</x:f>
        <x:v>0</x:v>
      </x:c>
      <x:c r="F553" t="n">
        <x:f>Match_Data!AC553</x:f>
        <x:v>0</x:v>
      </x:c>
      <x:c r="G553" t="str">
        <x:f>IF(OR(Match_Data!K553="",Match_Data!L553=""),"",AVERAGE(Match_Data!K553:L553))</x:f>
      </x:c>
      <x:c r="H553" t="str">
        <x:f>IF(OR(Match_Data!M553="",Match_Data!N553=""),"",AVERAGE(Match_Data!M553:N553))</x:f>
      </x:c>
      <x:c r="I553" t="str">
        <x:f>IF(OR(Match_Data!O553="",Match_Data!Q553=""),"",Match_Data!O553+Match_Data!Q553)</x:f>
      </x:c>
      <x:c r="J553" t="str">
        <x:f>IF(OR(Match_Data!P553="",Match_Data!R553=""),"",Match_Data!P553+Match_Data!R553)</x:f>
      </x:c>
      <x:c r="K553" t="str">
        <x:f>IF(OR(Match_Data!S553="",Match_Data!T553=""),"",Match_Data!S553+Match_Data!T553)</x:f>
      </x:c>
      <x:c r="L553" t="str">
        <x:f>IF(OR(Match_Data!U553="",Match_Data!V553=""),"",Match_Data!U553-Match_Data!V553)</x:f>
      </x:c>
      <x:c r="M553" s="32" t="str">
        <x:f>IF(Match_Data!Y553="","",1/Match_Data!Y553)</x:f>
      </x:c>
      <x:c r="N553" s="32" t="str">
        <x:f>IF(Match_Data!AA553="","",1/Match_Data!AA553)</x:f>
      </x:c>
      <x:c r="O553" s="32" t="str">
        <x:f>IF(OR(M553="",N553=""),"",N553-M553)</x:f>
      </x:c>
      <x:c r="P553" t="str">
        <x:f>IF(Match_Data!J553="","",IF(Match_Data!J553="OVER",1,0))</x:f>
      </x:c>
    </x:row>
    <x:row r="554">
      <x:c r="A554" t="n">
        <x:f>Match_Data!A554</x:f>
        <x:v>0</x:v>
      </x:c>
      <x:c r="B554" s="28" t="n">
        <x:f>Match_Data!B554</x:f>
        <x:v>0</x:v>
      </x:c>
      <x:c r="C554" t="n">
        <x:f>Match_Data!C554</x:f>
        <x:v>0</x:v>
      </x:c>
      <x:c r="D554" t="n">
        <x:f>Match_Data!E554</x:f>
        <x:v>0</x:v>
      </x:c>
      <x:c r="E554" t="n">
        <x:f>Match_Data!F554</x:f>
        <x:v>0</x:v>
      </x:c>
      <x:c r="F554" t="n">
        <x:f>Match_Data!AC554</x:f>
        <x:v>0</x:v>
      </x:c>
      <x:c r="G554" t="str">
        <x:f>IF(OR(Match_Data!K554="",Match_Data!L554=""),"",AVERAGE(Match_Data!K554:L554))</x:f>
      </x:c>
      <x:c r="H554" t="str">
        <x:f>IF(OR(Match_Data!M554="",Match_Data!N554=""),"",AVERAGE(Match_Data!M554:N554))</x:f>
      </x:c>
      <x:c r="I554" t="str">
        <x:f>IF(OR(Match_Data!O554="",Match_Data!Q554=""),"",Match_Data!O554+Match_Data!Q554)</x:f>
      </x:c>
      <x:c r="J554" t="str">
        <x:f>IF(OR(Match_Data!P554="",Match_Data!R554=""),"",Match_Data!P554+Match_Data!R554)</x:f>
      </x:c>
      <x:c r="K554" t="str">
        <x:f>IF(OR(Match_Data!S554="",Match_Data!T554=""),"",Match_Data!S554+Match_Data!T554)</x:f>
      </x:c>
      <x:c r="L554" t="str">
        <x:f>IF(OR(Match_Data!U554="",Match_Data!V554=""),"",Match_Data!U554-Match_Data!V554)</x:f>
      </x:c>
      <x:c r="M554" s="32" t="str">
        <x:f>IF(Match_Data!Y554="","",1/Match_Data!Y554)</x:f>
      </x:c>
      <x:c r="N554" s="32" t="str">
        <x:f>IF(Match_Data!AA554="","",1/Match_Data!AA554)</x:f>
      </x:c>
      <x:c r="O554" s="32" t="str">
        <x:f>IF(OR(M554="",N554=""),"",N554-M554)</x:f>
      </x:c>
      <x:c r="P554" t="str">
        <x:f>IF(Match_Data!J554="","",IF(Match_Data!J554="OVER",1,0))</x:f>
      </x:c>
    </x:row>
    <x:row r="555">
      <x:c r="A555" t="n">
        <x:f>Match_Data!A555</x:f>
        <x:v>0</x:v>
      </x:c>
      <x:c r="B555" s="28" t="n">
        <x:f>Match_Data!B555</x:f>
        <x:v>0</x:v>
      </x:c>
      <x:c r="C555" t="n">
        <x:f>Match_Data!C555</x:f>
        <x:v>0</x:v>
      </x:c>
      <x:c r="D555" t="n">
        <x:f>Match_Data!E555</x:f>
        <x:v>0</x:v>
      </x:c>
      <x:c r="E555" t="n">
        <x:f>Match_Data!F555</x:f>
        <x:v>0</x:v>
      </x:c>
      <x:c r="F555" t="n">
        <x:f>Match_Data!AC555</x:f>
        <x:v>0</x:v>
      </x:c>
      <x:c r="G555" t="str">
        <x:f>IF(OR(Match_Data!K555="",Match_Data!L555=""),"",AVERAGE(Match_Data!K555:L555))</x:f>
      </x:c>
      <x:c r="H555" t="str">
        <x:f>IF(OR(Match_Data!M555="",Match_Data!N555=""),"",AVERAGE(Match_Data!M555:N555))</x:f>
      </x:c>
      <x:c r="I555" t="str">
        <x:f>IF(OR(Match_Data!O555="",Match_Data!Q555=""),"",Match_Data!O555+Match_Data!Q555)</x:f>
      </x:c>
      <x:c r="J555" t="str">
        <x:f>IF(OR(Match_Data!P555="",Match_Data!R555=""),"",Match_Data!P555+Match_Data!R555)</x:f>
      </x:c>
      <x:c r="K555" t="str">
        <x:f>IF(OR(Match_Data!S555="",Match_Data!T555=""),"",Match_Data!S555+Match_Data!T555)</x:f>
      </x:c>
      <x:c r="L555" t="str">
        <x:f>IF(OR(Match_Data!U555="",Match_Data!V555=""),"",Match_Data!U555-Match_Data!V555)</x:f>
      </x:c>
      <x:c r="M555" s="32" t="str">
        <x:f>IF(Match_Data!Y555="","",1/Match_Data!Y555)</x:f>
      </x:c>
      <x:c r="N555" s="32" t="str">
        <x:f>IF(Match_Data!AA555="","",1/Match_Data!AA555)</x:f>
      </x:c>
      <x:c r="O555" s="32" t="str">
        <x:f>IF(OR(M555="",N555=""),"",N555-M555)</x:f>
      </x:c>
      <x:c r="P555" t="str">
        <x:f>IF(Match_Data!J555="","",IF(Match_Data!J555="OVER",1,0))</x:f>
      </x:c>
    </x:row>
    <x:row r="556">
      <x:c r="A556" t="n">
        <x:f>Match_Data!A556</x:f>
        <x:v>0</x:v>
      </x:c>
      <x:c r="B556" s="28" t="n">
        <x:f>Match_Data!B556</x:f>
        <x:v>0</x:v>
      </x:c>
      <x:c r="C556" t="n">
        <x:f>Match_Data!C556</x:f>
        <x:v>0</x:v>
      </x:c>
      <x:c r="D556" t="n">
        <x:f>Match_Data!E556</x:f>
        <x:v>0</x:v>
      </x:c>
      <x:c r="E556" t="n">
        <x:f>Match_Data!F556</x:f>
        <x:v>0</x:v>
      </x:c>
      <x:c r="F556" t="n">
        <x:f>Match_Data!AC556</x:f>
        <x:v>0</x:v>
      </x:c>
      <x:c r="G556" t="str">
        <x:f>IF(OR(Match_Data!K556="",Match_Data!L556=""),"",AVERAGE(Match_Data!K556:L556))</x:f>
      </x:c>
      <x:c r="H556" t="str">
        <x:f>IF(OR(Match_Data!M556="",Match_Data!N556=""),"",AVERAGE(Match_Data!M556:N556))</x:f>
      </x:c>
      <x:c r="I556" t="str">
        <x:f>IF(OR(Match_Data!O556="",Match_Data!Q556=""),"",Match_Data!O556+Match_Data!Q556)</x:f>
      </x:c>
      <x:c r="J556" t="str">
        <x:f>IF(OR(Match_Data!P556="",Match_Data!R556=""),"",Match_Data!P556+Match_Data!R556)</x:f>
      </x:c>
      <x:c r="K556" t="str">
        <x:f>IF(OR(Match_Data!S556="",Match_Data!T556=""),"",Match_Data!S556+Match_Data!T556)</x:f>
      </x:c>
      <x:c r="L556" t="str">
        <x:f>IF(OR(Match_Data!U556="",Match_Data!V556=""),"",Match_Data!U556-Match_Data!V556)</x:f>
      </x:c>
      <x:c r="M556" s="32" t="str">
        <x:f>IF(Match_Data!Y556="","",1/Match_Data!Y556)</x:f>
      </x:c>
      <x:c r="N556" s="32" t="str">
        <x:f>IF(Match_Data!AA556="","",1/Match_Data!AA556)</x:f>
      </x:c>
      <x:c r="O556" s="32" t="str">
        <x:f>IF(OR(M556="",N556=""),"",N556-M556)</x:f>
      </x:c>
      <x:c r="P556" t="str">
        <x:f>IF(Match_Data!J556="","",IF(Match_Data!J556="OVER",1,0))</x:f>
      </x:c>
    </x:row>
    <x:row r="557">
      <x:c r="A557" t="n">
        <x:f>Match_Data!A557</x:f>
        <x:v>0</x:v>
      </x:c>
      <x:c r="B557" s="28" t="n">
        <x:f>Match_Data!B557</x:f>
        <x:v>0</x:v>
      </x:c>
      <x:c r="C557" t="n">
        <x:f>Match_Data!C557</x:f>
        <x:v>0</x:v>
      </x:c>
      <x:c r="D557" t="n">
        <x:f>Match_Data!E557</x:f>
        <x:v>0</x:v>
      </x:c>
      <x:c r="E557" t="n">
        <x:f>Match_Data!F557</x:f>
        <x:v>0</x:v>
      </x:c>
      <x:c r="F557" t="n">
        <x:f>Match_Data!AC557</x:f>
        <x:v>0</x:v>
      </x:c>
      <x:c r="G557" t="str">
        <x:f>IF(OR(Match_Data!K557="",Match_Data!L557=""),"",AVERAGE(Match_Data!K557:L557))</x:f>
      </x:c>
      <x:c r="H557" t="str">
        <x:f>IF(OR(Match_Data!M557="",Match_Data!N557=""),"",AVERAGE(Match_Data!M557:N557))</x:f>
      </x:c>
      <x:c r="I557" t="str">
        <x:f>IF(OR(Match_Data!O557="",Match_Data!Q557=""),"",Match_Data!O557+Match_Data!Q557)</x:f>
      </x:c>
      <x:c r="J557" t="str">
        <x:f>IF(OR(Match_Data!P557="",Match_Data!R557=""),"",Match_Data!P557+Match_Data!R557)</x:f>
      </x:c>
      <x:c r="K557" t="str">
        <x:f>IF(OR(Match_Data!S557="",Match_Data!T557=""),"",Match_Data!S557+Match_Data!T557)</x:f>
      </x:c>
      <x:c r="L557" t="str">
        <x:f>IF(OR(Match_Data!U557="",Match_Data!V557=""),"",Match_Data!U557-Match_Data!V557)</x:f>
      </x:c>
      <x:c r="M557" s="32" t="str">
        <x:f>IF(Match_Data!Y557="","",1/Match_Data!Y557)</x:f>
      </x:c>
      <x:c r="N557" s="32" t="str">
        <x:f>IF(Match_Data!AA557="","",1/Match_Data!AA557)</x:f>
      </x:c>
      <x:c r="O557" s="32" t="str">
        <x:f>IF(OR(M557="",N557=""),"",N557-M557)</x:f>
      </x:c>
      <x:c r="P557" t="str">
        <x:f>IF(Match_Data!J557="","",IF(Match_Data!J557="OVER",1,0))</x:f>
      </x:c>
    </x:row>
    <x:row r="558">
      <x:c r="A558" t="n">
        <x:f>Match_Data!A558</x:f>
        <x:v>0</x:v>
      </x:c>
      <x:c r="B558" s="28" t="n">
        <x:f>Match_Data!B558</x:f>
        <x:v>0</x:v>
      </x:c>
      <x:c r="C558" t="n">
        <x:f>Match_Data!C558</x:f>
        <x:v>0</x:v>
      </x:c>
      <x:c r="D558" t="n">
        <x:f>Match_Data!E558</x:f>
        <x:v>0</x:v>
      </x:c>
      <x:c r="E558" t="n">
        <x:f>Match_Data!F558</x:f>
        <x:v>0</x:v>
      </x:c>
      <x:c r="F558" t="n">
        <x:f>Match_Data!AC558</x:f>
        <x:v>0</x:v>
      </x:c>
      <x:c r="G558" t="str">
        <x:f>IF(OR(Match_Data!K558="",Match_Data!L558=""),"",AVERAGE(Match_Data!K558:L558))</x:f>
      </x:c>
      <x:c r="H558" t="str">
        <x:f>IF(OR(Match_Data!M558="",Match_Data!N558=""),"",AVERAGE(Match_Data!M558:N558))</x:f>
      </x:c>
      <x:c r="I558" t="str">
        <x:f>IF(OR(Match_Data!O558="",Match_Data!Q558=""),"",Match_Data!O558+Match_Data!Q558)</x:f>
      </x:c>
      <x:c r="J558" t="str">
        <x:f>IF(OR(Match_Data!P558="",Match_Data!R558=""),"",Match_Data!P558+Match_Data!R558)</x:f>
      </x:c>
      <x:c r="K558" t="str">
        <x:f>IF(OR(Match_Data!S558="",Match_Data!T558=""),"",Match_Data!S558+Match_Data!T558)</x:f>
      </x:c>
      <x:c r="L558" t="str">
        <x:f>IF(OR(Match_Data!U558="",Match_Data!V558=""),"",Match_Data!U558-Match_Data!V558)</x:f>
      </x:c>
      <x:c r="M558" s="32" t="str">
        <x:f>IF(Match_Data!Y558="","",1/Match_Data!Y558)</x:f>
      </x:c>
      <x:c r="N558" s="32" t="str">
        <x:f>IF(Match_Data!AA558="","",1/Match_Data!AA558)</x:f>
      </x:c>
      <x:c r="O558" s="32" t="str">
        <x:f>IF(OR(M558="",N558=""),"",N558-M558)</x:f>
      </x:c>
      <x:c r="P558" t="str">
        <x:f>IF(Match_Data!J558="","",IF(Match_Data!J558="OVER",1,0))</x:f>
      </x:c>
    </x:row>
    <x:row r="559">
      <x:c r="A559" t="n">
        <x:f>Match_Data!A559</x:f>
        <x:v>0</x:v>
      </x:c>
      <x:c r="B559" s="28" t="n">
        <x:f>Match_Data!B559</x:f>
        <x:v>0</x:v>
      </x:c>
      <x:c r="C559" t="n">
        <x:f>Match_Data!C559</x:f>
        <x:v>0</x:v>
      </x:c>
      <x:c r="D559" t="n">
        <x:f>Match_Data!E559</x:f>
        <x:v>0</x:v>
      </x:c>
      <x:c r="E559" t="n">
        <x:f>Match_Data!F559</x:f>
        <x:v>0</x:v>
      </x:c>
      <x:c r="F559" t="n">
        <x:f>Match_Data!AC559</x:f>
        <x:v>0</x:v>
      </x:c>
      <x:c r="G559" t="str">
        <x:f>IF(OR(Match_Data!K559="",Match_Data!L559=""),"",AVERAGE(Match_Data!K559:L559))</x:f>
      </x:c>
      <x:c r="H559" t="str">
        <x:f>IF(OR(Match_Data!M559="",Match_Data!N559=""),"",AVERAGE(Match_Data!M559:N559))</x:f>
      </x:c>
      <x:c r="I559" t="str">
        <x:f>IF(OR(Match_Data!O559="",Match_Data!Q559=""),"",Match_Data!O559+Match_Data!Q559)</x:f>
      </x:c>
      <x:c r="J559" t="str">
        <x:f>IF(OR(Match_Data!P559="",Match_Data!R559=""),"",Match_Data!P559+Match_Data!R559)</x:f>
      </x:c>
      <x:c r="K559" t="str">
        <x:f>IF(OR(Match_Data!S559="",Match_Data!T559=""),"",Match_Data!S559+Match_Data!T559)</x:f>
      </x:c>
      <x:c r="L559" t="str">
        <x:f>IF(OR(Match_Data!U559="",Match_Data!V559=""),"",Match_Data!U559-Match_Data!V559)</x:f>
      </x:c>
      <x:c r="M559" s="32" t="str">
        <x:f>IF(Match_Data!Y559="","",1/Match_Data!Y559)</x:f>
      </x:c>
      <x:c r="N559" s="32" t="str">
        <x:f>IF(Match_Data!AA559="","",1/Match_Data!AA559)</x:f>
      </x:c>
      <x:c r="O559" s="32" t="str">
        <x:f>IF(OR(M559="",N559=""),"",N559-M559)</x:f>
      </x:c>
      <x:c r="P559" t="str">
        <x:f>IF(Match_Data!J559="","",IF(Match_Data!J559="OVER",1,0))</x:f>
      </x:c>
    </x:row>
    <x:row r="560">
      <x:c r="A560" t="n">
        <x:f>Match_Data!A560</x:f>
        <x:v>0</x:v>
      </x:c>
      <x:c r="B560" s="28" t="n">
        <x:f>Match_Data!B560</x:f>
        <x:v>0</x:v>
      </x:c>
      <x:c r="C560" t="n">
        <x:f>Match_Data!C560</x:f>
        <x:v>0</x:v>
      </x:c>
      <x:c r="D560" t="n">
        <x:f>Match_Data!E560</x:f>
        <x:v>0</x:v>
      </x:c>
      <x:c r="E560" t="n">
        <x:f>Match_Data!F560</x:f>
        <x:v>0</x:v>
      </x:c>
      <x:c r="F560" t="n">
        <x:f>Match_Data!AC560</x:f>
        <x:v>0</x:v>
      </x:c>
      <x:c r="G560" t="str">
        <x:f>IF(OR(Match_Data!K560="",Match_Data!L560=""),"",AVERAGE(Match_Data!K560:L560))</x:f>
      </x:c>
      <x:c r="H560" t="str">
        <x:f>IF(OR(Match_Data!M560="",Match_Data!N560=""),"",AVERAGE(Match_Data!M560:N560))</x:f>
      </x:c>
      <x:c r="I560" t="str">
        <x:f>IF(OR(Match_Data!O560="",Match_Data!Q560=""),"",Match_Data!O560+Match_Data!Q560)</x:f>
      </x:c>
      <x:c r="J560" t="str">
        <x:f>IF(OR(Match_Data!P560="",Match_Data!R560=""),"",Match_Data!P560+Match_Data!R560)</x:f>
      </x:c>
      <x:c r="K560" t="str">
        <x:f>IF(OR(Match_Data!S560="",Match_Data!T560=""),"",Match_Data!S560+Match_Data!T560)</x:f>
      </x:c>
      <x:c r="L560" t="str">
        <x:f>IF(OR(Match_Data!U560="",Match_Data!V560=""),"",Match_Data!U560-Match_Data!V560)</x:f>
      </x:c>
      <x:c r="M560" s="32" t="str">
        <x:f>IF(Match_Data!Y560="","",1/Match_Data!Y560)</x:f>
      </x:c>
      <x:c r="N560" s="32" t="str">
        <x:f>IF(Match_Data!AA560="","",1/Match_Data!AA560)</x:f>
      </x:c>
      <x:c r="O560" s="32" t="str">
        <x:f>IF(OR(M560="",N560=""),"",N560-M560)</x:f>
      </x:c>
      <x:c r="P560" t="str">
        <x:f>IF(Match_Data!J560="","",IF(Match_Data!J560="OVER",1,0))</x:f>
      </x:c>
    </x:row>
    <x:row r="561">
      <x:c r="A561" t="n">
        <x:f>Match_Data!A561</x:f>
        <x:v>0</x:v>
      </x:c>
      <x:c r="B561" s="28" t="n">
        <x:f>Match_Data!B561</x:f>
        <x:v>0</x:v>
      </x:c>
      <x:c r="C561" t="n">
        <x:f>Match_Data!C561</x:f>
        <x:v>0</x:v>
      </x:c>
      <x:c r="D561" t="n">
        <x:f>Match_Data!E561</x:f>
        <x:v>0</x:v>
      </x:c>
      <x:c r="E561" t="n">
        <x:f>Match_Data!F561</x:f>
        <x:v>0</x:v>
      </x:c>
      <x:c r="F561" t="n">
        <x:f>Match_Data!AC561</x:f>
        <x:v>0</x:v>
      </x:c>
      <x:c r="G561" t="str">
        <x:f>IF(OR(Match_Data!K561="",Match_Data!L561=""),"",AVERAGE(Match_Data!K561:L561))</x:f>
      </x:c>
      <x:c r="H561" t="str">
        <x:f>IF(OR(Match_Data!M561="",Match_Data!N561=""),"",AVERAGE(Match_Data!M561:N561))</x:f>
      </x:c>
      <x:c r="I561" t="str">
        <x:f>IF(OR(Match_Data!O561="",Match_Data!Q561=""),"",Match_Data!O561+Match_Data!Q561)</x:f>
      </x:c>
      <x:c r="J561" t="str">
        <x:f>IF(OR(Match_Data!P561="",Match_Data!R561=""),"",Match_Data!P561+Match_Data!R561)</x:f>
      </x:c>
      <x:c r="K561" t="str">
        <x:f>IF(OR(Match_Data!S561="",Match_Data!T561=""),"",Match_Data!S561+Match_Data!T561)</x:f>
      </x:c>
      <x:c r="L561" t="str">
        <x:f>IF(OR(Match_Data!U561="",Match_Data!V561=""),"",Match_Data!U561-Match_Data!V561)</x:f>
      </x:c>
      <x:c r="M561" s="32" t="str">
        <x:f>IF(Match_Data!Y561="","",1/Match_Data!Y561)</x:f>
      </x:c>
      <x:c r="N561" s="32" t="str">
        <x:f>IF(Match_Data!AA561="","",1/Match_Data!AA561)</x:f>
      </x:c>
      <x:c r="O561" s="32" t="str">
        <x:f>IF(OR(M561="",N561=""),"",N561-M561)</x:f>
      </x:c>
      <x:c r="P561" t="str">
        <x:f>IF(Match_Data!J561="","",IF(Match_Data!J561="OVER",1,0))</x:f>
      </x:c>
    </x:row>
    <x:row r="562">
      <x:c r="A562" t="n">
        <x:f>Match_Data!A562</x:f>
        <x:v>0</x:v>
      </x:c>
      <x:c r="B562" s="28" t="n">
        <x:f>Match_Data!B562</x:f>
        <x:v>0</x:v>
      </x:c>
      <x:c r="C562" t="n">
        <x:f>Match_Data!C562</x:f>
        <x:v>0</x:v>
      </x:c>
      <x:c r="D562" t="n">
        <x:f>Match_Data!E562</x:f>
        <x:v>0</x:v>
      </x:c>
      <x:c r="E562" t="n">
        <x:f>Match_Data!F562</x:f>
        <x:v>0</x:v>
      </x:c>
      <x:c r="F562" t="n">
        <x:f>Match_Data!AC562</x:f>
        <x:v>0</x:v>
      </x:c>
      <x:c r="G562" t="str">
        <x:f>IF(OR(Match_Data!K562="",Match_Data!L562=""),"",AVERAGE(Match_Data!K562:L562))</x:f>
      </x:c>
      <x:c r="H562" t="str">
        <x:f>IF(OR(Match_Data!M562="",Match_Data!N562=""),"",AVERAGE(Match_Data!M562:N562))</x:f>
      </x:c>
      <x:c r="I562" t="str">
        <x:f>IF(OR(Match_Data!O562="",Match_Data!Q562=""),"",Match_Data!O562+Match_Data!Q562)</x:f>
      </x:c>
      <x:c r="J562" t="str">
        <x:f>IF(OR(Match_Data!P562="",Match_Data!R562=""),"",Match_Data!P562+Match_Data!R562)</x:f>
      </x:c>
      <x:c r="K562" t="str">
        <x:f>IF(OR(Match_Data!S562="",Match_Data!T562=""),"",Match_Data!S562+Match_Data!T562)</x:f>
      </x:c>
      <x:c r="L562" t="str">
        <x:f>IF(OR(Match_Data!U562="",Match_Data!V562=""),"",Match_Data!U562-Match_Data!V562)</x:f>
      </x:c>
      <x:c r="M562" s="32" t="str">
        <x:f>IF(Match_Data!Y562="","",1/Match_Data!Y562)</x:f>
      </x:c>
      <x:c r="N562" s="32" t="str">
        <x:f>IF(Match_Data!AA562="","",1/Match_Data!AA562)</x:f>
      </x:c>
      <x:c r="O562" s="32" t="str">
        <x:f>IF(OR(M562="",N562=""),"",N562-M562)</x:f>
      </x:c>
      <x:c r="P562" t="str">
        <x:f>IF(Match_Data!J562="","",IF(Match_Data!J562="OVER",1,0))</x:f>
      </x:c>
    </x:row>
    <x:row r="563">
      <x:c r="A563" t="n">
        <x:f>Match_Data!A563</x:f>
        <x:v>0</x:v>
      </x:c>
      <x:c r="B563" s="28" t="n">
        <x:f>Match_Data!B563</x:f>
        <x:v>0</x:v>
      </x:c>
      <x:c r="C563" t="n">
        <x:f>Match_Data!C563</x:f>
        <x:v>0</x:v>
      </x:c>
      <x:c r="D563" t="n">
        <x:f>Match_Data!E563</x:f>
        <x:v>0</x:v>
      </x:c>
      <x:c r="E563" t="n">
        <x:f>Match_Data!F563</x:f>
        <x:v>0</x:v>
      </x:c>
      <x:c r="F563" t="n">
        <x:f>Match_Data!AC563</x:f>
        <x:v>0</x:v>
      </x:c>
      <x:c r="G563" t="str">
        <x:f>IF(OR(Match_Data!K563="",Match_Data!L563=""),"",AVERAGE(Match_Data!K563:L563))</x:f>
      </x:c>
      <x:c r="H563" t="str">
        <x:f>IF(OR(Match_Data!M563="",Match_Data!N563=""),"",AVERAGE(Match_Data!M563:N563))</x:f>
      </x:c>
      <x:c r="I563" t="str">
        <x:f>IF(OR(Match_Data!O563="",Match_Data!Q563=""),"",Match_Data!O563+Match_Data!Q563)</x:f>
      </x:c>
      <x:c r="J563" t="str">
        <x:f>IF(OR(Match_Data!P563="",Match_Data!R563=""),"",Match_Data!P563+Match_Data!R563)</x:f>
      </x:c>
      <x:c r="K563" t="str">
        <x:f>IF(OR(Match_Data!S563="",Match_Data!T563=""),"",Match_Data!S563+Match_Data!T563)</x:f>
      </x:c>
      <x:c r="L563" t="str">
        <x:f>IF(OR(Match_Data!U563="",Match_Data!V563=""),"",Match_Data!U563-Match_Data!V563)</x:f>
      </x:c>
      <x:c r="M563" s="32" t="str">
        <x:f>IF(Match_Data!Y563="","",1/Match_Data!Y563)</x:f>
      </x:c>
      <x:c r="N563" s="32" t="str">
        <x:f>IF(Match_Data!AA563="","",1/Match_Data!AA563)</x:f>
      </x:c>
      <x:c r="O563" s="32" t="str">
        <x:f>IF(OR(M563="",N563=""),"",N563-M563)</x:f>
      </x:c>
      <x:c r="P563" t="str">
        <x:f>IF(Match_Data!J563="","",IF(Match_Data!J563="OVER",1,0))</x:f>
      </x:c>
    </x:row>
    <x:row r="564">
      <x:c r="A564" t="n">
        <x:f>Match_Data!A564</x:f>
        <x:v>0</x:v>
      </x:c>
      <x:c r="B564" s="28" t="n">
        <x:f>Match_Data!B564</x:f>
        <x:v>0</x:v>
      </x:c>
      <x:c r="C564" t="n">
        <x:f>Match_Data!C564</x:f>
        <x:v>0</x:v>
      </x:c>
      <x:c r="D564" t="n">
        <x:f>Match_Data!E564</x:f>
        <x:v>0</x:v>
      </x:c>
      <x:c r="E564" t="n">
        <x:f>Match_Data!F564</x:f>
        <x:v>0</x:v>
      </x:c>
      <x:c r="F564" t="n">
        <x:f>Match_Data!AC564</x:f>
        <x:v>0</x:v>
      </x:c>
      <x:c r="G564" t="str">
        <x:f>IF(OR(Match_Data!K564="",Match_Data!L564=""),"",AVERAGE(Match_Data!K564:L564))</x:f>
      </x:c>
      <x:c r="H564" t="str">
        <x:f>IF(OR(Match_Data!M564="",Match_Data!N564=""),"",AVERAGE(Match_Data!M564:N564))</x:f>
      </x:c>
      <x:c r="I564" t="str">
        <x:f>IF(OR(Match_Data!O564="",Match_Data!Q564=""),"",Match_Data!O564+Match_Data!Q564)</x:f>
      </x:c>
      <x:c r="J564" t="str">
        <x:f>IF(OR(Match_Data!P564="",Match_Data!R564=""),"",Match_Data!P564+Match_Data!R564)</x:f>
      </x:c>
      <x:c r="K564" t="str">
        <x:f>IF(OR(Match_Data!S564="",Match_Data!T564=""),"",Match_Data!S564+Match_Data!T564)</x:f>
      </x:c>
      <x:c r="L564" t="str">
        <x:f>IF(OR(Match_Data!U564="",Match_Data!V564=""),"",Match_Data!U564-Match_Data!V564)</x:f>
      </x:c>
      <x:c r="M564" s="32" t="str">
        <x:f>IF(Match_Data!Y564="","",1/Match_Data!Y564)</x:f>
      </x:c>
      <x:c r="N564" s="32" t="str">
        <x:f>IF(Match_Data!AA564="","",1/Match_Data!AA564)</x:f>
      </x:c>
      <x:c r="O564" s="32" t="str">
        <x:f>IF(OR(M564="",N564=""),"",N564-M564)</x:f>
      </x:c>
      <x:c r="P564" t="str">
        <x:f>IF(Match_Data!J564="","",IF(Match_Data!J564="OVER",1,0))</x:f>
      </x:c>
    </x:row>
    <x:row r="565">
      <x:c r="A565" t="n">
        <x:f>Match_Data!A565</x:f>
        <x:v>0</x:v>
      </x:c>
      <x:c r="B565" s="28" t="n">
        <x:f>Match_Data!B565</x:f>
        <x:v>0</x:v>
      </x:c>
      <x:c r="C565" t="n">
        <x:f>Match_Data!C565</x:f>
        <x:v>0</x:v>
      </x:c>
      <x:c r="D565" t="n">
        <x:f>Match_Data!E565</x:f>
        <x:v>0</x:v>
      </x:c>
      <x:c r="E565" t="n">
        <x:f>Match_Data!F565</x:f>
        <x:v>0</x:v>
      </x:c>
      <x:c r="F565" t="n">
        <x:f>Match_Data!AC565</x:f>
        <x:v>0</x:v>
      </x:c>
      <x:c r="G565" t="str">
        <x:f>IF(OR(Match_Data!K565="",Match_Data!L565=""),"",AVERAGE(Match_Data!K565:L565))</x:f>
      </x:c>
      <x:c r="H565" t="str">
        <x:f>IF(OR(Match_Data!M565="",Match_Data!N565=""),"",AVERAGE(Match_Data!M565:N565))</x:f>
      </x:c>
      <x:c r="I565" t="str">
        <x:f>IF(OR(Match_Data!O565="",Match_Data!Q565=""),"",Match_Data!O565+Match_Data!Q565)</x:f>
      </x:c>
      <x:c r="J565" t="str">
        <x:f>IF(OR(Match_Data!P565="",Match_Data!R565=""),"",Match_Data!P565+Match_Data!R565)</x:f>
      </x:c>
      <x:c r="K565" t="str">
        <x:f>IF(OR(Match_Data!S565="",Match_Data!T565=""),"",Match_Data!S565+Match_Data!T565)</x:f>
      </x:c>
      <x:c r="L565" t="str">
        <x:f>IF(OR(Match_Data!U565="",Match_Data!V565=""),"",Match_Data!U565-Match_Data!V565)</x:f>
      </x:c>
      <x:c r="M565" s="32" t="str">
        <x:f>IF(Match_Data!Y565="","",1/Match_Data!Y565)</x:f>
      </x:c>
      <x:c r="N565" s="32" t="str">
        <x:f>IF(Match_Data!AA565="","",1/Match_Data!AA565)</x:f>
      </x:c>
      <x:c r="O565" s="32" t="str">
        <x:f>IF(OR(M565="",N565=""),"",N565-M565)</x:f>
      </x:c>
      <x:c r="P565" t="str">
        <x:f>IF(Match_Data!J565="","",IF(Match_Data!J565="OVER",1,0))</x:f>
      </x:c>
    </x:row>
    <x:row r="566">
      <x:c r="A566" t="n">
        <x:f>Match_Data!A566</x:f>
        <x:v>0</x:v>
      </x:c>
      <x:c r="B566" s="28" t="n">
        <x:f>Match_Data!B566</x:f>
        <x:v>0</x:v>
      </x:c>
      <x:c r="C566" t="n">
        <x:f>Match_Data!C566</x:f>
        <x:v>0</x:v>
      </x:c>
      <x:c r="D566" t="n">
        <x:f>Match_Data!E566</x:f>
        <x:v>0</x:v>
      </x:c>
      <x:c r="E566" t="n">
        <x:f>Match_Data!F566</x:f>
        <x:v>0</x:v>
      </x:c>
      <x:c r="F566" t="n">
        <x:f>Match_Data!AC566</x:f>
        <x:v>0</x:v>
      </x:c>
      <x:c r="G566" t="str">
        <x:f>IF(OR(Match_Data!K566="",Match_Data!L566=""),"",AVERAGE(Match_Data!K566:L566))</x:f>
      </x:c>
      <x:c r="H566" t="str">
        <x:f>IF(OR(Match_Data!M566="",Match_Data!N566=""),"",AVERAGE(Match_Data!M566:N566))</x:f>
      </x:c>
      <x:c r="I566" t="str">
        <x:f>IF(OR(Match_Data!O566="",Match_Data!Q566=""),"",Match_Data!O566+Match_Data!Q566)</x:f>
      </x:c>
      <x:c r="J566" t="str">
        <x:f>IF(OR(Match_Data!P566="",Match_Data!R566=""),"",Match_Data!P566+Match_Data!R566)</x:f>
      </x:c>
      <x:c r="K566" t="str">
        <x:f>IF(OR(Match_Data!S566="",Match_Data!T566=""),"",Match_Data!S566+Match_Data!T566)</x:f>
      </x:c>
      <x:c r="L566" t="str">
        <x:f>IF(OR(Match_Data!U566="",Match_Data!V566=""),"",Match_Data!U566-Match_Data!V566)</x:f>
      </x:c>
      <x:c r="M566" s="32" t="str">
        <x:f>IF(Match_Data!Y566="","",1/Match_Data!Y566)</x:f>
      </x:c>
      <x:c r="N566" s="32" t="str">
        <x:f>IF(Match_Data!AA566="","",1/Match_Data!AA566)</x:f>
      </x:c>
      <x:c r="O566" s="32" t="str">
        <x:f>IF(OR(M566="",N566=""),"",N566-M566)</x:f>
      </x:c>
      <x:c r="P566" t="str">
        <x:f>IF(Match_Data!J566="","",IF(Match_Data!J566="OVER",1,0))</x:f>
      </x:c>
    </x:row>
    <x:row r="567">
      <x:c r="A567" t="n">
        <x:f>Match_Data!A567</x:f>
        <x:v>0</x:v>
      </x:c>
      <x:c r="B567" s="28" t="n">
        <x:f>Match_Data!B567</x:f>
        <x:v>0</x:v>
      </x:c>
      <x:c r="C567" t="n">
        <x:f>Match_Data!C567</x:f>
        <x:v>0</x:v>
      </x:c>
      <x:c r="D567" t="n">
        <x:f>Match_Data!E567</x:f>
        <x:v>0</x:v>
      </x:c>
      <x:c r="E567" t="n">
        <x:f>Match_Data!F567</x:f>
        <x:v>0</x:v>
      </x:c>
      <x:c r="F567" t="n">
        <x:f>Match_Data!AC567</x:f>
        <x:v>0</x:v>
      </x:c>
      <x:c r="G567" t="str">
        <x:f>IF(OR(Match_Data!K567="",Match_Data!L567=""),"",AVERAGE(Match_Data!K567:L567))</x:f>
      </x:c>
      <x:c r="H567" t="str">
        <x:f>IF(OR(Match_Data!M567="",Match_Data!N567=""),"",AVERAGE(Match_Data!M567:N567))</x:f>
      </x:c>
      <x:c r="I567" t="str">
        <x:f>IF(OR(Match_Data!O567="",Match_Data!Q567=""),"",Match_Data!O567+Match_Data!Q567)</x:f>
      </x:c>
      <x:c r="J567" t="str">
        <x:f>IF(OR(Match_Data!P567="",Match_Data!R567=""),"",Match_Data!P567+Match_Data!R567)</x:f>
      </x:c>
      <x:c r="K567" t="str">
        <x:f>IF(OR(Match_Data!S567="",Match_Data!T567=""),"",Match_Data!S567+Match_Data!T567)</x:f>
      </x:c>
      <x:c r="L567" t="str">
        <x:f>IF(OR(Match_Data!U567="",Match_Data!V567=""),"",Match_Data!U567-Match_Data!V567)</x:f>
      </x:c>
      <x:c r="M567" s="32" t="str">
        <x:f>IF(Match_Data!Y567="","",1/Match_Data!Y567)</x:f>
      </x:c>
      <x:c r="N567" s="32" t="str">
        <x:f>IF(Match_Data!AA567="","",1/Match_Data!AA567)</x:f>
      </x:c>
      <x:c r="O567" s="32" t="str">
        <x:f>IF(OR(M567="",N567=""),"",N567-M567)</x:f>
      </x:c>
      <x:c r="P567" t="str">
        <x:f>IF(Match_Data!J567="","",IF(Match_Data!J567="OVER",1,0))</x:f>
      </x:c>
    </x:row>
    <x:row r="568">
      <x:c r="A568" t="n">
        <x:f>Match_Data!A568</x:f>
        <x:v>0</x:v>
      </x:c>
      <x:c r="B568" s="28" t="n">
        <x:f>Match_Data!B568</x:f>
        <x:v>0</x:v>
      </x:c>
      <x:c r="C568" t="n">
        <x:f>Match_Data!C568</x:f>
        <x:v>0</x:v>
      </x:c>
      <x:c r="D568" t="n">
        <x:f>Match_Data!E568</x:f>
        <x:v>0</x:v>
      </x:c>
      <x:c r="E568" t="n">
        <x:f>Match_Data!F568</x:f>
        <x:v>0</x:v>
      </x:c>
      <x:c r="F568" t="n">
        <x:f>Match_Data!AC568</x:f>
        <x:v>0</x:v>
      </x:c>
      <x:c r="G568" t="str">
        <x:f>IF(OR(Match_Data!K568="",Match_Data!L568=""),"",AVERAGE(Match_Data!K568:L568))</x:f>
      </x:c>
      <x:c r="H568" t="str">
        <x:f>IF(OR(Match_Data!M568="",Match_Data!N568=""),"",AVERAGE(Match_Data!M568:N568))</x:f>
      </x:c>
      <x:c r="I568" t="str">
        <x:f>IF(OR(Match_Data!O568="",Match_Data!Q568=""),"",Match_Data!O568+Match_Data!Q568)</x:f>
      </x:c>
      <x:c r="J568" t="str">
        <x:f>IF(OR(Match_Data!P568="",Match_Data!R568=""),"",Match_Data!P568+Match_Data!R568)</x:f>
      </x:c>
      <x:c r="K568" t="str">
        <x:f>IF(OR(Match_Data!S568="",Match_Data!T568=""),"",Match_Data!S568+Match_Data!T568)</x:f>
      </x:c>
      <x:c r="L568" t="str">
        <x:f>IF(OR(Match_Data!U568="",Match_Data!V568=""),"",Match_Data!U568-Match_Data!V568)</x:f>
      </x:c>
      <x:c r="M568" s="32" t="str">
        <x:f>IF(Match_Data!Y568="","",1/Match_Data!Y568)</x:f>
      </x:c>
      <x:c r="N568" s="32" t="str">
        <x:f>IF(Match_Data!AA568="","",1/Match_Data!AA568)</x:f>
      </x:c>
      <x:c r="O568" s="32" t="str">
        <x:f>IF(OR(M568="",N568=""),"",N568-M568)</x:f>
      </x:c>
      <x:c r="P568" t="str">
        <x:f>IF(Match_Data!J568="","",IF(Match_Data!J568="OVER",1,0))</x:f>
      </x:c>
    </x:row>
    <x:row r="569">
      <x:c r="A569" t="n">
        <x:f>Match_Data!A569</x:f>
        <x:v>0</x:v>
      </x:c>
      <x:c r="B569" s="28" t="n">
        <x:f>Match_Data!B569</x:f>
        <x:v>0</x:v>
      </x:c>
      <x:c r="C569" t="n">
        <x:f>Match_Data!C569</x:f>
        <x:v>0</x:v>
      </x:c>
      <x:c r="D569" t="n">
        <x:f>Match_Data!E569</x:f>
        <x:v>0</x:v>
      </x:c>
      <x:c r="E569" t="n">
        <x:f>Match_Data!F569</x:f>
        <x:v>0</x:v>
      </x:c>
      <x:c r="F569" t="n">
        <x:f>Match_Data!AC569</x:f>
        <x:v>0</x:v>
      </x:c>
      <x:c r="G569" t="str">
        <x:f>IF(OR(Match_Data!K569="",Match_Data!L569=""),"",AVERAGE(Match_Data!K569:L569))</x:f>
      </x:c>
      <x:c r="H569" t="str">
        <x:f>IF(OR(Match_Data!M569="",Match_Data!N569=""),"",AVERAGE(Match_Data!M569:N569))</x:f>
      </x:c>
      <x:c r="I569" t="str">
        <x:f>IF(OR(Match_Data!O569="",Match_Data!Q569=""),"",Match_Data!O569+Match_Data!Q569)</x:f>
      </x:c>
      <x:c r="J569" t="str">
        <x:f>IF(OR(Match_Data!P569="",Match_Data!R569=""),"",Match_Data!P569+Match_Data!R569)</x:f>
      </x:c>
      <x:c r="K569" t="str">
        <x:f>IF(OR(Match_Data!S569="",Match_Data!T569=""),"",Match_Data!S569+Match_Data!T569)</x:f>
      </x:c>
      <x:c r="L569" t="str">
        <x:f>IF(OR(Match_Data!U569="",Match_Data!V569=""),"",Match_Data!U569-Match_Data!V569)</x:f>
      </x:c>
      <x:c r="M569" s="32" t="str">
        <x:f>IF(Match_Data!Y569="","",1/Match_Data!Y569)</x:f>
      </x:c>
      <x:c r="N569" s="32" t="str">
        <x:f>IF(Match_Data!AA569="","",1/Match_Data!AA569)</x:f>
      </x:c>
      <x:c r="O569" s="32" t="str">
        <x:f>IF(OR(M569="",N569=""),"",N569-M569)</x:f>
      </x:c>
      <x:c r="P569" t="str">
        <x:f>IF(Match_Data!J569="","",IF(Match_Data!J569="OVER",1,0))</x:f>
      </x:c>
    </x:row>
    <x:row r="570">
      <x:c r="A570" t="n">
        <x:f>Match_Data!A570</x:f>
        <x:v>0</x:v>
      </x:c>
      <x:c r="B570" s="28" t="n">
        <x:f>Match_Data!B570</x:f>
        <x:v>0</x:v>
      </x:c>
      <x:c r="C570" t="n">
        <x:f>Match_Data!C570</x:f>
        <x:v>0</x:v>
      </x:c>
      <x:c r="D570" t="n">
        <x:f>Match_Data!E570</x:f>
        <x:v>0</x:v>
      </x:c>
      <x:c r="E570" t="n">
        <x:f>Match_Data!F570</x:f>
        <x:v>0</x:v>
      </x:c>
      <x:c r="F570" t="n">
        <x:f>Match_Data!AC570</x:f>
        <x:v>0</x:v>
      </x:c>
      <x:c r="G570" t="str">
        <x:f>IF(OR(Match_Data!K570="",Match_Data!L570=""),"",AVERAGE(Match_Data!K570:L570))</x:f>
      </x:c>
      <x:c r="H570" t="str">
        <x:f>IF(OR(Match_Data!M570="",Match_Data!N570=""),"",AVERAGE(Match_Data!M570:N570))</x:f>
      </x:c>
      <x:c r="I570" t="str">
        <x:f>IF(OR(Match_Data!O570="",Match_Data!Q570=""),"",Match_Data!O570+Match_Data!Q570)</x:f>
      </x:c>
      <x:c r="J570" t="str">
        <x:f>IF(OR(Match_Data!P570="",Match_Data!R570=""),"",Match_Data!P570+Match_Data!R570)</x:f>
      </x:c>
      <x:c r="K570" t="str">
        <x:f>IF(OR(Match_Data!S570="",Match_Data!T570=""),"",Match_Data!S570+Match_Data!T570)</x:f>
      </x:c>
      <x:c r="L570" t="str">
        <x:f>IF(OR(Match_Data!U570="",Match_Data!V570=""),"",Match_Data!U570-Match_Data!V570)</x:f>
      </x:c>
      <x:c r="M570" s="32" t="str">
        <x:f>IF(Match_Data!Y570="","",1/Match_Data!Y570)</x:f>
      </x:c>
      <x:c r="N570" s="32" t="str">
        <x:f>IF(Match_Data!AA570="","",1/Match_Data!AA570)</x:f>
      </x:c>
      <x:c r="O570" s="32" t="str">
        <x:f>IF(OR(M570="",N570=""),"",N570-M570)</x:f>
      </x:c>
      <x:c r="P570" t="str">
        <x:f>IF(Match_Data!J570="","",IF(Match_Data!J570="OVER",1,0))</x:f>
      </x:c>
    </x:row>
    <x:row r="571">
      <x:c r="A571" t="n">
        <x:f>Match_Data!A571</x:f>
        <x:v>0</x:v>
      </x:c>
      <x:c r="B571" s="28" t="n">
        <x:f>Match_Data!B571</x:f>
        <x:v>0</x:v>
      </x:c>
      <x:c r="C571" t="n">
        <x:f>Match_Data!C571</x:f>
        <x:v>0</x:v>
      </x:c>
      <x:c r="D571" t="n">
        <x:f>Match_Data!E571</x:f>
        <x:v>0</x:v>
      </x:c>
      <x:c r="E571" t="n">
        <x:f>Match_Data!F571</x:f>
        <x:v>0</x:v>
      </x:c>
      <x:c r="F571" t="n">
        <x:f>Match_Data!AC571</x:f>
        <x:v>0</x:v>
      </x:c>
      <x:c r="G571" t="str">
        <x:f>IF(OR(Match_Data!K571="",Match_Data!L571=""),"",AVERAGE(Match_Data!K571:L571))</x:f>
      </x:c>
      <x:c r="H571" t="str">
        <x:f>IF(OR(Match_Data!M571="",Match_Data!N571=""),"",AVERAGE(Match_Data!M571:N571))</x:f>
      </x:c>
      <x:c r="I571" t="str">
        <x:f>IF(OR(Match_Data!O571="",Match_Data!Q571=""),"",Match_Data!O571+Match_Data!Q571)</x:f>
      </x:c>
      <x:c r="J571" t="str">
        <x:f>IF(OR(Match_Data!P571="",Match_Data!R571=""),"",Match_Data!P571+Match_Data!R571)</x:f>
      </x:c>
      <x:c r="K571" t="str">
        <x:f>IF(OR(Match_Data!S571="",Match_Data!T571=""),"",Match_Data!S571+Match_Data!T571)</x:f>
      </x:c>
      <x:c r="L571" t="str">
        <x:f>IF(OR(Match_Data!U571="",Match_Data!V571=""),"",Match_Data!U571-Match_Data!V571)</x:f>
      </x:c>
      <x:c r="M571" s="32" t="str">
        <x:f>IF(Match_Data!Y571="","",1/Match_Data!Y571)</x:f>
      </x:c>
      <x:c r="N571" s="32" t="str">
        <x:f>IF(Match_Data!AA571="","",1/Match_Data!AA571)</x:f>
      </x:c>
      <x:c r="O571" s="32" t="str">
        <x:f>IF(OR(M571="",N571=""),"",N571-M571)</x:f>
      </x:c>
      <x:c r="P571" t="str">
        <x:f>IF(Match_Data!J571="","",IF(Match_Data!J571="OVER",1,0))</x:f>
      </x:c>
    </x:row>
    <x:row r="572">
      <x:c r="A572" t="n">
        <x:f>Match_Data!A572</x:f>
        <x:v>0</x:v>
      </x:c>
      <x:c r="B572" s="28" t="n">
        <x:f>Match_Data!B572</x:f>
        <x:v>0</x:v>
      </x:c>
      <x:c r="C572" t="n">
        <x:f>Match_Data!C572</x:f>
        <x:v>0</x:v>
      </x:c>
      <x:c r="D572" t="n">
        <x:f>Match_Data!E572</x:f>
        <x:v>0</x:v>
      </x:c>
      <x:c r="E572" t="n">
        <x:f>Match_Data!F572</x:f>
        <x:v>0</x:v>
      </x:c>
      <x:c r="F572" t="n">
        <x:f>Match_Data!AC572</x:f>
        <x:v>0</x:v>
      </x:c>
      <x:c r="G572" t="str">
        <x:f>IF(OR(Match_Data!K572="",Match_Data!L572=""),"",AVERAGE(Match_Data!K572:L572))</x:f>
      </x:c>
      <x:c r="H572" t="str">
        <x:f>IF(OR(Match_Data!M572="",Match_Data!N572=""),"",AVERAGE(Match_Data!M572:N572))</x:f>
      </x:c>
      <x:c r="I572" t="str">
        <x:f>IF(OR(Match_Data!O572="",Match_Data!Q572=""),"",Match_Data!O572+Match_Data!Q572)</x:f>
      </x:c>
      <x:c r="J572" t="str">
        <x:f>IF(OR(Match_Data!P572="",Match_Data!R572=""),"",Match_Data!P572+Match_Data!R572)</x:f>
      </x:c>
      <x:c r="K572" t="str">
        <x:f>IF(OR(Match_Data!S572="",Match_Data!T572=""),"",Match_Data!S572+Match_Data!T572)</x:f>
      </x:c>
      <x:c r="L572" t="str">
        <x:f>IF(OR(Match_Data!U572="",Match_Data!V572=""),"",Match_Data!U572-Match_Data!V572)</x:f>
      </x:c>
      <x:c r="M572" s="32" t="str">
        <x:f>IF(Match_Data!Y572="","",1/Match_Data!Y572)</x:f>
      </x:c>
      <x:c r="N572" s="32" t="str">
        <x:f>IF(Match_Data!AA572="","",1/Match_Data!AA572)</x:f>
      </x:c>
      <x:c r="O572" s="32" t="str">
        <x:f>IF(OR(M572="",N572=""),"",N572-M572)</x:f>
      </x:c>
      <x:c r="P572" t="str">
        <x:f>IF(Match_Data!J572="","",IF(Match_Data!J572="OVER",1,0))</x:f>
      </x:c>
    </x:row>
    <x:row r="573">
      <x:c r="A573" t="n">
        <x:f>Match_Data!A573</x:f>
        <x:v>0</x:v>
      </x:c>
      <x:c r="B573" s="28" t="n">
        <x:f>Match_Data!B573</x:f>
        <x:v>0</x:v>
      </x:c>
      <x:c r="C573" t="n">
        <x:f>Match_Data!C573</x:f>
        <x:v>0</x:v>
      </x:c>
      <x:c r="D573" t="n">
        <x:f>Match_Data!E573</x:f>
        <x:v>0</x:v>
      </x:c>
      <x:c r="E573" t="n">
        <x:f>Match_Data!F573</x:f>
        <x:v>0</x:v>
      </x:c>
      <x:c r="F573" t="n">
        <x:f>Match_Data!AC573</x:f>
        <x:v>0</x:v>
      </x:c>
      <x:c r="G573" t="str">
        <x:f>IF(OR(Match_Data!K573="",Match_Data!L573=""),"",AVERAGE(Match_Data!K573:L573))</x:f>
      </x:c>
      <x:c r="H573" t="str">
        <x:f>IF(OR(Match_Data!M573="",Match_Data!N573=""),"",AVERAGE(Match_Data!M573:N573))</x:f>
      </x:c>
      <x:c r="I573" t="str">
        <x:f>IF(OR(Match_Data!O573="",Match_Data!Q573=""),"",Match_Data!O573+Match_Data!Q573)</x:f>
      </x:c>
      <x:c r="J573" t="str">
        <x:f>IF(OR(Match_Data!P573="",Match_Data!R573=""),"",Match_Data!P573+Match_Data!R573)</x:f>
      </x:c>
      <x:c r="K573" t="str">
        <x:f>IF(OR(Match_Data!S573="",Match_Data!T573=""),"",Match_Data!S573+Match_Data!T573)</x:f>
      </x:c>
      <x:c r="L573" t="str">
        <x:f>IF(OR(Match_Data!U573="",Match_Data!V573=""),"",Match_Data!U573-Match_Data!V573)</x:f>
      </x:c>
      <x:c r="M573" s="32" t="str">
        <x:f>IF(Match_Data!Y573="","",1/Match_Data!Y573)</x:f>
      </x:c>
      <x:c r="N573" s="32" t="str">
        <x:f>IF(Match_Data!AA573="","",1/Match_Data!AA573)</x:f>
      </x:c>
      <x:c r="O573" s="32" t="str">
        <x:f>IF(OR(M573="",N573=""),"",N573-M573)</x:f>
      </x:c>
      <x:c r="P573" t="str">
        <x:f>IF(Match_Data!J573="","",IF(Match_Data!J573="OVER",1,0))</x:f>
      </x:c>
    </x:row>
    <x:row r="574">
      <x:c r="A574" t="n">
        <x:f>Match_Data!A574</x:f>
        <x:v>0</x:v>
      </x:c>
      <x:c r="B574" s="28" t="n">
        <x:f>Match_Data!B574</x:f>
        <x:v>0</x:v>
      </x:c>
      <x:c r="C574" t="n">
        <x:f>Match_Data!C574</x:f>
        <x:v>0</x:v>
      </x:c>
      <x:c r="D574" t="n">
        <x:f>Match_Data!E574</x:f>
        <x:v>0</x:v>
      </x:c>
      <x:c r="E574" t="n">
        <x:f>Match_Data!F574</x:f>
        <x:v>0</x:v>
      </x:c>
      <x:c r="F574" t="n">
        <x:f>Match_Data!AC574</x:f>
        <x:v>0</x:v>
      </x:c>
      <x:c r="G574" t="str">
        <x:f>IF(OR(Match_Data!K574="",Match_Data!L574=""),"",AVERAGE(Match_Data!K574:L574))</x:f>
      </x:c>
      <x:c r="H574" t="str">
        <x:f>IF(OR(Match_Data!M574="",Match_Data!N574=""),"",AVERAGE(Match_Data!M574:N574))</x:f>
      </x:c>
      <x:c r="I574" t="str">
        <x:f>IF(OR(Match_Data!O574="",Match_Data!Q574=""),"",Match_Data!O574+Match_Data!Q574)</x:f>
      </x:c>
      <x:c r="J574" t="str">
        <x:f>IF(OR(Match_Data!P574="",Match_Data!R574=""),"",Match_Data!P574+Match_Data!R574)</x:f>
      </x:c>
      <x:c r="K574" t="str">
        <x:f>IF(OR(Match_Data!S574="",Match_Data!T574=""),"",Match_Data!S574+Match_Data!T574)</x:f>
      </x:c>
      <x:c r="L574" t="str">
        <x:f>IF(OR(Match_Data!U574="",Match_Data!V574=""),"",Match_Data!U574-Match_Data!V574)</x:f>
      </x:c>
      <x:c r="M574" s="32" t="str">
        <x:f>IF(Match_Data!Y574="","",1/Match_Data!Y574)</x:f>
      </x:c>
      <x:c r="N574" s="32" t="str">
        <x:f>IF(Match_Data!AA574="","",1/Match_Data!AA574)</x:f>
      </x:c>
      <x:c r="O574" s="32" t="str">
        <x:f>IF(OR(M574="",N574=""),"",N574-M574)</x:f>
      </x:c>
      <x:c r="P574" t="str">
        <x:f>IF(Match_Data!J574="","",IF(Match_Data!J574="OVER",1,0))</x:f>
      </x:c>
    </x:row>
    <x:row r="575">
      <x:c r="A575" t="n">
        <x:f>Match_Data!A575</x:f>
        <x:v>0</x:v>
      </x:c>
      <x:c r="B575" s="28" t="n">
        <x:f>Match_Data!B575</x:f>
        <x:v>0</x:v>
      </x:c>
      <x:c r="C575" t="n">
        <x:f>Match_Data!C575</x:f>
        <x:v>0</x:v>
      </x:c>
      <x:c r="D575" t="n">
        <x:f>Match_Data!E575</x:f>
        <x:v>0</x:v>
      </x:c>
      <x:c r="E575" t="n">
        <x:f>Match_Data!F575</x:f>
        <x:v>0</x:v>
      </x:c>
      <x:c r="F575" t="n">
        <x:f>Match_Data!AC575</x:f>
        <x:v>0</x:v>
      </x:c>
      <x:c r="G575" t="str">
        <x:f>IF(OR(Match_Data!K575="",Match_Data!L575=""),"",AVERAGE(Match_Data!K575:L575))</x:f>
      </x:c>
      <x:c r="H575" t="str">
        <x:f>IF(OR(Match_Data!M575="",Match_Data!N575=""),"",AVERAGE(Match_Data!M575:N575))</x:f>
      </x:c>
      <x:c r="I575" t="str">
        <x:f>IF(OR(Match_Data!O575="",Match_Data!Q575=""),"",Match_Data!O575+Match_Data!Q575)</x:f>
      </x:c>
      <x:c r="J575" t="str">
        <x:f>IF(OR(Match_Data!P575="",Match_Data!R575=""),"",Match_Data!P575+Match_Data!R575)</x:f>
      </x:c>
      <x:c r="K575" t="str">
        <x:f>IF(OR(Match_Data!S575="",Match_Data!T575=""),"",Match_Data!S575+Match_Data!T575)</x:f>
      </x:c>
      <x:c r="L575" t="str">
        <x:f>IF(OR(Match_Data!U575="",Match_Data!V575=""),"",Match_Data!U575-Match_Data!V575)</x:f>
      </x:c>
      <x:c r="M575" s="32" t="str">
        <x:f>IF(Match_Data!Y575="","",1/Match_Data!Y575)</x:f>
      </x:c>
      <x:c r="N575" s="32" t="str">
        <x:f>IF(Match_Data!AA575="","",1/Match_Data!AA575)</x:f>
      </x:c>
      <x:c r="O575" s="32" t="str">
        <x:f>IF(OR(M575="",N575=""),"",N575-M575)</x:f>
      </x:c>
      <x:c r="P575" t="str">
        <x:f>IF(Match_Data!J575="","",IF(Match_Data!J575="OVER",1,0))</x:f>
      </x:c>
    </x:row>
    <x:row r="576">
      <x:c r="A576" t="n">
        <x:f>Match_Data!A576</x:f>
        <x:v>0</x:v>
      </x:c>
      <x:c r="B576" s="28" t="n">
        <x:f>Match_Data!B576</x:f>
        <x:v>0</x:v>
      </x:c>
      <x:c r="C576" t="n">
        <x:f>Match_Data!C576</x:f>
        <x:v>0</x:v>
      </x:c>
      <x:c r="D576" t="n">
        <x:f>Match_Data!E576</x:f>
        <x:v>0</x:v>
      </x:c>
      <x:c r="E576" t="n">
        <x:f>Match_Data!F576</x:f>
        <x:v>0</x:v>
      </x:c>
      <x:c r="F576" t="n">
        <x:f>Match_Data!AC576</x:f>
        <x:v>0</x:v>
      </x:c>
      <x:c r="G576" t="str">
        <x:f>IF(OR(Match_Data!K576="",Match_Data!L576=""),"",AVERAGE(Match_Data!K576:L576))</x:f>
      </x:c>
      <x:c r="H576" t="str">
        <x:f>IF(OR(Match_Data!M576="",Match_Data!N576=""),"",AVERAGE(Match_Data!M576:N576))</x:f>
      </x:c>
      <x:c r="I576" t="str">
        <x:f>IF(OR(Match_Data!O576="",Match_Data!Q576=""),"",Match_Data!O576+Match_Data!Q576)</x:f>
      </x:c>
      <x:c r="J576" t="str">
        <x:f>IF(OR(Match_Data!P576="",Match_Data!R576=""),"",Match_Data!P576+Match_Data!R576)</x:f>
      </x:c>
      <x:c r="K576" t="str">
        <x:f>IF(OR(Match_Data!S576="",Match_Data!T576=""),"",Match_Data!S576+Match_Data!T576)</x:f>
      </x:c>
      <x:c r="L576" t="str">
        <x:f>IF(OR(Match_Data!U576="",Match_Data!V576=""),"",Match_Data!U576-Match_Data!V576)</x:f>
      </x:c>
      <x:c r="M576" s="32" t="str">
        <x:f>IF(Match_Data!Y576="","",1/Match_Data!Y576)</x:f>
      </x:c>
      <x:c r="N576" s="32" t="str">
        <x:f>IF(Match_Data!AA576="","",1/Match_Data!AA576)</x:f>
      </x:c>
      <x:c r="O576" s="32" t="str">
        <x:f>IF(OR(M576="",N576=""),"",N576-M576)</x:f>
      </x:c>
      <x:c r="P576" t="str">
        <x:f>IF(Match_Data!J576="","",IF(Match_Data!J576="OVER",1,0))</x:f>
      </x:c>
    </x:row>
    <x:row r="577">
      <x:c r="A577" t="n">
        <x:f>Match_Data!A577</x:f>
        <x:v>0</x:v>
      </x:c>
      <x:c r="B577" s="28" t="n">
        <x:f>Match_Data!B577</x:f>
        <x:v>0</x:v>
      </x:c>
      <x:c r="C577" t="n">
        <x:f>Match_Data!C577</x:f>
        <x:v>0</x:v>
      </x:c>
      <x:c r="D577" t="n">
        <x:f>Match_Data!E577</x:f>
        <x:v>0</x:v>
      </x:c>
      <x:c r="E577" t="n">
        <x:f>Match_Data!F577</x:f>
        <x:v>0</x:v>
      </x:c>
      <x:c r="F577" t="n">
        <x:f>Match_Data!AC577</x:f>
        <x:v>0</x:v>
      </x:c>
      <x:c r="G577" t="str">
        <x:f>IF(OR(Match_Data!K577="",Match_Data!L577=""),"",AVERAGE(Match_Data!K577:L577))</x:f>
      </x:c>
      <x:c r="H577" t="str">
        <x:f>IF(OR(Match_Data!M577="",Match_Data!N577=""),"",AVERAGE(Match_Data!M577:N577))</x:f>
      </x:c>
      <x:c r="I577" t="str">
        <x:f>IF(OR(Match_Data!O577="",Match_Data!Q577=""),"",Match_Data!O577+Match_Data!Q577)</x:f>
      </x:c>
      <x:c r="J577" t="str">
        <x:f>IF(OR(Match_Data!P577="",Match_Data!R577=""),"",Match_Data!P577+Match_Data!R577)</x:f>
      </x:c>
      <x:c r="K577" t="str">
        <x:f>IF(OR(Match_Data!S577="",Match_Data!T577=""),"",Match_Data!S577+Match_Data!T577)</x:f>
      </x:c>
      <x:c r="L577" t="str">
        <x:f>IF(OR(Match_Data!U577="",Match_Data!V577=""),"",Match_Data!U577-Match_Data!V577)</x:f>
      </x:c>
      <x:c r="M577" s="32" t="str">
        <x:f>IF(Match_Data!Y577="","",1/Match_Data!Y577)</x:f>
      </x:c>
      <x:c r="N577" s="32" t="str">
        <x:f>IF(Match_Data!AA577="","",1/Match_Data!AA577)</x:f>
      </x:c>
      <x:c r="O577" s="32" t="str">
        <x:f>IF(OR(M577="",N577=""),"",N577-M577)</x:f>
      </x:c>
      <x:c r="P577" t="str">
        <x:f>IF(Match_Data!J577="","",IF(Match_Data!J577="OVER",1,0))</x:f>
      </x:c>
    </x:row>
    <x:row r="578">
      <x:c r="A578" t="n">
        <x:f>Match_Data!A578</x:f>
        <x:v>0</x:v>
      </x:c>
      <x:c r="B578" s="28" t="n">
        <x:f>Match_Data!B578</x:f>
        <x:v>0</x:v>
      </x:c>
      <x:c r="C578" t="n">
        <x:f>Match_Data!C578</x:f>
        <x:v>0</x:v>
      </x:c>
      <x:c r="D578" t="n">
        <x:f>Match_Data!E578</x:f>
        <x:v>0</x:v>
      </x:c>
      <x:c r="E578" t="n">
        <x:f>Match_Data!F578</x:f>
        <x:v>0</x:v>
      </x:c>
      <x:c r="F578" t="n">
        <x:f>Match_Data!AC578</x:f>
        <x:v>0</x:v>
      </x:c>
      <x:c r="G578" t="str">
        <x:f>IF(OR(Match_Data!K578="",Match_Data!L578=""),"",AVERAGE(Match_Data!K578:L578))</x:f>
      </x:c>
      <x:c r="H578" t="str">
        <x:f>IF(OR(Match_Data!M578="",Match_Data!N578=""),"",AVERAGE(Match_Data!M578:N578))</x:f>
      </x:c>
      <x:c r="I578" t="str">
        <x:f>IF(OR(Match_Data!O578="",Match_Data!Q578=""),"",Match_Data!O578+Match_Data!Q578)</x:f>
      </x:c>
      <x:c r="J578" t="str">
        <x:f>IF(OR(Match_Data!P578="",Match_Data!R578=""),"",Match_Data!P578+Match_Data!R578)</x:f>
      </x:c>
      <x:c r="K578" t="str">
        <x:f>IF(OR(Match_Data!S578="",Match_Data!T578=""),"",Match_Data!S578+Match_Data!T578)</x:f>
      </x:c>
      <x:c r="L578" t="str">
        <x:f>IF(OR(Match_Data!U578="",Match_Data!V578=""),"",Match_Data!U578-Match_Data!V578)</x:f>
      </x:c>
      <x:c r="M578" s="32" t="str">
        <x:f>IF(Match_Data!Y578="","",1/Match_Data!Y578)</x:f>
      </x:c>
      <x:c r="N578" s="32" t="str">
        <x:f>IF(Match_Data!AA578="","",1/Match_Data!AA578)</x:f>
      </x:c>
      <x:c r="O578" s="32" t="str">
        <x:f>IF(OR(M578="",N578=""),"",N578-M578)</x:f>
      </x:c>
      <x:c r="P578" t="str">
        <x:f>IF(Match_Data!J578="","",IF(Match_Data!J578="OVER",1,0))</x:f>
      </x:c>
    </x:row>
    <x:row r="579">
      <x:c r="A579" t="n">
        <x:f>Match_Data!A579</x:f>
        <x:v>0</x:v>
      </x:c>
      <x:c r="B579" s="28" t="n">
        <x:f>Match_Data!B579</x:f>
        <x:v>0</x:v>
      </x:c>
      <x:c r="C579" t="n">
        <x:f>Match_Data!C579</x:f>
        <x:v>0</x:v>
      </x:c>
      <x:c r="D579" t="n">
        <x:f>Match_Data!E579</x:f>
        <x:v>0</x:v>
      </x:c>
      <x:c r="E579" t="n">
        <x:f>Match_Data!F579</x:f>
        <x:v>0</x:v>
      </x:c>
      <x:c r="F579" t="n">
        <x:f>Match_Data!AC579</x:f>
        <x:v>0</x:v>
      </x:c>
      <x:c r="G579" t="str">
        <x:f>IF(OR(Match_Data!K579="",Match_Data!L579=""),"",AVERAGE(Match_Data!K579:L579))</x:f>
      </x:c>
      <x:c r="H579" t="str">
        <x:f>IF(OR(Match_Data!M579="",Match_Data!N579=""),"",AVERAGE(Match_Data!M579:N579))</x:f>
      </x:c>
      <x:c r="I579" t="str">
        <x:f>IF(OR(Match_Data!O579="",Match_Data!Q579=""),"",Match_Data!O579+Match_Data!Q579)</x:f>
      </x:c>
      <x:c r="J579" t="str">
        <x:f>IF(OR(Match_Data!P579="",Match_Data!R579=""),"",Match_Data!P579+Match_Data!R579)</x:f>
      </x:c>
      <x:c r="K579" t="str">
        <x:f>IF(OR(Match_Data!S579="",Match_Data!T579=""),"",Match_Data!S579+Match_Data!T579)</x:f>
      </x:c>
      <x:c r="L579" t="str">
        <x:f>IF(OR(Match_Data!U579="",Match_Data!V579=""),"",Match_Data!U579-Match_Data!V579)</x:f>
      </x:c>
      <x:c r="M579" s="32" t="str">
        <x:f>IF(Match_Data!Y579="","",1/Match_Data!Y579)</x:f>
      </x:c>
      <x:c r="N579" s="32" t="str">
        <x:f>IF(Match_Data!AA579="","",1/Match_Data!AA579)</x:f>
      </x:c>
      <x:c r="O579" s="32" t="str">
        <x:f>IF(OR(M579="",N579=""),"",N579-M579)</x:f>
      </x:c>
      <x:c r="P579" t="str">
        <x:f>IF(Match_Data!J579="","",IF(Match_Data!J579="OVER",1,0))</x:f>
      </x:c>
    </x:row>
    <x:row r="580">
      <x:c r="A580" t="n">
        <x:f>Match_Data!A580</x:f>
        <x:v>0</x:v>
      </x:c>
      <x:c r="B580" s="28" t="n">
        <x:f>Match_Data!B580</x:f>
        <x:v>0</x:v>
      </x:c>
      <x:c r="C580" t="n">
        <x:f>Match_Data!C580</x:f>
        <x:v>0</x:v>
      </x:c>
      <x:c r="D580" t="n">
        <x:f>Match_Data!E580</x:f>
        <x:v>0</x:v>
      </x:c>
      <x:c r="E580" t="n">
        <x:f>Match_Data!F580</x:f>
        <x:v>0</x:v>
      </x:c>
      <x:c r="F580" t="n">
        <x:f>Match_Data!AC580</x:f>
        <x:v>0</x:v>
      </x:c>
      <x:c r="G580" t="str">
        <x:f>IF(OR(Match_Data!K580="",Match_Data!L580=""),"",AVERAGE(Match_Data!K580:L580))</x:f>
      </x:c>
      <x:c r="H580" t="str">
        <x:f>IF(OR(Match_Data!M580="",Match_Data!N580=""),"",AVERAGE(Match_Data!M580:N580))</x:f>
      </x:c>
      <x:c r="I580" t="str">
        <x:f>IF(OR(Match_Data!O580="",Match_Data!Q580=""),"",Match_Data!O580+Match_Data!Q580)</x:f>
      </x:c>
      <x:c r="J580" t="str">
        <x:f>IF(OR(Match_Data!P580="",Match_Data!R580=""),"",Match_Data!P580+Match_Data!R580)</x:f>
      </x:c>
      <x:c r="K580" t="str">
        <x:f>IF(OR(Match_Data!S580="",Match_Data!T580=""),"",Match_Data!S580+Match_Data!T580)</x:f>
      </x:c>
      <x:c r="L580" t="str">
        <x:f>IF(OR(Match_Data!U580="",Match_Data!V580=""),"",Match_Data!U580-Match_Data!V580)</x:f>
      </x:c>
      <x:c r="M580" s="32" t="str">
        <x:f>IF(Match_Data!Y580="","",1/Match_Data!Y580)</x:f>
      </x:c>
      <x:c r="N580" s="32" t="str">
        <x:f>IF(Match_Data!AA580="","",1/Match_Data!AA580)</x:f>
      </x:c>
      <x:c r="O580" s="32" t="str">
        <x:f>IF(OR(M580="",N580=""),"",N580-M580)</x:f>
      </x:c>
      <x:c r="P580" t="str">
        <x:f>IF(Match_Data!J580="","",IF(Match_Data!J580="OVER",1,0))</x:f>
      </x:c>
    </x:row>
    <x:row r="581">
      <x:c r="A581" t="n">
        <x:f>Match_Data!A581</x:f>
        <x:v>0</x:v>
      </x:c>
      <x:c r="B581" s="28" t="n">
        <x:f>Match_Data!B581</x:f>
        <x:v>0</x:v>
      </x:c>
      <x:c r="C581" t="n">
        <x:f>Match_Data!C581</x:f>
        <x:v>0</x:v>
      </x:c>
      <x:c r="D581" t="n">
        <x:f>Match_Data!E581</x:f>
        <x:v>0</x:v>
      </x:c>
      <x:c r="E581" t="n">
        <x:f>Match_Data!F581</x:f>
        <x:v>0</x:v>
      </x:c>
      <x:c r="F581" t="n">
        <x:f>Match_Data!AC581</x:f>
        <x:v>0</x:v>
      </x:c>
      <x:c r="G581" t="str">
        <x:f>IF(OR(Match_Data!K581="",Match_Data!L581=""),"",AVERAGE(Match_Data!K581:L581))</x:f>
      </x:c>
      <x:c r="H581" t="str">
        <x:f>IF(OR(Match_Data!M581="",Match_Data!N581=""),"",AVERAGE(Match_Data!M581:N581))</x:f>
      </x:c>
      <x:c r="I581" t="str">
        <x:f>IF(OR(Match_Data!O581="",Match_Data!Q581=""),"",Match_Data!O581+Match_Data!Q581)</x:f>
      </x:c>
      <x:c r="J581" t="str">
        <x:f>IF(OR(Match_Data!P581="",Match_Data!R581=""),"",Match_Data!P581+Match_Data!R581)</x:f>
      </x:c>
      <x:c r="K581" t="str">
        <x:f>IF(OR(Match_Data!S581="",Match_Data!T581=""),"",Match_Data!S581+Match_Data!T581)</x:f>
      </x:c>
      <x:c r="L581" t="str">
        <x:f>IF(OR(Match_Data!U581="",Match_Data!V581=""),"",Match_Data!U581-Match_Data!V581)</x:f>
      </x:c>
      <x:c r="M581" s="32" t="str">
        <x:f>IF(Match_Data!Y581="","",1/Match_Data!Y581)</x:f>
      </x:c>
      <x:c r="N581" s="32" t="str">
        <x:f>IF(Match_Data!AA581="","",1/Match_Data!AA581)</x:f>
      </x:c>
      <x:c r="O581" s="32" t="str">
        <x:f>IF(OR(M581="",N581=""),"",N581-M581)</x:f>
      </x:c>
      <x:c r="P581" t="str">
        <x:f>IF(Match_Data!J581="","",IF(Match_Data!J581="OVER",1,0))</x:f>
      </x:c>
    </x:row>
    <x:row r="582">
      <x:c r="A582" t="n">
        <x:f>Match_Data!A582</x:f>
        <x:v>0</x:v>
      </x:c>
      <x:c r="B582" s="28" t="n">
        <x:f>Match_Data!B582</x:f>
        <x:v>0</x:v>
      </x:c>
      <x:c r="C582" t="n">
        <x:f>Match_Data!C582</x:f>
        <x:v>0</x:v>
      </x:c>
      <x:c r="D582" t="n">
        <x:f>Match_Data!E582</x:f>
        <x:v>0</x:v>
      </x:c>
      <x:c r="E582" t="n">
        <x:f>Match_Data!F582</x:f>
        <x:v>0</x:v>
      </x:c>
      <x:c r="F582" t="n">
        <x:f>Match_Data!AC582</x:f>
        <x:v>0</x:v>
      </x:c>
      <x:c r="G582" t="str">
        <x:f>IF(OR(Match_Data!K582="",Match_Data!L582=""),"",AVERAGE(Match_Data!K582:L582))</x:f>
      </x:c>
      <x:c r="H582" t="str">
        <x:f>IF(OR(Match_Data!M582="",Match_Data!N582=""),"",AVERAGE(Match_Data!M582:N582))</x:f>
      </x:c>
      <x:c r="I582" t="str">
        <x:f>IF(OR(Match_Data!O582="",Match_Data!Q582=""),"",Match_Data!O582+Match_Data!Q582)</x:f>
      </x:c>
      <x:c r="J582" t="str">
        <x:f>IF(OR(Match_Data!P582="",Match_Data!R582=""),"",Match_Data!P582+Match_Data!R582)</x:f>
      </x:c>
      <x:c r="K582" t="str">
        <x:f>IF(OR(Match_Data!S582="",Match_Data!T582=""),"",Match_Data!S582+Match_Data!T582)</x:f>
      </x:c>
      <x:c r="L582" t="str">
        <x:f>IF(OR(Match_Data!U582="",Match_Data!V582=""),"",Match_Data!U582-Match_Data!V582)</x:f>
      </x:c>
      <x:c r="M582" s="32" t="str">
        <x:f>IF(Match_Data!Y582="","",1/Match_Data!Y582)</x:f>
      </x:c>
      <x:c r="N582" s="32" t="str">
        <x:f>IF(Match_Data!AA582="","",1/Match_Data!AA582)</x:f>
      </x:c>
      <x:c r="O582" s="32" t="str">
        <x:f>IF(OR(M582="",N582=""),"",N582-M582)</x:f>
      </x:c>
      <x:c r="P582" t="str">
        <x:f>IF(Match_Data!J582="","",IF(Match_Data!J582="OVER",1,0))</x:f>
      </x:c>
    </x:row>
    <x:row r="583">
      <x:c r="A583" t="n">
        <x:f>Match_Data!A583</x:f>
        <x:v>0</x:v>
      </x:c>
      <x:c r="B583" s="28" t="n">
        <x:f>Match_Data!B583</x:f>
        <x:v>0</x:v>
      </x:c>
      <x:c r="C583" t="n">
        <x:f>Match_Data!C583</x:f>
        <x:v>0</x:v>
      </x:c>
      <x:c r="D583" t="n">
        <x:f>Match_Data!E583</x:f>
        <x:v>0</x:v>
      </x:c>
      <x:c r="E583" t="n">
        <x:f>Match_Data!F583</x:f>
        <x:v>0</x:v>
      </x:c>
      <x:c r="F583" t="n">
        <x:f>Match_Data!AC583</x:f>
        <x:v>0</x:v>
      </x:c>
      <x:c r="G583" t="str">
        <x:f>IF(OR(Match_Data!K583="",Match_Data!L583=""),"",AVERAGE(Match_Data!K583:L583))</x:f>
      </x:c>
      <x:c r="H583" t="str">
        <x:f>IF(OR(Match_Data!M583="",Match_Data!N583=""),"",AVERAGE(Match_Data!M583:N583))</x:f>
      </x:c>
      <x:c r="I583" t="str">
        <x:f>IF(OR(Match_Data!O583="",Match_Data!Q583=""),"",Match_Data!O583+Match_Data!Q583)</x:f>
      </x:c>
      <x:c r="J583" t="str">
        <x:f>IF(OR(Match_Data!P583="",Match_Data!R583=""),"",Match_Data!P583+Match_Data!R583)</x:f>
      </x:c>
      <x:c r="K583" t="str">
        <x:f>IF(OR(Match_Data!S583="",Match_Data!T583=""),"",Match_Data!S583+Match_Data!T583)</x:f>
      </x:c>
      <x:c r="L583" t="str">
        <x:f>IF(OR(Match_Data!U583="",Match_Data!V583=""),"",Match_Data!U583-Match_Data!V583)</x:f>
      </x:c>
      <x:c r="M583" s="32" t="str">
        <x:f>IF(Match_Data!Y583="","",1/Match_Data!Y583)</x:f>
      </x:c>
      <x:c r="N583" s="32" t="str">
        <x:f>IF(Match_Data!AA583="","",1/Match_Data!AA583)</x:f>
      </x:c>
      <x:c r="O583" s="32" t="str">
        <x:f>IF(OR(M583="",N583=""),"",N583-M583)</x:f>
      </x:c>
      <x:c r="P583" t="str">
        <x:f>IF(Match_Data!J583="","",IF(Match_Data!J583="OVER",1,0))</x:f>
      </x:c>
    </x:row>
    <x:row r="584">
      <x:c r="A584" t="n">
        <x:f>Match_Data!A584</x:f>
        <x:v>0</x:v>
      </x:c>
      <x:c r="B584" s="28" t="n">
        <x:f>Match_Data!B584</x:f>
        <x:v>0</x:v>
      </x:c>
      <x:c r="C584" t="n">
        <x:f>Match_Data!C584</x:f>
        <x:v>0</x:v>
      </x:c>
      <x:c r="D584" t="n">
        <x:f>Match_Data!E584</x:f>
        <x:v>0</x:v>
      </x:c>
      <x:c r="E584" t="n">
        <x:f>Match_Data!F584</x:f>
        <x:v>0</x:v>
      </x:c>
      <x:c r="F584" t="n">
        <x:f>Match_Data!AC584</x:f>
        <x:v>0</x:v>
      </x:c>
      <x:c r="G584" t="str">
        <x:f>IF(OR(Match_Data!K584="",Match_Data!L584=""),"",AVERAGE(Match_Data!K584:L584))</x:f>
      </x:c>
      <x:c r="H584" t="str">
        <x:f>IF(OR(Match_Data!M584="",Match_Data!N584=""),"",AVERAGE(Match_Data!M584:N584))</x:f>
      </x:c>
      <x:c r="I584" t="str">
        <x:f>IF(OR(Match_Data!O584="",Match_Data!Q584=""),"",Match_Data!O584+Match_Data!Q584)</x:f>
      </x:c>
      <x:c r="J584" t="str">
        <x:f>IF(OR(Match_Data!P584="",Match_Data!R584=""),"",Match_Data!P584+Match_Data!R584)</x:f>
      </x:c>
      <x:c r="K584" t="str">
        <x:f>IF(OR(Match_Data!S584="",Match_Data!T584=""),"",Match_Data!S584+Match_Data!T584)</x:f>
      </x:c>
      <x:c r="L584" t="str">
        <x:f>IF(OR(Match_Data!U584="",Match_Data!V584=""),"",Match_Data!U584-Match_Data!V584)</x:f>
      </x:c>
      <x:c r="M584" s="32" t="str">
        <x:f>IF(Match_Data!Y584="","",1/Match_Data!Y584)</x:f>
      </x:c>
      <x:c r="N584" s="32" t="str">
        <x:f>IF(Match_Data!AA584="","",1/Match_Data!AA584)</x:f>
      </x:c>
      <x:c r="O584" s="32" t="str">
        <x:f>IF(OR(M584="",N584=""),"",N584-M584)</x:f>
      </x:c>
      <x:c r="P584" t="str">
        <x:f>IF(Match_Data!J584="","",IF(Match_Data!J584="OVER",1,0))</x:f>
      </x:c>
    </x:row>
    <x:row r="585">
      <x:c r="A585" t="n">
        <x:f>Match_Data!A585</x:f>
        <x:v>0</x:v>
      </x:c>
      <x:c r="B585" s="28" t="n">
        <x:f>Match_Data!B585</x:f>
        <x:v>0</x:v>
      </x:c>
      <x:c r="C585" t="n">
        <x:f>Match_Data!C585</x:f>
        <x:v>0</x:v>
      </x:c>
      <x:c r="D585" t="n">
        <x:f>Match_Data!E585</x:f>
        <x:v>0</x:v>
      </x:c>
      <x:c r="E585" t="n">
        <x:f>Match_Data!F585</x:f>
        <x:v>0</x:v>
      </x:c>
      <x:c r="F585" t="n">
        <x:f>Match_Data!AC585</x:f>
        <x:v>0</x:v>
      </x:c>
      <x:c r="G585" t="str">
        <x:f>IF(OR(Match_Data!K585="",Match_Data!L585=""),"",AVERAGE(Match_Data!K585:L585))</x:f>
      </x:c>
      <x:c r="H585" t="str">
        <x:f>IF(OR(Match_Data!M585="",Match_Data!N585=""),"",AVERAGE(Match_Data!M585:N585))</x:f>
      </x:c>
      <x:c r="I585" t="str">
        <x:f>IF(OR(Match_Data!O585="",Match_Data!Q585=""),"",Match_Data!O585+Match_Data!Q585)</x:f>
      </x:c>
      <x:c r="J585" t="str">
        <x:f>IF(OR(Match_Data!P585="",Match_Data!R585=""),"",Match_Data!P585+Match_Data!R585)</x:f>
      </x:c>
      <x:c r="K585" t="str">
        <x:f>IF(OR(Match_Data!S585="",Match_Data!T585=""),"",Match_Data!S585+Match_Data!T585)</x:f>
      </x:c>
      <x:c r="L585" t="str">
        <x:f>IF(OR(Match_Data!U585="",Match_Data!V585=""),"",Match_Data!U585-Match_Data!V585)</x:f>
      </x:c>
      <x:c r="M585" s="32" t="str">
        <x:f>IF(Match_Data!Y585="","",1/Match_Data!Y585)</x:f>
      </x:c>
      <x:c r="N585" s="32" t="str">
        <x:f>IF(Match_Data!AA585="","",1/Match_Data!AA585)</x:f>
      </x:c>
      <x:c r="O585" s="32" t="str">
        <x:f>IF(OR(M585="",N585=""),"",N585-M585)</x:f>
      </x:c>
      <x:c r="P585" t="str">
        <x:f>IF(Match_Data!J585="","",IF(Match_Data!J585="OVER",1,0))</x:f>
      </x:c>
    </x:row>
    <x:row r="586">
      <x:c r="A586" t="n">
        <x:f>Match_Data!A586</x:f>
        <x:v>0</x:v>
      </x:c>
      <x:c r="B586" s="28" t="n">
        <x:f>Match_Data!B586</x:f>
        <x:v>0</x:v>
      </x:c>
      <x:c r="C586" t="n">
        <x:f>Match_Data!C586</x:f>
        <x:v>0</x:v>
      </x:c>
      <x:c r="D586" t="n">
        <x:f>Match_Data!E586</x:f>
        <x:v>0</x:v>
      </x:c>
      <x:c r="E586" t="n">
        <x:f>Match_Data!F586</x:f>
        <x:v>0</x:v>
      </x:c>
      <x:c r="F586" t="n">
        <x:f>Match_Data!AC586</x:f>
        <x:v>0</x:v>
      </x:c>
      <x:c r="G586" t="str">
        <x:f>IF(OR(Match_Data!K586="",Match_Data!L586=""),"",AVERAGE(Match_Data!K586:L586))</x:f>
      </x:c>
      <x:c r="H586" t="str">
        <x:f>IF(OR(Match_Data!M586="",Match_Data!N586=""),"",AVERAGE(Match_Data!M586:N586))</x:f>
      </x:c>
      <x:c r="I586" t="str">
        <x:f>IF(OR(Match_Data!O586="",Match_Data!Q586=""),"",Match_Data!O586+Match_Data!Q586)</x:f>
      </x:c>
      <x:c r="J586" t="str">
        <x:f>IF(OR(Match_Data!P586="",Match_Data!R586=""),"",Match_Data!P586+Match_Data!R586)</x:f>
      </x:c>
      <x:c r="K586" t="str">
        <x:f>IF(OR(Match_Data!S586="",Match_Data!T586=""),"",Match_Data!S586+Match_Data!T586)</x:f>
      </x:c>
      <x:c r="L586" t="str">
        <x:f>IF(OR(Match_Data!U586="",Match_Data!V586=""),"",Match_Data!U586-Match_Data!V586)</x:f>
      </x:c>
      <x:c r="M586" s="32" t="str">
        <x:f>IF(Match_Data!Y586="","",1/Match_Data!Y586)</x:f>
      </x:c>
      <x:c r="N586" s="32" t="str">
        <x:f>IF(Match_Data!AA586="","",1/Match_Data!AA586)</x:f>
      </x:c>
      <x:c r="O586" s="32" t="str">
        <x:f>IF(OR(M586="",N586=""),"",N586-M586)</x:f>
      </x:c>
      <x:c r="P586" t="str">
        <x:f>IF(Match_Data!J586="","",IF(Match_Data!J586="OVER",1,0))</x:f>
      </x:c>
    </x:row>
    <x:row r="587">
      <x:c r="A587" t="n">
        <x:f>Match_Data!A587</x:f>
        <x:v>0</x:v>
      </x:c>
      <x:c r="B587" s="28" t="n">
        <x:f>Match_Data!B587</x:f>
        <x:v>0</x:v>
      </x:c>
      <x:c r="C587" t="n">
        <x:f>Match_Data!C587</x:f>
        <x:v>0</x:v>
      </x:c>
      <x:c r="D587" t="n">
        <x:f>Match_Data!E587</x:f>
        <x:v>0</x:v>
      </x:c>
      <x:c r="E587" t="n">
        <x:f>Match_Data!F587</x:f>
        <x:v>0</x:v>
      </x:c>
      <x:c r="F587" t="n">
        <x:f>Match_Data!AC587</x:f>
        <x:v>0</x:v>
      </x:c>
      <x:c r="G587" t="str">
        <x:f>IF(OR(Match_Data!K587="",Match_Data!L587=""),"",AVERAGE(Match_Data!K587:L587))</x:f>
      </x:c>
      <x:c r="H587" t="str">
        <x:f>IF(OR(Match_Data!M587="",Match_Data!N587=""),"",AVERAGE(Match_Data!M587:N587))</x:f>
      </x:c>
      <x:c r="I587" t="str">
        <x:f>IF(OR(Match_Data!O587="",Match_Data!Q587=""),"",Match_Data!O587+Match_Data!Q587)</x:f>
      </x:c>
      <x:c r="J587" t="str">
        <x:f>IF(OR(Match_Data!P587="",Match_Data!R587=""),"",Match_Data!P587+Match_Data!R587)</x:f>
      </x:c>
      <x:c r="K587" t="str">
        <x:f>IF(OR(Match_Data!S587="",Match_Data!T587=""),"",Match_Data!S587+Match_Data!T587)</x:f>
      </x:c>
      <x:c r="L587" t="str">
        <x:f>IF(OR(Match_Data!U587="",Match_Data!V587=""),"",Match_Data!U587-Match_Data!V587)</x:f>
      </x:c>
      <x:c r="M587" s="32" t="str">
        <x:f>IF(Match_Data!Y587="","",1/Match_Data!Y587)</x:f>
      </x:c>
      <x:c r="N587" s="32" t="str">
        <x:f>IF(Match_Data!AA587="","",1/Match_Data!AA587)</x:f>
      </x:c>
      <x:c r="O587" s="32" t="str">
        <x:f>IF(OR(M587="",N587=""),"",N587-M587)</x:f>
      </x:c>
      <x:c r="P587" t="str">
        <x:f>IF(Match_Data!J587="","",IF(Match_Data!J587="OVER",1,0))</x:f>
      </x:c>
    </x:row>
    <x:row r="588">
      <x:c r="A588" t="n">
        <x:f>Match_Data!A588</x:f>
        <x:v>0</x:v>
      </x:c>
      <x:c r="B588" s="28" t="n">
        <x:f>Match_Data!B588</x:f>
        <x:v>0</x:v>
      </x:c>
      <x:c r="C588" t="n">
        <x:f>Match_Data!C588</x:f>
        <x:v>0</x:v>
      </x:c>
      <x:c r="D588" t="n">
        <x:f>Match_Data!E588</x:f>
        <x:v>0</x:v>
      </x:c>
      <x:c r="E588" t="n">
        <x:f>Match_Data!F588</x:f>
        <x:v>0</x:v>
      </x:c>
      <x:c r="F588" t="n">
        <x:f>Match_Data!AC588</x:f>
        <x:v>0</x:v>
      </x:c>
      <x:c r="G588" t="str">
        <x:f>IF(OR(Match_Data!K588="",Match_Data!L588=""),"",AVERAGE(Match_Data!K588:L588))</x:f>
      </x:c>
      <x:c r="H588" t="str">
        <x:f>IF(OR(Match_Data!M588="",Match_Data!N588=""),"",AVERAGE(Match_Data!M588:N588))</x:f>
      </x:c>
      <x:c r="I588" t="str">
        <x:f>IF(OR(Match_Data!O588="",Match_Data!Q588=""),"",Match_Data!O588+Match_Data!Q588)</x:f>
      </x:c>
      <x:c r="J588" t="str">
        <x:f>IF(OR(Match_Data!P588="",Match_Data!R588=""),"",Match_Data!P588+Match_Data!R588)</x:f>
      </x:c>
      <x:c r="K588" t="str">
        <x:f>IF(OR(Match_Data!S588="",Match_Data!T588=""),"",Match_Data!S588+Match_Data!T588)</x:f>
      </x:c>
      <x:c r="L588" t="str">
        <x:f>IF(OR(Match_Data!U588="",Match_Data!V588=""),"",Match_Data!U588-Match_Data!V588)</x:f>
      </x:c>
      <x:c r="M588" s="32" t="str">
        <x:f>IF(Match_Data!Y588="","",1/Match_Data!Y588)</x:f>
      </x:c>
      <x:c r="N588" s="32" t="str">
        <x:f>IF(Match_Data!AA588="","",1/Match_Data!AA588)</x:f>
      </x:c>
      <x:c r="O588" s="32" t="str">
        <x:f>IF(OR(M588="",N588=""),"",N588-M588)</x:f>
      </x:c>
      <x:c r="P588" t="str">
        <x:f>IF(Match_Data!J588="","",IF(Match_Data!J588="OVER",1,0))</x:f>
      </x:c>
    </x:row>
    <x:row r="589">
      <x:c r="A589" t="n">
        <x:f>Match_Data!A589</x:f>
        <x:v>0</x:v>
      </x:c>
      <x:c r="B589" s="28" t="n">
        <x:f>Match_Data!B589</x:f>
        <x:v>0</x:v>
      </x:c>
      <x:c r="C589" t="n">
        <x:f>Match_Data!C589</x:f>
        <x:v>0</x:v>
      </x:c>
      <x:c r="D589" t="n">
        <x:f>Match_Data!E589</x:f>
        <x:v>0</x:v>
      </x:c>
      <x:c r="E589" t="n">
        <x:f>Match_Data!F589</x:f>
        <x:v>0</x:v>
      </x:c>
      <x:c r="F589" t="n">
        <x:f>Match_Data!AC589</x:f>
        <x:v>0</x:v>
      </x:c>
      <x:c r="G589" t="str">
        <x:f>IF(OR(Match_Data!K589="",Match_Data!L589=""),"",AVERAGE(Match_Data!K589:L589))</x:f>
      </x:c>
      <x:c r="H589" t="str">
        <x:f>IF(OR(Match_Data!M589="",Match_Data!N589=""),"",AVERAGE(Match_Data!M589:N589))</x:f>
      </x:c>
      <x:c r="I589" t="str">
        <x:f>IF(OR(Match_Data!O589="",Match_Data!Q589=""),"",Match_Data!O589+Match_Data!Q589)</x:f>
      </x:c>
      <x:c r="J589" t="str">
        <x:f>IF(OR(Match_Data!P589="",Match_Data!R589=""),"",Match_Data!P589+Match_Data!R589)</x:f>
      </x:c>
      <x:c r="K589" t="str">
        <x:f>IF(OR(Match_Data!S589="",Match_Data!T589=""),"",Match_Data!S589+Match_Data!T589)</x:f>
      </x:c>
      <x:c r="L589" t="str">
        <x:f>IF(OR(Match_Data!U589="",Match_Data!V589=""),"",Match_Data!U589-Match_Data!V589)</x:f>
      </x:c>
      <x:c r="M589" s="32" t="str">
        <x:f>IF(Match_Data!Y589="","",1/Match_Data!Y589)</x:f>
      </x:c>
      <x:c r="N589" s="32" t="str">
        <x:f>IF(Match_Data!AA589="","",1/Match_Data!AA589)</x:f>
      </x:c>
      <x:c r="O589" s="32" t="str">
        <x:f>IF(OR(M589="",N589=""),"",N589-M589)</x:f>
      </x:c>
      <x:c r="P589" t="str">
        <x:f>IF(Match_Data!J589="","",IF(Match_Data!J589="OVER",1,0))</x:f>
      </x:c>
    </x:row>
    <x:row r="590">
      <x:c r="A590" t="n">
        <x:f>Match_Data!A590</x:f>
        <x:v>0</x:v>
      </x:c>
      <x:c r="B590" s="28" t="n">
        <x:f>Match_Data!B590</x:f>
        <x:v>0</x:v>
      </x:c>
      <x:c r="C590" t="n">
        <x:f>Match_Data!C590</x:f>
        <x:v>0</x:v>
      </x:c>
      <x:c r="D590" t="n">
        <x:f>Match_Data!E590</x:f>
        <x:v>0</x:v>
      </x:c>
      <x:c r="E590" t="n">
        <x:f>Match_Data!F590</x:f>
        <x:v>0</x:v>
      </x:c>
      <x:c r="F590" t="n">
        <x:f>Match_Data!AC590</x:f>
        <x:v>0</x:v>
      </x:c>
      <x:c r="G590" t="str">
        <x:f>IF(OR(Match_Data!K590="",Match_Data!L590=""),"",AVERAGE(Match_Data!K590:L590))</x:f>
      </x:c>
      <x:c r="H590" t="str">
        <x:f>IF(OR(Match_Data!M590="",Match_Data!N590=""),"",AVERAGE(Match_Data!M590:N590))</x:f>
      </x:c>
      <x:c r="I590" t="str">
        <x:f>IF(OR(Match_Data!O590="",Match_Data!Q590=""),"",Match_Data!O590+Match_Data!Q590)</x:f>
      </x:c>
      <x:c r="J590" t="str">
        <x:f>IF(OR(Match_Data!P590="",Match_Data!R590=""),"",Match_Data!P590+Match_Data!R590)</x:f>
      </x:c>
      <x:c r="K590" t="str">
        <x:f>IF(OR(Match_Data!S590="",Match_Data!T590=""),"",Match_Data!S590+Match_Data!T590)</x:f>
      </x:c>
      <x:c r="L590" t="str">
        <x:f>IF(OR(Match_Data!U590="",Match_Data!V590=""),"",Match_Data!U590-Match_Data!V590)</x:f>
      </x:c>
      <x:c r="M590" s="32" t="str">
        <x:f>IF(Match_Data!Y590="","",1/Match_Data!Y590)</x:f>
      </x:c>
      <x:c r="N590" s="32" t="str">
        <x:f>IF(Match_Data!AA590="","",1/Match_Data!AA590)</x:f>
      </x:c>
      <x:c r="O590" s="32" t="str">
        <x:f>IF(OR(M590="",N590=""),"",N590-M590)</x:f>
      </x:c>
      <x:c r="P590" t="str">
        <x:f>IF(Match_Data!J590="","",IF(Match_Data!J590="OVER",1,0))</x:f>
      </x:c>
    </x:row>
    <x:row r="591">
      <x:c r="A591" t="n">
        <x:f>Match_Data!A591</x:f>
        <x:v>0</x:v>
      </x:c>
      <x:c r="B591" s="28" t="n">
        <x:f>Match_Data!B591</x:f>
        <x:v>0</x:v>
      </x:c>
      <x:c r="C591" t="n">
        <x:f>Match_Data!C591</x:f>
        <x:v>0</x:v>
      </x:c>
      <x:c r="D591" t="n">
        <x:f>Match_Data!E591</x:f>
        <x:v>0</x:v>
      </x:c>
      <x:c r="E591" t="n">
        <x:f>Match_Data!F591</x:f>
        <x:v>0</x:v>
      </x:c>
      <x:c r="F591" t="n">
        <x:f>Match_Data!AC591</x:f>
        <x:v>0</x:v>
      </x:c>
      <x:c r="G591" t="str">
        <x:f>IF(OR(Match_Data!K591="",Match_Data!L591=""),"",AVERAGE(Match_Data!K591:L591))</x:f>
      </x:c>
      <x:c r="H591" t="str">
        <x:f>IF(OR(Match_Data!M591="",Match_Data!N591=""),"",AVERAGE(Match_Data!M591:N591))</x:f>
      </x:c>
      <x:c r="I591" t="str">
        <x:f>IF(OR(Match_Data!O591="",Match_Data!Q591=""),"",Match_Data!O591+Match_Data!Q591)</x:f>
      </x:c>
      <x:c r="J591" t="str">
        <x:f>IF(OR(Match_Data!P591="",Match_Data!R591=""),"",Match_Data!P591+Match_Data!R591)</x:f>
      </x:c>
      <x:c r="K591" t="str">
        <x:f>IF(OR(Match_Data!S591="",Match_Data!T591=""),"",Match_Data!S591+Match_Data!T591)</x:f>
      </x:c>
      <x:c r="L591" t="str">
        <x:f>IF(OR(Match_Data!U591="",Match_Data!V591=""),"",Match_Data!U591-Match_Data!V591)</x:f>
      </x:c>
      <x:c r="M591" s="32" t="str">
        <x:f>IF(Match_Data!Y591="","",1/Match_Data!Y591)</x:f>
      </x:c>
      <x:c r="N591" s="32" t="str">
        <x:f>IF(Match_Data!AA591="","",1/Match_Data!AA591)</x:f>
      </x:c>
      <x:c r="O591" s="32" t="str">
        <x:f>IF(OR(M591="",N591=""),"",N591-M591)</x:f>
      </x:c>
      <x:c r="P591" t="str">
        <x:f>IF(Match_Data!J591="","",IF(Match_Data!J591="OVER",1,0))</x:f>
      </x:c>
    </x:row>
    <x:row r="592">
      <x:c r="A592" t="n">
        <x:f>Match_Data!A592</x:f>
        <x:v>0</x:v>
      </x:c>
      <x:c r="B592" s="28" t="n">
        <x:f>Match_Data!B592</x:f>
        <x:v>0</x:v>
      </x:c>
      <x:c r="C592" t="n">
        <x:f>Match_Data!C592</x:f>
        <x:v>0</x:v>
      </x:c>
      <x:c r="D592" t="n">
        <x:f>Match_Data!E592</x:f>
        <x:v>0</x:v>
      </x:c>
      <x:c r="E592" t="n">
        <x:f>Match_Data!F592</x:f>
        <x:v>0</x:v>
      </x:c>
      <x:c r="F592" t="n">
        <x:f>Match_Data!AC592</x:f>
        <x:v>0</x:v>
      </x:c>
      <x:c r="G592" t="str">
        <x:f>IF(OR(Match_Data!K592="",Match_Data!L592=""),"",AVERAGE(Match_Data!K592:L592))</x:f>
      </x:c>
      <x:c r="H592" t="str">
        <x:f>IF(OR(Match_Data!M592="",Match_Data!N592=""),"",AVERAGE(Match_Data!M592:N592))</x:f>
      </x:c>
      <x:c r="I592" t="str">
        <x:f>IF(OR(Match_Data!O592="",Match_Data!Q592=""),"",Match_Data!O592+Match_Data!Q592)</x:f>
      </x:c>
      <x:c r="J592" t="str">
        <x:f>IF(OR(Match_Data!P592="",Match_Data!R592=""),"",Match_Data!P592+Match_Data!R592)</x:f>
      </x:c>
      <x:c r="K592" t="str">
        <x:f>IF(OR(Match_Data!S592="",Match_Data!T592=""),"",Match_Data!S592+Match_Data!T592)</x:f>
      </x:c>
      <x:c r="L592" t="str">
        <x:f>IF(OR(Match_Data!U592="",Match_Data!V592=""),"",Match_Data!U592-Match_Data!V592)</x:f>
      </x:c>
      <x:c r="M592" s="32" t="str">
        <x:f>IF(Match_Data!Y592="","",1/Match_Data!Y592)</x:f>
      </x:c>
      <x:c r="N592" s="32" t="str">
        <x:f>IF(Match_Data!AA592="","",1/Match_Data!AA592)</x:f>
      </x:c>
      <x:c r="O592" s="32" t="str">
        <x:f>IF(OR(M592="",N592=""),"",N592-M592)</x:f>
      </x:c>
      <x:c r="P592" t="str">
        <x:f>IF(Match_Data!J592="","",IF(Match_Data!J592="OVER",1,0))</x:f>
      </x:c>
    </x:row>
    <x:row r="593">
      <x:c r="A593" t="n">
        <x:f>Match_Data!A593</x:f>
        <x:v>0</x:v>
      </x:c>
      <x:c r="B593" s="28" t="n">
        <x:f>Match_Data!B593</x:f>
        <x:v>0</x:v>
      </x:c>
      <x:c r="C593" t="n">
        <x:f>Match_Data!C593</x:f>
        <x:v>0</x:v>
      </x:c>
      <x:c r="D593" t="n">
        <x:f>Match_Data!E593</x:f>
        <x:v>0</x:v>
      </x:c>
      <x:c r="E593" t="n">
        <x:f>Match_Data!F593</x:f>
        <x:v>0</x:v>
      </x:c>
      <x:c r="F593" t="n">
        <x:f>Match_Data!AC593</x:f>
        <x:v>0</x:v>
      </x:c>
      <x:c r="G593" t="str">
        <x:f>IF(OR(Match_Data!K593="",Match_Data!L593=""),"",AVERAGE(Match_Data!K593:L593))</x:f>
      </x:c>
      <x:c r="H593" t="str">
        <x:f>IF(OR(Match_Data!M593="",Match_Data!N593=""),"",AVERAGE(Match_Data!M593:N593))</x:f>
      </x:c>
      <x:c r="I593" t="str">
        <x:f>IF(OR(Match_Data!O593="",Match_Data!Q593=""),"",Match_Data!O593+Match_Data!Q593)</x:f>
      </x:c>
      <x:c r="J593" t="str">
        <x:f>IF(OR(Match_Data!P593="",Match_Data!R593=""),"",Match_Data!P593+Match_Data!R593)</x:f>
      </x:c>
      <x:c r="K593" t="str">
        <x:f>IF(OR(Match_Data!S593="",Match_Data!T593=""),"",Match_Data!S593+Match_Data!T593)</x:f>
      </x:c>
      <x:c r="L593" t="str">
        <x:f>IF(OR(Match_Data!U593="",Match_Data!V593=""),"",Match_Data!U593-Match_Data!V593)</x:f>
      </x:c>
      <x:c r="M593" s="32" t="str">
        <x:f>IF(Match_Data!Y593="","",1/Match_Data!Y593)</x:f>
      </x:c>
      <x:c r="N593" s="32" t="str">
        <x:f>IF(Match_Data!AA593="","",1/Match_Data!AA593)</x:f>
      </x:c>
      <x:c r="O593" s="32" t="str">
        <x:f>IF(OR(M593="",N593=""),"",N593-M593)</x:f>
      </x:c>
      <x:c r="P593" t="str">
        <x:f>IF(Match_Data!J593="","",IF(Match_Data!J593="OVER",1,0))</x:f>
      </x:c>
    </x:row>
    <x:row r="594">
      <x:c r="A594" t="n">
        <x:f>Match_Data!A594</x:f>
        <x:v>0</x:v>
      </x:c>
      <x:c r="B594" s="28" t="n">
        <x:f>Match_Data!B594</x:f>
        <x:v>0</x:v>
      </x:c>
      <x:c r="C594" t="n">
        <x:f>Match_Data!C594</x:f>
        <x:v>0</x:v>
      </x:c>
      <x:c r="D594" t="n">
        <x:f>Match_Data!E594</x:f>
        <x:v>0</x:v>
      </x:c>
      <x:c r="E594" t="n">
        <x:f>Match_Data!F594</x:f>
        <x:v>0</x:v>
      </x:c>
      <x:c r="F594" t="n">
        <x:f>Match_Data!AC594</x:f>
        <x:v>0</x:v>
      </x:c>
      <x:c r="G594" t="str">
        <x:f>IF(OR(Match_Data!K594="",Match_Data!L594=""),"",AVERAGE(Match_Data!K594:L594))</x:f>
      </x:c>
      <x:c r="H594" t="str">
        <x:f>IF(OR(Match_Data!M594="",Match_Data!N594=""),"",AVERAGE(Match_Data!M594:N594))</x:f>
      </x:c>
      <x:c r="I594" t="str">
        <x:f>IF(OR(Match_Data!O594="",Match_Data!Q594=""),"",Match_Data!O594+Match_Data!Q594)</x:f>
      </x:c>
      <x:c r="J594" t="str">
        <x:f>IF(OR(Match_Data!P594="",Match_Data!R594=""),"",Match_Data!P594+Match_Data!R594)</x:f>
      </x:c>
      <x:c r="K594" t="str">
        <x:f>IF(OR(Match_Data!S594="",Match_Data!T594=""),"",Match_Data!S594+Match_Data!T594)</x:f>
      </x:c>
      <x:c r="L594" t="str">
        <x:f>IF(OR(Match_Data!U594="",Match_Data!V594=""),"",Match_Data!U594-Match_Data!V594)</x:f>
      </x:c>
      <x:c r="M594" s="32" t="str">
        <x:f>IF(Match_Data!Y594="","",1/Match_Data!Y594)</x:f>
      </x:c>
      <x:c r="N594" s="32" t="str">
        <x:f>IF(Match_Data!AA594="","",1/Match_Data!AA594)</x:f>
      </x:c>
      <x:c r="O594" s="32" t="str">
        <x:f>IF(OR(M594="",N594=""),"",N594-M594)</x:f>
      </x:c>
      <x:c r="P594" t="str">
        <x:f>IF(Match_Data!J594="","",IF(Match_Data!J594="OVER",1,0))</x:f>
      </x:c>
    </x:row>
    <x:row r="595">
      <x:c r="A595" t="n">
        <x:f>Match_Data!A595</x:f>
        <x:v>0</x:v>
      </x:c>
      <x:c r="B595" s="28" t="n">
        <x:f>Match_Data!B595</x:f>
        <x:v>0</x:v>
      </x:c>
      <x:c r="C595" t="n">
        <x:f>Match_Data!C595</x:f>
        <x:v>0</x:v>
      </x:c>
      <x:c r="D595" t="n">
        <x:f>Match_Data!E595</x:f>
        <x:v>0</x:v>
      </x:c>
      <x:c r="E595" t="n">
        <x:f>Match_Data!F595</x:f>
        <x:v>0</x:v>
      </x:c>
      <x:c r="F595" t="n">
        <x:f>Match_Data!AC595</x:f>
        <x:v>0</x:v>
      </x:c>
      <x:c r="G595" t="str">
        <x:f>IF(OR(Match_Data!K595="",Match_Data!L595=""),"",AVERAGE(Match_Data!K595:L595))</x:f>
      </x:c>
      <x:c r="H595" t="str">
        <x:f>IF(OR(Match_Data!M595="",Match_Data!N595=""),"",AVERAGE(Match_Data!M595:N595))</x:f>
      </x:c>
      <x:c r="I595" t="str">
        <x:f>IF(OR(Match_Data!O595="",Match_Data!Q595=""),"",Match_Data!O595+Match_Data!Q595)</x:f>
      </x:c>
      <x:c r="J595" t="str">
        <x:f>IF(OR(Match_Data!P595="",Match_Data!R595=""),"",Match_Data!P595+Match_Data!R595)</x:f>
      </x:c>
      <x:c r="K595" t="str">
        <x:f>IF(OR(Match_Data!S595="",Match_Data!T595=""),"",Match_Data!S595+Match_Data!T595)</x:f>
      </x:c>
      <x:c r="L595" t="str">
        <x:f>IF(OR(Match_Data!U595="",Match_Data!V595=""),"",Match_Data!U595-Match_Data!V595)</x:f>
      </x:c>
      <x:c r="M595" s="32" t="str">
        <x:f>IF(Match_Data!Y595="","",1/Match_Data!Y595)</x:f>
      </x:c>
      <x:c r="N595" s="32" t="str">
        <x:f>IF(Match_Data!AA595="","",1/Match_Data!AA595)</x:f>
      </x:c>
      <x:c r="O595" s="32" t="str">
        <x:f>IF(OR(M595="",N595=""),"",N595-M595)</x:f>
      </x:c>
      <x:c r="P595" t="str">
        <x:f>IF(Match_Data!J595="","",IF(Match_Data!J595="OVER",1,0))</x:f>
      </x:c>
    </x:row>
    <x:row r="596">
      <x:c r="A596" t="n">
        <x:f>Match_Data!A596</x:f>
        <x:v>0</x:v>
      </x:c>
      <x:c r="B596" s="28" t="n">
        <x:f>Match_Data!B596</x:f>
        <x:v>0</x:v>
      </x:c>
      <x:c r="C596" t="n">
        <x:f>Match_Data!C596</x:f>
        <x:v>0</x:v>
      </x:c>
      <x:c r="D596" t="n">
        <x:f>Match_Data!E596</x:f>
        <x:v>0</x:v>
      </x:c>
      <x:c r="E596" t="n">
        <x:f>Match_Data!F596</x:f>
        <x:v>0</x:v>
      </x:c>
      <x:c r="F596" t="n">
        <x:f>Match_Data!AC596</x:f>
        <x:v>0</x:v>
      </x:c>
      <x:c r="G596" t="str">
        <x:f>IF(OR(Match_Data!K596="",Match_Data!L596=""),"",AVERAGE(Match_Data!K596:L596))</x:f>
      </x:c>
      <x:c r="H596" t="str">
        <x:f>IF(OR(Match_Data!M596="",Match_Data!N596=""),"",AVERAGE(Match_Data!M596:N596))</x:f>
      </x:c>
      <x:c r="I596" t="str">
        <x:f>IF(OR(Match_Data!O596="",Match_Data!Q596=""),"",Match_Data!O596+Match_Data!Q596)</x:f>
      </x:c>
      <x:c r="J596" t="str">
        <x:f>IF(OR(Match_Data!P596="",Match_Data!R596=""),"",Match_Data!P596+Match_Data!R596)</x:f>
      </x:c>
      <x:c r="K596" t="str">
        <x:f>IF(OR(Match_Data!S596="",Match_Data!T596=""),"",Match_Data!S596+Match_Data!T596)</x:f>
      </x:c>
      <x:c r="L596" t="str">
        <x:f>IF(OR(Match_Data!U596="",Match_Data!V596=""),"",Match_Data!U596-Match_Data!V596)</x:f>
      </x:c>
      <x:c r="M596" s="32" t="str">
        <x:f>IF(Match_Data!Y596="","",1/Match_Data!Y596)</x:f>
      </x:c>
      <x:c r="N596" s="32" t="str">
        <x:f>IF(Match_Data!AA596="","",1/Match_Data!AA596)</x:f>
      </x:c>
      <x:c r="O596" s="32" t="str">
        <x:f>IF(OR(M596="",N596=""),"",N596-M596)</x:f>
      </x:c>
      <x:c r="P596" t="str">
        <x:f>IF(Match_Data!J596="","",IF(Match_Data!J596="OVER",1,0))</x:f>
      </x:c>
    </x:row>
    <x:row r="597">
      <x:c r="A597" t="n">
        <x:f>Match_Data!A597</x:f>
        <x:v>0</x:v>
      </x:c>
      <x:c r="B597" s="28" t="n">
        <x:f>Match_Data!B597</x:f>
        <x:v>0</x:v>
      </x:c>
      <x:c r="C597" t="n">
        <x:f>Match_Data!C597</x:f>
        <x:v>0</x:v>
      </x:c>
      <x:c r="D597" t="n">
        <x:f>Match_Data!E597</x:f>
        <x:v>0</x:v>
      </x:c>
      <x:c r="E597" t="n">
        <x:f>Match_Data!F597</x:f>
        <x:v>0</x:v>
      </x:c>
      <x:c r="F597" t="n">
        <x:f>Match_Data!AC597</x:f>
        <x:v>0</x:v>
      </x:c>
      <x:c r="G597" t="str">
        <x:f>IF(OR(Match_Data!K597="",Match_Data!L597=""),"",AVERAGE(Match_Data!K597:L597))</x:f>
      </x:c>
      <x:c r="H597" t="str">
        <x:f>IF(OR(Match_Data!M597="",Match_Data!N597=""),"",AVERAGE(Match_Data!M597:N597))</x:f>
      </x:c>
      <x:c r="I597" t="str">
        <x:f>IF(OR(Match_Data!O597="",Match_Data!Q597=""),"",Match_Data!O597+Match_Data!Q597)</x:f>
      </x:c>
      <x:c r="J597" t="str">
        <x:f>IF(OR(Match_Data!P597="",Match_Data!R597=""),"",Match_Data!P597+Match_Data!R597)</x:f>
      </x:c>
      <x:c r="K597" t="str">
        <x:f>IF(OR(Match_Data!S597="",Match_Data!T597=""),"",Match_Data!S597+Match_Data!T597)</x:f>
      </x:c>
      <x:c r="L597" t="str">
        <x:f>IF(OR(Match_Data!U597="",Match_Data!V597=""),"",Match_Data!U597-Match_Data!V597)</x:f>
      </x:c>
      <x:c r="M597" s="32" t="str">
        <x:f>IF(Match_Data!Y597="","",1/Match_Data!Y597)</x:f>
      </x:c>
      <x:c r="N597" s="32" t="str">
        <x:f>IF(Match_Data!AA597="","",1/Match_Data!AA597)</x:f>
      </x:c>
      <x:c r="O597" s="32" t="str">
        <x:f>IF(OR(M597="",N597=""),"",N597-M597)</x:f>
      </x:c>
      <x:c r="P597" t="str">
        <x:f>IF(Match_Data!J597="","",IF(Match_Data!J597="OVER",1,0))</x:f>
      </x:c>
    </x:row>
    <x:row r="598">
      <x:c r="A598" t="n">
        <x:f>Match_Data!A598</x:f>
        <x:v>0</x:v>
      </x:c>
      <x:c r="B598" s="28" t="n">
        <x:f>Match_Data!B598</x:f>
        <x:v>0</x:v>
      </x:c>
      <x:c r="C598" t="n">
        <x:f>Match_Data!C598</x:f>
        <x:v>0</x:v>
      </x:c>
      <x:c r="D598" t="n">
        <x:f>Match_Data!E598</x:f>
        <x:v>0</x:v>
      </x:c>
      <x:c r="E598" t="n">
        <x:f>Match_Data!F598</x:f>
        <x:v>0</x:v>
      </x:c>
      <x:c r="F598" t="n">
        <x:f>Match_Data!AC598</x:f>
        <x:v>0</x:v>
      </x:c>
      <x:c r="G598" t="str">
        <x:f>IF(OR(Match_Data!K598="",Match_Data!L598=""),"",AVERAGE(Match_Data!K598:L598))</x:f>
      </x:c>
      <x:c r="H598" t="str">
        <x:f>IF(OR(Match_Data!M598="",Match_Data!N598=""),"",AVERAGE(Match_Data!M598:N598))</x:f>
      </x:c>
      <x:c r="I598" t="str">
        <x:f>IF(OR(Match_Data!O598="",Match_Data!Q598=""),"",Match_Data!O598+Match_Data!Q598)</x:f>
      </x:c>
      <x:c r="J598" t="str">
        <x:f>IF(OR(Match_Data!P598="",Match_Data!R598=""),"",Match_Data!P598+Match_Data!R598)</x:f>
      </x:c>
      <x:c r="K598" t="str">
        <x:f>IF(OR(Match_Data!S598="",Match_Data!T598=""),"",Match_Data!S598+Match_Data!T598)</x:f>
      </x:c>
      <x:c r="L598" t="str">
        <x:f>IF(OR(Match_Data!U598="",Match_Data!V598=""),"",Match_Data!U598-Match_Data!V598)</x:f>
      </x:c>
      <x:c r="M598" s="32" t="str">
        <x:f>IF(Match_Data!Y598="","",1/Match_Data!Y598)</x:f>
      </x:c>
      <x:c r="N598" s="32" t="str">
        <x:f>IF(Match_Data!AA598="","",1/Match_Data!AA598)</x:f>
      </x:c>
      <x:c r="O598" s="32" t="str">
        <x:f>IF(OR(M598="",N598=""),"",N598-M598)</x:f>
      </x:c>
      <x:c r="P598" t="str">
        <x:f>IF(Match_Data!J598="","",IF(Match_Data!J598="OVER",1,0))</x:f>
      </x:c>
    </x:row>
    <x:row r="599">
      <x:c r="A599" t="n">
        <x:f>Match_Data!A599</x:f>
        <x:v>0</x:v>
      </x:c>
      <x:c r="B599" s="28" t="n">
        <x:f>Match_Data!B599</x:f>
        <x:v>0</x:v>
      </x:c>
      <x:c r="C599" t="n">
        <x:f>Match_Data!C599</x:f>
        <x:v>0</x:v>
      </x:c>
      <x:c r="D599" t="n">
        <x:f>Match_Data!E599</x:f>
        <x:v>0</x:v>
      </x:c>
      <x:c r="E599" t="n">
        <x:f>Match_Data!F599</x:f>
        <x:v>0</x:v>
      </x:c>
      <x:c r="F599" t="n">
        <x:f>Match_Data!AC599</x:f>
        <x:v>0</x:v>
      </x:c>
      <x:c r="G599" t="str">
        <x:f>IF(OR(Match_Data!K599="",Match_Data!L599=""),"",AVERAGE(Match_Data!K599:L599))</x:f>
      </x:c>
      <x:c r="H599" t="str">
        <x:f>IF(OR(Match_Data!M599="",Match_Data!N599=""),"",AVERAGE(Match_Data!M599:N599))</x:f>
      </x:c>
      <x:c r="I599" t="str">
        <x:f>IF(OR(Match_Data!O599="",Match_Data!Q599=""),"",Match_Data!O599+Match_Data!Q599)</x:f>
      </x:c>
      <x:c r="J599" t="str">
        <x:f>IF(OR(Match_Data!P599="",Match_Data!R599=""),"",Match_Data!P599+Match_Data!R599)</x:f>
      </x:c>
      <x:c r="K599" t="str">
        <x:f>IF(OR(Match_Data!S599="",Match_Data!T599=""),"",Match_Data!S599+Match_Data!T599)</x:f>
      </x:c>
      <x:c r="L599" t="str">
        <x:f>IF(OR(Match_Data!U599="",Match_Data!V599=""),"",Match_Data!U599-Match_Data!V599)</x:f>
      </x:c>
      <x:c r="M599" s="32" t="str">
        <x:f>IF(Match_Data!Y599="","",1/Match_Data!Y599)</x:f>
      </x:c>
      <x:c r="N599" s="32" t="str">
        <x:f>IF(Match_Data!AA599="","",1/Match_Data!AA599)</x:f>
      </x:c>
      <x:c r="O599" s="32" t="str">
        <x:f>IF(OR(M599="",N599=""),"",N599-M599)</x:f>
      </x:c>
      <x:c r="P599" t="str">
        <x:f>IF(Match_Data!J599="","",IF(Match_Data!J599="OVER",1,0))</x:f>
      </x:c>
    </x:row>
    <x:row r="600">
      <x:c r="A600" t="n">
        <x:f>Match_Data!A600</x:f>
        <x:v>0</x:v>
      </x:c>
      <x:c r="B600" s="28" t="n">
        <x:f>Match_Data!B600</x:f>
        <x:v>0</x:v>
      </x:c>
      <x:c r="C600" t="n">
        <x:f>Match_Data!C600</x:f>
        <x:v>0</x:v>
      </x:c>
      <x:c r="D600" t="n">
        <x:f>Match_Data!E600</x:f>
        <x:v>0</x:v>
      </x:c>
      <x:c r="E600" t="n">
        <x:f>Match_Data!F600</x:f>
        <x:v>0</x:v>
      </x:c>
      <x:c r="F600" t="n">
        <x:f>Match_Data!AC600</x:f>
        <x:v>0</x:v>
      </x:c>
      <x:c r="G600" t="str">
        <x:f>IF(OR(Match_Data!K600="",Match_Data!L600=""),"",AVERAGE(Match_Data!K600:L600))</x:f>
      </x:c>
      <x:c r="H600" t="str">
        <x:f>IF(OR(Match_Data!M600="",Match_Data!N600=""),"",AVERAGE(Match_Data!M600:N600))</x:f>
      </x:c>
      <x:c r="I600" t="str">
        <x:f>IF(OR(Match_Data!O600="",Match_Data!Q600=""),"",Match_Data!O600+Match_Data!Q600)</x:f>
      </x:c>
      <x:c r="J600" t="str">
        <x:f>IF(OR(Match_Data!P600="",Match_Data!R600=""),"",Match_Data!P600+Match_Data!R600)</x:f>
      </x:c>
      <x:c r="K600" t="str">
        <x:f>IF(OR(Match_Data!S600="",Match_Data!T600=""),"",Match_Data!S600+Match_Data!T600)</x:f>
      </x:c>
      <x:c r="L600" t="str">
        <x:f>IF(OR(Match_Data!U600="",Match_Data!V600=""),"",Match_Data!U600-Match_Data!V600)</x:f>
      </x:c>
      <x:c r="M600" s="32" t="str">
        <x:f>IF(Match_Data!Y600="","",1/Match_Data!Y600)</x:f>
      </x:c>
      <x:c r="N600" s="32" t="str">
        <x:f>IF(Match_Data!AA600="","",1/Match_Data!AA600)</x:f>
      </x:c>
      <x:c r="O600" s="32" t="str">
        <x:f>IF(OR(M600="",N600=""),"",N600-M600)</x:f>
      </x:c>
      <x:c r="P600" t="str">
        <x:f>IF(Match_Data!J600="","",IF(Match_Data!J600="OVER",1,0))</x:f>
      </x:c>
    </x:row>
    <x:row r="601">
      <x:c r="A601" t="n">
        <x:f>Match_Data!A601</x:f>
        <x:v>0</x:v>
      </x:c>
      <x:c r="B601" s="28" t="n">
        <x:f>Match_Data!B601</x:f>
        <x:v>0</x:v>
      </x:c>
      <x:c r="C601" t="n">
        <x:f>Match_Data!C601</x:f>
        <x:v>0</x:v>
      </x:c>
      <x:c r="D601" t="n">
        <x:f>Match_Data!E601</x:f>
        <x:v>0</x:v>
      </x:c>
      <x:c r="E601" t="n">
        <x:f>Match_Data!F601</x:f>
        <x:v>0</x:v>
      </x:c>
      <x:c r="F601" t="n">
        <x:f>Match_Data!AC601</x:f>
        <x:v>0</x:v>
      </x:c>
      <x:c r="G601" t="str">
        <x:f>IF(OR(Match_Data!K601="",Match_Data!L601=""),"",AVERAGE(Match_Data!K601:L601))</x:f>
      </x:c>
      <x:c r="H601" t="str">
        <x:f>IF(OR(Match_Data!M601="",Match_Data!N601=""),"",AVERAGE(Match_Data!M601:N601))</x:f>
      </x:c>
      <x:c r="I601" t="str">
        <x:f>IF(OR(Match_Data!O601="",Match_Data!Q601=""),"",Match_Data!O601+Match_Data!Q601)</x:f>
      </x:c>
      <x:c r="J601" t="str">
        <x:f>IF(OR(Match_Data!P601="",Match_Data!R601=""),"",Match_Data!P601+Match_Data!R601)</x:f>
      </x:c>
      <x:c r="K601" t="str">
        <x:f>IF(OR(Match_Data!S601="",Match_Data!T601=""),"",Match_Data!S601+Match_Data!T601)</x:f>
      </x:c>
      <x:c r="L601" t="str">
        <x:f>IF(OR(Match_Data!U601="",Match_Data!V601=""),"",Match_Data!U601-Match_Data!V601)</x:f>
      </x:c>
      <x:c r="M601" s="32" t="str">
        <x:f>IF(Match_Data!Y601="","",1/Match_Data!Y601)</x:f>
      </x:c>
      <x:c r="N601" s="32" t="str">
        <x:f>IF(Match_Data!AA601="","",1/Match_Data!AA601)</x:f>
      </x:c>
      <x:c r="O601" s="32" t="str">
        <x:f>IF(OR(M601="",N601=""),"",N601-M601)</x:f>
      </x:c>
      <x:c r="P601" t="str">
        <x:f>IF(Match_Data!J601="","",IF(Match_Data!J601="OVER",1,0))</x:f>
      </x:c>
    </x:row>
    <x:row r="602">
      <x:c r="A602" t="n">
        <x:f>Match_Data!A602</x:f>
        <x:v>0</x:v>
      </x:c>
      <x:c r="B602" s="28" t="n">
        <x:f>Match_Data!B602</x:f>
        <x:v>0</x:v>
      </x:c>
      <x:c r="C602" t="n">
        <x:f>Match_Data!C602</x:f>
        <x:v>0</x:v>
      </x:c>
      <x:c r="D602" t="n">
        <x:f>Match_Data!E602</x:f>
        <x:v>0</x:v>
      </x:c>
      <x:c r="E602" t="n">
        <x:f>Match_Data!F602</x:f>
        <x:v>0</x:v>
      </x:c>
      <x:c r="F602" t="n">
        <x:f>Match_Data!AC602</x:f>
        <x:v>0</x:v>
      </x:c>
      <x:c r="G602" t="str">
        <x:f>IF(OR(Match_Data!K602="",Match_Data!L602=""),"",AVERAGE(Match_Data!K602:L602))</x:f>
      </x:c>
      <x:c r="H602" t="str">
        <x:f>IF(OR(Match_Data!M602="",Match_Data!N602=""),"",AVERAGE(Match_Data!M602:N602))</x:f>
      </x:c>
      <x:c r="I602" t="str">
        <x:f>IF(OR(Match_Data!O602="",Match_Data!Q602=""),"",Match_Data!O602+Match_Data!Q602)</x:f>
      </x:c>
      <x:c r="J602" t="str">
        <x:f>IF(OR(Match_Data!P602="",Match_Data!R602=""),"",Match_Data!P602+Match_Data!R602)</x:f>
      </x:c>
      <x:c r="K602" t="str">
        <x:f>IF(OR(Match_Data!S602="",Match_Data!T602=""),"",Match_Data!S602+Match_Data!T602)</x:f>
      </x:c>
      <x:c r="L602" t="str">
        <x:f>IF(OR(Match_Data!U602="",Match_Data!V602=""),"",Match_Data!U602-Match_Data!V602)</x:f>
      </x:c>
      <x:c r="M602" s="32" t="str">
        <x:f>IF(Match_Data!Y602="","",1/Match_Data!Y602)</x:f>
      </x:c>
      <x:c r="N602" s="32" t="str">
        <x:f>IF(Match_Data!AA602="","",1/Match_Data!AA602)</x:f>
      </x:c>
      <x:c r="O602" s="32" t="str">
        <x:f>IF(OR(M602="",N602=""),"",N602-M602)</x:f>
      </x:c>
      <x:c r="P602" t="str">
        <x:f>IF(Match_Data!J602="","",IF(Match_Data!J602="OVER",1,0))</x:f>
      </x:c>
    </x:row>
    <x:row r="603">
      <x:c r="A603" t="n">
        <x:f>Match_Data!A603</x:f>
        <x:v>0</x:v>
      </x:c>
      <x:c r="B603" s="28" t="n">
        <x:f>Match_Data!B603</x:f>
        <x:v>0</x:v>
      </x:c>
      <x:c r="C603" t="n">
        <x:f>Match_Data!C603</x:f>
        <x:v>0</x:v>
      </x:c>
      <x:c r="D603" t="n">
        <x:f>Match_Data!E603</x:f>
        <x:v>0</x:v>
      </x:c>
      <x:c r="E603" t="n">
        <x:f>Match_Data!F603</x:f>
        <x:v>0</x:v>
      </x:c>
      <x:c r="F603" t="n">
        <x:f>Match_Data!AC603</x:f>
        <x:v>0</x:v>
      </x:c>
      <x:c r="G603" t="str">
        <x:f>IF(OR(Match_Data!K603="",Match_Data!L603=""),"",AVERAGE(Match_Data!K603:L603))</x:f>
      </x:c>
      <x:c r="H603" t="str">
        <x:f>IF(OR(Match_Data!M603="",Match_Data!N603=""),"",AVERAGE(Match_Data!M603:N603))</x:f>
      </x:c>
      <x:c r="I603" t="str">
        <x:f>IF(OR(Match_Data!O603="",Match_Data!Q603=""),"",Match_Data!O603+Match_Data!Q603)</x:f>
      </x:c>
      <x:c r="J603" t="str">
        <x:f>IF(OR(Match_Data!P603="",Match_Data!R603=""),"",Match_Data!P603+Match_Data!R603)</x:f>
      </x:c>
      <x:c r="K603" t="str">
        <x:f>IF(OR(Match_Data!S603="",Match_Data!T603=""),"",Match_Data!S603+Match_Data!T603)</x:f>
      </x:c>
      <x:c r="L603" t="str">
        <x:f>IF(OR(Match_Data!U603="",Match_Data!V603=""),"",Match_Data!U603-Match_Data!V603)</x:f>
      </x:c>
      <x:c r="M603" s="32" t="str">
        <x:f>IF(Match_Data!Y603="","",1/Match_Data!Y603)</x:f>
      </x:c>
      <x:c r="N603" s="32" t="str">
        <x:f>IF(Match_Data!AA603="","",1/Match_Data!AA603)</x:f>
      </x:c>
      <x:c r="O603" s="32" t="str">
        <x:f>IF(OR(M603="",N603=""),"",N603-M603)</x:f>
      </x:c>
      <x:c r="P603" t="str">
        <x:f>IF(Match_Data!J603="","",IF(Match_Data!J603="OVER",1,0))</x:f>
      </x:c>
    </x:row>
    <x:row r="604">
      <x:c r="A604" t="n">
        <x:f>Match_Data!A604</x:f>
        <x:v>0</x:v>
      </x:c>
      <x:c r="B604" s="28" t="n">
        <x:f>Match_Data!B604</x:f>
        <x:v>0</x:v>
      </x:c>
      <x:c r="C604" t="n">
        <x:f>Match_Data!C604</x:f>
        <x:v>0</x:v>
      </x:c>
      <x:c r="D604" t="n">
        <x:f>Match_Data!E604</x:f>
        <x:v>0</x:v>
      </x:c>
      <x:c r="E604" t="n">
        <x:f>Match_Data!F604</x:f>
        <x:v>0</x:v>
      </x:c>
      <x:c r="F604" t="n">
        <x:f>Match_Data!AC604</x:f>
        <x:v>0</x:v>
      </x:c>
      <x:c r="G604" t="str">
        <x:f>IF(OR(Match_Data!K604="",Match_Data!L604=""),"",AVERAGE(Match_Data!K604:L604))</x:f>
      </x:c>
      <x:c r="H604" t="str">
        <x:f>IF(OR(Match_Data!M604="",Match_Data!N604=""),"",AVERAGE(Match_Data!M604:N604))</x:f>
      </x:c>
      <x:c r="I604" t="str">
        <x:f>IF(OR(Match_Data!O604="",Match_Data!Q604=""),"",Match_Data!O604+Match_Data!Q604)</x:f>
      </x:c>
      <x:c r="J604" t="str">
        <x:f>IF(OR(Match_Data!P604="",Match_Data!R604=""),"",Match_Data!P604+Match_Data!R604)</x:f>
      </x:c>
      <x:c r="K604" t="str">
        <x:f>IF(OR(Match_Data!S604="",Match_Data!T604=""),"",Match_Data!S604+Match_Data!T604)</x:f>
      </x:c>
      <x:c r="L604" t="str">
        <x:f>IF(OR(Match_Data!U604="",Match_Data!V604=""),"",Match_Data!U604-Match_Data!V604)</x:f>
      </x:c>
      <x:c r="M604" s="32" t="str">
        <x:f>IF(Match_Data!Y604="","",1/Match_Data!Y604)</x:f>
      </x:c>
      <x:c r="N604" s="32" t="str">
        <x:f>IF(Match_Data!AA604="","",1/Match_Data!AA604)</x:f>
      </x:c>
      <x:c r="O604" s="32" t="str">
        <x:f>IF(OR(M604="",N604=""),"",N604-M604)</x:f>
      </x:c>
      <x:c r="P604" t="str">
        <x:f>IF(Match_Data!J604="","",IF(Match_Data!J604="OVER",1,0))</x:f>
      </x:c>
    </x:row>
    <x:row r="605">
      <x:c r="A605" t="n">
        <x:f>Match_Data!A605</x:f>
        <x:v>0</x:v>
      </x:c>
      <x:c r="B605" s="28" t="n">
        <x:f>Match_Data!B605</x:f>
        <x:v>0</x:v>
      </x:c>
      <x:c r="C605" t="n">
        <x:f>Match_Data!C605</x:f>
        <x:v>0</x:v>
      </x:c>
      <x:c r="D605" t="n">
        <x:f>Match_Data!E605</x:f>
        <x:v>0</x:v>
      </x:c>
      <x:c r="E605" t="n">
        <x:f>Match_Data!F605</x:f>
        <x:v>0</x:v>
      </x:c>
      <x:c r="F605" t="n">
        <x:f>Match_Data!AC605</x:f>
        <x:v>0</x:v>
      </x:c>
      <x:c r="G605" t="str">
        <x:f>IF(OR(Match_Data!K605="",Match_Data!L605=""),"",AVERAGE(Match_Data!K605:L605))</x:f>
      </x:c>
      <x:c r="H605" t="str">
        <x:f>IF(OR(Match_Data!M605="",Match_Data!N605=""),"",AVERAGE(Match_Data!M605:N605))</x:f>
      </x:c>
      <x:c r="I605" t="str">
        <x:f>IF(OR(Match_Data!O605="",Match_Data!Q605=""),"",Match_Data!O605+Match_Data!Q605)</x:f>
      </x:c>
      <x:c r="J605" t="str">
        <x:f>IF(OR(Match_Data!P605="",Match_Data!R605=""),"",Match_Data!P605+Match_Data!R605)</x:f>
      </x:c>
      <x:c r="K605" t="str">
        <x:f>IF(OR(Match_Data!S605="",Match_Data!T605=""),"",Match_Data!S605+Match_Data!T605)</x:f>
      </x:c>
      <x:c r="L605" t="str">
        <x:f>IF(OR(Match_Data!U605="",Match_Data!V605=""),"",Match_Data!U605-Match_Data!V605)</x:f>
      </x:c>
      <x:c r="M605" s="32" t="str">
        <x:f>IF(Match_Data!Y605="","",1/Match_Data!Y605)</x:f>
      </x:c>
      <x:c r="N605" s="32" t="str">
        <x:f>IF(Match_Data!AA605="","",1/Match_Data!AA605)</x:f>
      </x:c>
      <x:c r="O605" s="32" t="str">
        <x:f>IF(OR(M605="",N605=""),"",N605-M605)</x:f>
      </x:c>
      <x:c r="P605" t="str">
        <x:f>IF(Match_Data!J605="","",IF(Match_Data!J605="OVER",1,0))</x:f>
      </x:c>
    </x:row>
    <x:row r="606">
      <x:c r="A606" t="n">
        <x:f>Match_Data!A606</x:f>
        <x:v>0</x:v>
      </x:c>
      <x:c r="B606" s="28" t="n">
        <x:f>Match_Data!B606</x:f>
        <x:v>0</x:v>
      </x:c>
      <x:c r="C606" t="n">
        <x:f>Match_Data!C606</x:f>
        <x:v>0</x:v>
      </x:c>
      <x:c r="D606" t="n">
        <x:f>Match_Data!E606</x:f>
        <x:v>0</x:v>
      </x:c>
      <x:c r="E606" t="n">
        <x:f>Match_Data!F606</x:f>
        <x:v>0</x:v>
      </x:c>
      <x:c r="F606" t="n">
        <x:f>Match_Data!AC606</x:f>
        <x:v>0</x:v>
      </x:c>
      <x:c r="G606" t="str">
        <x:f>IF(OR(Match_Data!K606="",Match_Data!L606=""),"",AVERAGE(Match_Data!K606:L606))</x:f>
      </x:c>
      <x:c r="H606" t="str">
        <x:f>IF(OR(Match_Data!M606="",Match_Data!N606=""),"",AVERAGE(Match_Data!M606:N606))</x:f>
      </x:c>
      <x:c r="I606" t="str">
        <x:f>IF(OR(Match_Data!O606="",Match_Data!Q606=""),"",Match_Data!O606+Match_Data!Q606)</x:f>
      </x:c>
      <x:c r="J606" t="str">
        <x:f>IF(OR(Match_Data!P606="",Match_Data!R606=""),"",Match_Data!P606+Match_Data!R606)</x:f>
      </x:c>
      <x:c r="K606" t="str">
        <x:f>IF(OR(Match_Data!S606="",Match_Data!T606=""),"",Match_Data!S606+Match_Data!T606)</x:f>
      </x:c>
      <x:c r="L606" t="str">
        <x:f>IF(OR(Match_Data!U606="",Match_Data!V606=""),"",Match_Data!U606-Match_Data!V606)</x:f>
      </x:c>
      <x:c r="M606" s="32" t="str">
        <x:f>IF(Match_Data!Y606="","",1/Match_Data!Y606)</x:f>
      </x:c>
      <x:c r="N606" s="32" t="str">
        <x:f>IF(Match_Data!AA606="","",1/Match_Data!AA606)</x:f>
      </x:c>
      <x:c r="O606" s="32" t="str">
        <x:f>IF(OR(M606="",N606=""),"",N606-M606)</x:f>
      </x:c>
      <x:c r="P606" t="str">
        <x:f>IF(Match_Data!J606="","",IF(Match_Data!J606="OVER",1,0))</x:f>
      </x:c>
    </x:row>
    <x:row r="607">
      <x:c r="A607" t="n">
        <x:f>Match_Data!A607</x:f>
        <x:v>0</x:v>
      </x:c>
      <x:c r="B607" s="28" t="n">
        <x:f>Match_Data!B607</x:f>
        <x:v>0</x:v>
      </x:c>
      <x:c r="C607" t="n">
        <x:f>Match_Data!C607</x:f>
        <x:v>0</x:v>
      </x:c>
      <x:c r="D607" t="n">
        <x:f>Match_Data!E607</x:f>
        <x:v>0</x:v>
      </x:c>
      <x:c r="E607" t="n">
        <x:f>Match_Data!F607</x:f>
        <x:v>0</x:v>
      </x:c>
      <x:c r="F607" t="n">
        <x:f>Match_Data!AC607</x:f>
        <x:v>0</x:v>
      </x:c>
      <x:c r="G607" t="str">
        <x:f>IF(OR(Match_Data!K607="",Match_Data!L607=""),"",AVERAGE(Match_Data!K607:L607))</x:f>
      </x:c>
      <x:c r="H607" t="str">
        <x:f>IF(OR(Match_Data!M607="",Match_Data!N607=""),"",AVERAGE(Match_Data!M607:N607))</x:f>
      </x:c>
      <x:c r="I607" t="str">
        <x:f>IF(OR(Match_Data!O607="",Match_Data!Q607=""),"",Match_Data!O607+Match_Data!Q607)</x:f>
      </x:c>
      <x:c r="J607" t="str">
        <x:f>IF(OR(Match_Data!P607="",Match_Data!R607=""),"",Match_Data!P607+Match_Data!R607)</x:f>
      </x:c>
      <x:c r="K607" t="str">
        <x:f>IF(OR(Match_Data!S607="",Match_Data!T607=""),"",Match_Data!S607+Match_Data!T607)</x:f>
      </x:c>
      <x:c r="L607" t="str">
        <x:f>IF(OR(Match_Data!U607="",Match_Data!V607=""),"",Match_Data!U607-Match_Data!V607)</x:f>
      </x:c>
      <x:c r="M607" s="32" t="str">
        <x:f>IF(Match_Data!Y607="","",1/Match_Data!Y607)</x:f>
      </x:c>
      <x:c r="N607" s="32" t="str">
        <x:f>IF(Match_Data!AA607="","",1/Match_Data!AA607)</x:f>
      </x:c>
      <x:c r="O607" s="32" t="str">
        <x:f>IF(OR(M607="",N607=""),"",N607-M607)</x:f>
      </x:c>
      <x:c r="P607" t="str">
        <x:f>IF(Match_Data!J607="","",IF(Match_Data!J607="OVER",1,0))</x:f>
      </x:c>
    </x:row>
    <x:row r="608">
      <x:c r="A608" t="n">
        <x:f>Match_Data!A608</x:f>
        <x:v>0</x:v>
      </x:c>
      <x:c r="B608" s="28" t="n">
        <x:f>Match_Data!B608</x:f>
        <x:v>0</x:v>
      </x:c>
      <x:c r="C608" t="n">
        <x:f>Match_Data!C608</x:f>
        <x:v>0</x:v>
      </x:c>
      <x:c r="D608" t="n">
        <x:f>Match_Data!E608</x:f>
        <x:v>0</x:v>
      </x:c>
      <x:c r="E608" t="n">
        <x:f>Match_Data!F608</x:f>
        <x:v>0</x:v>
      </x:c>
      <x:c r="F608" t="n">
        <x:f>Match_Data!AC608</x:f>
        <x:v>0</x:v>
      </x:c>
      <x:c r="G608" t="str">
        <x:f>IF(OR(Match_Data!K608="",Match_Data!L608=""),"",AVERAGE(Match_Data!K608:L608))</x:f>
      </x:c>
      <x:c r="H608" t="str">
        <x:f>IF(OR(Match_Data!M608="",Match_Data!N608=""),"",AVERAGE(Match_Data!M608:N608))</x:f>
      </x:c>
      <x:c r="I608" t="str">
        <x:f>IF(OR(Match_Data!O608="",Match_Data!Q608=""),"",Match_Data!O608+Match_Data!Q608)</x:f>
      </x:c>
      <x:c r="J608" t="str">
        <x:f>IF(OR(Match_Data!P608="",Match_Data!R608=""),"",Match_Data!P608+Match_Data!R608)</x:f>
      </x:c>
      <x:c r="K608" t="str">
        <x:f>IF(OR(Match_Data!S608="",Match_Data!T608=""),"",Match_Data!S608+Match_Data!T608)</x:f>
      </x:c>
      <x:c r="L608" t="str">
        <x:f>IF(OR(Match_Data!U608="",Match_Data!V608=""),"",Match_Data!U608-Match_Data!V608)</x:f>
      </x:c>
      <x:c r="M608" s="32" t="str">
        <x:f>IF(Match_Data!Y608="","",1/Match_Data!Y608)</x:f>
      </x:c>
      <x:c r="N608" s="32" t="str">
        <x:f>IF(Match_Data!AA608="","",1/Match_Data!AA608)</x:f>
      </x:c>
      <x:c r="O608" s="32" t="str">
        <x:f>IF(OR(M608="",N608=""),"",N608-M608)</x:f>
      </x:c>
      <x:c r="P608" t="str">
        <x:f>IF(Match_Data!J608="","",IF(Match_Data!J608="OVER",1,0))</x:f>
      </x:c>
    </x:row>
    <x:row r="609">
      <x:c r="A609" t="n">
        <x:f>Match_Data!A609</x:f>
        <x:v>0</x:v>
      </x:c>
      <x:c r="B609" s="28" t="n">
        <x:f>Match_Data!B609</x:f>
        <x:v>0</x:v>
      </x:c>
      <x:c r="C609" t="n">
        <x:f>Match_Data!C609</x:f>
        <x:v>0</x:v>
      </x:c>
      <x:c r="D609" t="n">
        <x:f>Match_Data!E609</x:f>
        <x:v>0</x:v>
      </x:c>
      <x:c r="E609" t="n">
        <x:f>Match_Data!F609</x:f>
        <x:v>0</x:v>
      </x:c>
      <x:c r="F609" t="n">
        <x:f>Match_Data!AC609</x:f>
        <x:v>0</x:v>
      </x:c>
      <x:c r="G609" t="str">
        <x:f>IF(OR(Match_Data!K609="",Match_Data!L609=""),"",AVERAGE(Match_Data!K609:L609))</x:f>
      </x:c>
      <x:c r="H609" t="str">
        <x:f>IF(OR(Match_Data!M609="",Match_Data!N609=""),"",AVERAGE(Match_Data!M609:N609))</x:f>
      </x:c>
      <x:c r="I609" t="str">
        <x:f>IF(OR(Match_Data!O609="",Match_Data!Q609=""),"",Match_Data!O609+Match_Data!Q609)</x:f>
      </x:c>
      <x:c r="J609" t="str">
        <x:f>IF(OR(Match_Data!P609="",Match_Data!R609=""),"",Match_Data!P609+Match_Data!R609)</x:f>
      </x:c>
      <x:c r="K609" t="str">
        <x:f>IF(OR(Match_Data!S609="",Match_Data!T609=""),"",Match_Data!S609+Match_Data!T609)</x:f>
      </x:c>
      <x:c r="L609" t="str">
        <x:f>IF(OR(Match_Data!U609="",Match_Data!V609=""),"",Match_Data!U609-Match_Data!V609)</x:f>
      </x:c>
      <x:c r="M609" s="32" t="str">
        <x:f>IF(Match_Data!Y609="","",1/Match_Data!Y609)</x:f>
      </x:c>
      <x:c r="N609" s="32" t="str">
        <x:f>IF(Match_Data!AA609="","",1/Match_Data!AA609)</x:f>
      </x:c>
      <x:c r="O609" s="32" t="str">
        <x:f>IF(OR(M609="",N609=""),"",N609-M609)</x:f>
      </x:c>
      <x:c r="P609" t="str">
        <x:f>IF(Match_Data!J609="","",IF(Match_Data!J609="OVER",1,0))</x:f>
      </x:c>
    </x:row>
    <x:row r="610">
      <x:c r="A610" t="n">
        <x:f>Match_Data!A610</x:f>
        <x:v>0</x:v>
      </x:c>
      <x:c r="B610" s="28" t="n">
        <x:f>Match_Data!B610</x:f>
        <x:v>0</x:v>
      </x:c>
      <x:c r="C610" t="n">
        <x:f>Match_Data!C610</x:f>
        <x:v>0</x:v>
      </x:c>
      <x:c r="D610" t="n">
        <x:f>Match_Data!E610</x:f>
        <x:v>0</x:v>
      </x:c>
      <x:c r="E610" t="n">
        <x:f>Match_Data!F610</x:f>
        <x:v>0</x:v>
      </x:c>
      <x:c r="F610" t="n">
        <x:f>Match_Data!AC610</x:f>
        <x:v>0</x:v>
      </x:c>
      <x:c r="G610" t="str">
        <x:f>IF(OR(Match_Data!K610="",Match_Data!L610=""),"",AVERAGE(Match_Data!K610:L610))</x:f>
      </x:c>
      <x:c r="H610" t="str">
        <x:f>IF(OR(Match_Data!M610="",Match_Data!N610=""),"",AVERAGE(Match_Data!M610:N610))</x:f>
      </x:c>
      <x:c r="I610" t="str">
        <x:f>IF(OR(Match_Data!O610="",Match_Data!Q610=""),"",Match_Data!O610+Match_Data!Q610)</x:f>
      </x:c>
      <x:c r="J610" t="str">
        <x:f>IF(OR(Match_Data!P610="",Match_Data!R610=""),"",Match_Data!P610+Match_Data!R610)</x:f>
      </x:c>
      <x:c r="K610" t="str">
        <x:f>IF(OR(Match_Data!S610="",Match_Data!T610=""),"",Match_Data!S610+Match_Data!T610)</x:f>
      </x:c>
      <x:c r="L610" t="str">
        <x:f>IF(OR(Match_Data!U610="",Match_Data!V610=""),"",Match_Data!U610-Match_Data!V610)</x:f>
      </x:c>
      <x:c r="M610" s="32" t="str">
        <x:f>IF(Match_Data!Y610="","",1/Match_Data!Y610)</x:f>
      </x:c>
      <x:c r="N610" s="32" t="str">
        <x:f>IF(Match_Data!AA610="","",1/Match_Data!AA610)</x:f>
      </x:c>
      <x:c r="O610" s="32" t="str">
        <x:f>IF(OR(M610="",N610=""),"",N610-M610)</x:f>
      </x:c>
      <x:c r="P610" t="str">
        <x:f>IF(Match_Data!J610="","",IF(Match_Data!J610="OVER",1,0))</x:f>
      </x:c>
    </x:row>
    <x:row r="611">
      <x:c r="A611" t="n">
        <x:f>Match_Data!A611</x:f>
        <x:v>0</x:v>
      </x:c>
      <x:c r="B611" s="28" t="n">
        <x:f>Match_Data!B611</x:f>
        <x:v>0</x:v>
      </x:c>
      <x:c r="C611" t="n">
        <x:f>Match_Data!C611</x:f>
        <x:v>0</x:v>
      </x:c>
      <x:c r="D611" t="n">
        <x:f>Match_Data!E611</x:f>
        <x:v>0</x:v>
      </x:c>
      <x:c r="E611" t="n">
        <x:f>Match_Data!F611</x:f>
        <x:v>0</x:v>
      </x:c>
      <x:c r="F611" t="n">
        <x:f>Match_Data!AC611</x:f>
        <x:v>0</x:v>
      </x:c>
      <x:c r="G611" t="str">
        <x:f>IF(OR(Match_Data!K611="",Match_Data!L611=""),"",AVERAGE(Match_Data!K611:L611))</x:f>
      </x:c>
      <x:c r="H611" t="str">
        <x:f>IF(OR(Match_Data!M611="",Match_Data!N611=""),"",AVERAGE(Match_Data!M611:N611))</x:f>
      </x:c>
      <x:c r="I611" t="str">
        <x:f>IF(OR(Match_Data!O611="",Match_Data!Q611=""),"",Match_Data!O611+Match_Data!Q611)</x:f>
      </x:c>
      <x:c r="J611" t="str">
        <x:f>IF(OR(Match_Data!P611="",Match_Data!R611=""),"",Match_Data!P611+Match_Data!R611)</x:f>
      </x:c>
      <x:c r="K611" t="str">
        <x:f>IF(OR(Match_Data!S611="",Match_Data!T611=""),"",Match_Data!S611+Match_Data!T611)</x:f>
      </x:c>
      <x:c r="L611" t="str">
        <x:f>IF(OR(Match_Data!U611="",Match_Data!V611=""),"",Match_Data!U611-Match_Data!V611)</x:f>
      </x:c>
      <x:c r="M611" s="32" t="str">
        <x:f>IF(Match_Data!Y611="","",1/Match_Data!Y611)</x:f>
      </x:c>
      <x:c r="N611" s="32" t="str">
        <x:f>IF(Match_Data!AA611="","",1/Match_Data!AA611)</x:f>
      </x:c>
      <x:c r="O611" s="32" t="str">
        <x:f>IF(OR(M611="",N611=""),"",N611-M611)</x:f>
      </x:c>
      <x:c r="P611" t="str">
        <x:f>IF(Match_Data!J611="","",IF(Match_Data!J611="OVER",1,0))</x:f>
      </x:c>
    </x:row>
    <x:row r="612">
      <x:c r="A612" t="n">
        <x:f>Match_Data!A612</x:f>
        <x:v>0</x:v>
      </x:c>
      <x:c r="B612" s="28" t="n">
        <x:f>Match_Data!B612</x:f>
        <x:v>0</x:v>
      </x:c>
      <x:c r="C612" t="n">
        <x:f>Match_Data!C612</x:f>
        <x:v>0</x:v>
      </x:c>
      <x:c r="D612" t="n">
        <x:f>Match_Data!E612</x:f>
        <x:v>0</x:v>
      </x:c>
      <x:c r="E612" t="n">
        <x:f>Match_Data!F612</x:f>
        <x:v>0</x:v>
      </x:c>
      <x:c r="F612" t="n">
        <x:f>Match_Data!AC612</x:f>
        <x:v>0</x:v>
      </x:c>
      <x:c r="G612" t="str">
        <x:f>IF(OR(Match_Data!K612="",Match_Data!L612=""),"",AVERAGE(Match_Data!K612:L612))</x:f>
      </x:c>
      <x:c r="H612" t="str">
        <x:f>IF(OR(Match_Data!M612="",Match_Data!N612=""),"",AVERAGE(Match_Data!M612:N612))</x:f>
      </x:c>
      <x:c r="I612" t="str">
        <x:f>IF(OR(Match_Data!O612="",Match_Data!Q612=""),"",Match_Data!O612+Match_Data!Q612)</x:f>
      </x:c>
      <x:c r="J612" t="str">
        <x:f>IF(OR(Match_Data!P612="",Match_Data!R612=""),"",Match_Data!P612+Match_Data!R612)</x:f>
      </x:c>
      <x:c r="K612" t="str">
        <x:f>IF(OR(Match_Data!S612="",Match_Data!T612=""),"",Match_Data!S612+Match_Data!T612)</x:f>
      </x:c>
      <x:c r="L612" t="str">
        <x:f>IF(OR(Match_Data!U612="",Match_Data!V612=""),"",Match_Data!U612-Match_Data!V612)</x:f>
      </x:c>
      <x:c r="M612" s="32" t="str">
        <x:f>IF(Match_Data!Y612="","",1/Match_Data!Y612)</x:f>
      </x:c>
      <x:c r="N612" s="32" t="str">
        <x:f>IF(Match_Data!AA612="","",1/Match_Data!AA612)</x:f>
      </x:c>
      <x:c r="O612" s="32" t="str">
        <x:f>IF(OR(M612="",N612=""),"",N612-M612)</x:f>
      </x:c>
      <x:c r="P612" t="str">
        <x:f>IF(Match_Data!J612="","",IF(Match_Data!J612="OVER",1,0))</x:f>
      </x:c>
    </x:row>
    <x:row r="613">
      <x:c r="A613" t="n">
        <x:f>Match_Data!A613</x:f>
        <x:v>0</x:v>
      </x:c>
      <x:c r="B613" s="28" t="n">
        <x:f>Match_Data!B613</x:f>
        <x:v>0</x:v>
      </x:c>
      <x:c r="C613" t="n">
        <x:f>Match_Data!C613</x:f>
        <x:v>0</x:v>
      </x:c>
      <x:c r="D613" t="n">
        <x:f>Match_Data!E613</x:f>
        <x:v>0</x:v>
      </x:c>
      <x:c r="E613" t="n">
        <x:f>Match_Data!F613</x:f>
        <x:v>0</x:v>
      </x:c>
      <x:c r="F613" t="n">
        <x:f>Match_Data!AC613</x:f>
        <x:v>0</x:v>
      </x:c>
      <x:c r="G613" t="str">
        <x:f>IF(OR(Match_Data!K613="",Match_Data!L613=""),"",AVERAGE(Match_Data!K613:L613))</x:f>
      </x:c>
      <x:c r="H613" t="str">
        <x:f>IF(OR(Match_Data!M613="",Match_Data!N613=""),"",AVERAGE(Match_Data!M613:N613))</x:f>
      </x:c>
      <x:c r="I613" t="str">
        <x:f>IF(OR(Match_Data!O613="",Match_Data!Q613=""),"",Match_Data!O613+Match_Data!Q613)</x:f>
      </x:c>
      <x:c r="J613" t="str">
        <x:f>IF(OR(Match_Data!P613="",Match_Data!R613=""),"",Match_Data!P613+Match_Data!R613)</x:f>
      </x:c>
      <x:c r="K613" t="str">
        <x:f>IF(OR(Match_Data!S613="",Match_Data!T613=""),"",Match_Data!S613+Match_Data!T613)</x:f>
      </x:c>
      <x:c r="L613" t="str">
        <x:f>IF(OR(Match_Data!U613="",Match_Data!V613=""),"",Match_Data!U613-Match_Data!V613)</x:f>
      </x:c>
      <x:c r="M613" s="32" t="str">
        <x:f>IF(Match_Data!Y613="","",1/Match_Data!Y613)</x:f>
      </x:c>
      <x:c r="N613" s="32" t="str">
        <x:f>IF(Match_Data!AA613="","",1/Match_Data!AA613)</x:f>
      </x:c>
      <x:c r="O613" s="32" t="str">
        <x:f>IF(OR(M613="",N613=""),"",N613-M613)</x:f>
      </x:c>
      <x:c r="P613" t="str">
        <x:f>IF(Match_Data!J613="","",IF(Match_Data!J613="OVER",1,0))</x:f>
      </x:c>
    </x:row>
    <x:row r="614">
      <x:c r="A614" t="n">
        <x:f>Match_Data!A614</x:f>
        <x:v>0</x:v>
      </x:c>
      <x:c r="B614" s="28" t="n">
        <x:f>Match_Data!B614</x:f>
        <x:v>0</x:v>
      </x:c>
      <x:c r="C614" t="n">
        <x:f>Match_Data!C614</x:f>
        <x:v>0</x:v>
      </x:c>
      <x:c r="D614" t="n">
        <x:f>Match_Data!E614</x:f>
        <x:v>0</x:v>
      </x:c>
      <x:c r="E614" t="n">
        <x:f>Match_Data!F614</x:f>
        <x:v>0</x:v>
      </x:c>
      <x:c r="F614" t="n">
        <x:f>Match_Data!AC614</x:f>
        <x:v>0</x:v>
      </x:c>
      <x:c r="G614" t="str">
        <x:f>IF(OR(Match_Data!K614="",Match_Data!L614=""),"",AVERAGE(Match_Data!K614:L614))</x:f>
      </x:c>
      <x:c r="H614" t="str">
        <x:f>IF(OR(Match_Data!M614="",Match_Data!N614=""),"",AVERAGE(Match_Data!M614:N614))</x:f>
      </x:c>
      <x:c r="I614" t="str">
        <x:f>IF(OR(Match_Data!O614="",Match_Data!Q614=""),"",Match_Data!O614+Match_Data!Q614)</x:f>
      </x:c>
      <x:c r="J614" t="str">
        <x:f>IF(OR(Match_Data!P614="",Match_Data!R614=""),"",Match_Data!P614+Match_Data!R614)</x:f>
      </x:c>
      <x:c r="K614" t="str">
        <x:f>IF(OR(Match_Data!S614="",Match_Data!T614=""),"",Match_Data!S614+Match_Data!T614)</x:f>
      </x:c>
      <x:c r="L614" t="str">
        <x:f>IF(OR(Match_Data!U614="",Match_Data!V614=""),"",Match_Data!U614-Match_Data!V614)</x:f>
      </x:c>
      <x:c r="M614" s="32" t="str">
        <x:f>IF(Match_Data!Y614="","",1/Match_Data!Y614)</x:f>
      </x:c>
      <x:c r="N614" s="32" t="str">
        <x:f>IF(Match_Data!AA614="","",1/Match_Data!AA614)</x:f>
      </x:c>
      <x:c r="O614" s="32" t="str">
        <x:f>IF(OR(M614="",N614=""),"",N614-M614)</x:f>
      </x:c>
      <x:c r="P614" t="str">
        <x:f>IF(Match_Data!J614="","",IF(Match_Data!J614="OVER",1,0))</x:f>
      </x:c>
    </x:row>
    <x:row r="615">
      <x:c r="A615" t="n">
        <x:f>Match_Data!A615</x:f>
        <x:v>0</x:v>
      </x:c>
      <x:c r="B615" s="28" t="n">
        <x:f>Match_Data!B615</x:f>
        <x:v>0</x:v>
      </x:c>
      <x:c r="C615" t="n">
        <x:f>Match_Data!C615</x:f>
        <x:v>0</x:v>
      </x:c>
      <x:c r="D615" t="n">
        <x:f>Match_Data!E615</x:f>
        <x:v>0</x:v>
      </x:c>
      <x:c r="E615" t="n">
        <x:f>Match_Data!F615</x:f>
        <x:v>0</x:v>
      </x:c>
      <x:c r="F615" t="n">
        <x:f>Match_Data!AC615</x:f>
        <x:v>0</x:v>
      </x:c>
      <x:c r="G615" t="str">
        <x:f>IF(OR(Match_Data!K615="",Match_Data!L615=""),"",AVERAGE(Match_Data!K615:L615))</x:f>
      </x:c>
      <x:c r="H615" t="str">
        <x:f>IF(OR(Match_Data!M615="",Match_Data!N615=""),"",AVERAGE(Match_Data!M615:N615))</x:f>
      </x:c>
      <x:c r="I615" t="str">
        <x:f>IF(OR(Match_Data!O615="",Match_Data!Q615=""),"",Match_Data!O615+Match_Data!Q615)</x:f>
      </x:c>
      <x:c r="J615" t="str">
        <x:f>IF(OR(Match_Data!P615="",Match_Data!R615=""),"",Match_Data!P615+Match_Data!R615)</x:f>
      </x:c>
      <x:c r="K615" t="str">
        <x:f>IF(OR(Match_Data!S615="",Match_Data!T615=""),"",Match_Data!S615+Match_Data!T615)</x:f>
      </x:c>
      <x:c r="L615" t="str">
        <x:f>IF(OR(Match_Data!U615="",Match_Data!V615=""),"",Match_Data!U615-Match_Data!V615)</x:f>
      </x:c>
      <x:c r="M615" s="32" t="str">
        <x:f>IF(Match_Data!Y615="","",1/Match_Data!Y615)</x:f>
      </x:c>
      <x:c r="N615" s="32" t="str">
        <x:f>IF(Match_Data!AA615="","",1/Match_Data!AA615)</x:f>
      </x:c>
      <x:c r="O615" s="32" t="str">
        <x:f>IF(OR(M615="",N615=""),"",N615-M615)</x:f>
      </x:c>
      <x:c r="P615" t="str">
        <x:f>IF(Match_Data!J615="","",IF(Match_Data!J615="OVER",1,0))</x:f>
      </x:c>
    </x:row>
    <x:row r="616">
      <x:c r="A616" t="n">
        <x:f>Match_Data!A616</x:f>
        <x:v>0</x:v>
      </x:c>
      <x:c r="B616" s="28" t="n">
        <x:f>Match_Data!B616</x:f>
        <x:v>0</x:v>
      </x:c>
      <x:c r="C616" t="n">
        <x:f>Match_Data!C616</x:f>
        <x:v>0</x:v>
      </x:c>
      <x:c r="D616" t="n">
        <x:f>Match_Data!E616</x:f>
        <x:v>0</x:v>
      </x:c>
      <x:c r="E616" t="n">
        <x:f>Match_Data!F616</x:f>
        <x:v>0</x:v>
      </x:c>
      <x:c r="F616" t="n">
        <x:f>Match_Data!AC616</x:f>
        <x:v>0</x:v>
      </x:c>
      <x:c r="G616" t="str">
        <x:f>IF(OR(Match_Data!K616="",Match_Data!L616=""),"",AVERAGE(Match_Data!K616:L616))</x:f>
      </x:c>
      <x:c r="H616" t="str">
        <x:f>IF(OR(Match_Data!M616="",Match_Data!N616=""),"",AVERAGE(Match_Data!M616:N616))</x:f>
      </x:c>
      <x:c r="I616" t="str">
        <x:f>IF(OR(Match_Data!O616="",Match_Data!Q616=""),"",Match_Data!O616+Match_Data!Q616)</x:f>
      </x:c>
      <x:c r="J616" t="str">
        <x:f>IF(OR(Match_Data!P616="",Match_Data!R616=""),"",Match_Data!P616+Match_Data!R616)</x:f>
      </x:c>
      <x:c r="K616" t="str">
        <x:f>IF(OR(Match_Data!S616="",Match_Data!T616=""),"",Match_Data!S616+Match_Data!T616)</x:f>
      </x:c>
      <x:c r="L616" t="str">
        <x:f>IF(OR(Match_Data!U616="",Match_Data!V616=""),"",Match_Data!U616-Match_Data!V616)</x:f>
      </x:c>
      <x:c r="M616" s="32" t="str">
        <x:f>IF(Match_Data!Y616="","",1/Match_Data!Y616)</x:f>
      </x:c>
      <x:c r="N616" s="32" t="str">
        <x:f>IF(Match_Data!AA616="","",1/Match_Data!AA616)</x:f>
      </x:c>
      <x:c r="O616" s="32" t="str">
        <x:f>IF(OR(M616="",N616=""),"",N616-M616)</x:f>
      </x:c>
      <x:c r="P616" t="str">
        <x:f>IF(Match_Data!J616="","",IF(Match_Data!J616="OVER",1,0))</x:f>
      </x:c>
    </x:row>
    <x:row r="617">
      <x:c r="A617" t="n">
        <x:f>Match_Data!A617</x:f>
        <x:v>0</x:v>
      </x:c>
      <x:c r="B617" s="28" t="n">
        <x:f>Match_Data!B617</x:f>
        <x:v>0</x:v>
      </x:c>
      <x:c r="C617" t="n">
        <x:f>Match_Data!C617</x:f>
        <x:v>0</x:v>
      </x:c>
      <x:c r="D617" t="n">
        <x:f>Match_Data!E617</x:f>
        <x:v>0</x:v>
      </x:c>
      <x:c r="E617" t="n">
        <x:f>Match_Data!F617</x:f>
        <x:v>0</x:v>
      </x:c>
      <x:c r="F617" t="n">
        <x:f>Match_Data!AC617</x:f>
        <x:v>0</x:v>
      </x:c>
      <x:c r="G617" t="str">
        <x:f>IF(OR(Match_Data!K617="",Match_Data!L617=""),"",AVERAGE(Match_Data!K617:L617))</x:f>
      </x:c>
      <x:c r="H617" t="str">
        <x:f>IF(OR(Match_Data!M617="",Match_Data!N617=""),"",AVERAGE(Match_Data!M617:N617))</x:f>
      </x:c>
      <x:c r="I617" t="str">
        <x:f>IF(OR(Match_Data!O617="",Match_Data!Q617=""),"",Match_Data!O617+Match_Data!Q617)</x:f>
      </x:c>
      <x:c r="J617" t="str">
        <x:f>IF(OR(Match_Data!P617="",Match_Data!R617=""),"",Match_Data!P617+Match_Data!R617)</x:f>
      </x:c>
      <x:c r="K617" t="str">
        <x:f>IF(OR(Match_Data!S617="",Match_Data!T617=""),"",Match_Data!S617+Match_Data!T617)</x:f>
      </x:c>
      <x:c r="L617" t="str">
        <x:f>IF(OR(Match_Data!U617="",Match_Data!V617=""),"",Match_Data!U617-Match_Data!V617)</x:f>
      </x:c>
      <x:c r="M617" s="32" t="str">
        <x:f>IF(Match_Data!Y617="","",1/Match_Data!Y617)</x:f>
      </x:c>
      <x:c r="N617" s="32" t="str">
        <x:f>IF(Match_Data!AA617="","",1/Match_Data!AA617)</x:f>
      </x:c>
      <x:c r="O617" s="32" t="str">
        <x:f>IF(OR(M617="",N617=""),"",N617-M617)</x:f>
      </x:c>
      <x:c r="P617" t="str">
        <x:f>IF(Match_Data!J617="","",IF(Match_Data!J617="OVER",1,0))</x:f>
      </x:c>
    </x:row>
    <x:row r="618">
      <x:c r="A618" t="n">
        <x:f>Match_Data!A618</x:f>
        <x:v>0</x:v>
      </x:c>
      <x:c r="B618" s="28" t="n">
        <x:f>Match_Data!B618</x:f>
        <x:v>0</x:v>
      </x:c>
      <x:c r="C618" t="n">
        <x:f>Match_Data!C618</x:f>
        <x:v>0</x:v>
      </x:c>
      <x:c r="D618" t="n">
        <x:f>Match_Data!E618</x:f>
        <x:v>0</x:v>
      </x:c>
      <x:c r="E618" t="n">
        <x:f>Match_Data!F618</x:f>
        <x:v>0</x:v>
      </x:c>
      <x:c r="F618" t="n">
        <x:f>Match_Data!AC618</x:f>
        <x:v>0</x:v>
      </x:c>
      <x:c r="G618" t="str">
        <x:f>IF(OR(Match_Data!K618="",Match_Data!L618=""),"",AVERAGE(Match_Data!K618:L618))</x:f>
      </x:c>
      <x:c r="H618" t="str">
        <x:f>IF(OR(Match_Data!M618="",Match_Data!N618=""),"",AVERAGE(Match_Data!M618:N618))</x:f>
      </x:c>
      <x:c r="I618" t="str">
        <x:f>IF(OR(Match_Data!O618="",Match_Data!Q618=""),"",Match_Data!O618+Match_Data!Q618)</x:f>
      </x:c>
      <x:c r="J618" t="str">
        <x:f>IF(OR(Match_Data!P618="",Match_Data!R618=""),"",Match_Data!P618+Match_Data!R618)</x:f>
      </x:c>
      <x:c r="K618" t="str">
        <x:f>IF(OR(Match_Data!S618="",Match_Data!T618=""),"",Match_Data!S618+Match_Data!T618)</x:f>
      </x:c>
      <x:c r="L618" t="str">
        <x:f>IF(OR(Match_Data!U618="",Match_Data!V618=""),"",Match_Data!U618-Match_Data!V618)</x:f>
      </x:c>
      <x:c r="M618" s="32" t="str">
        <x:f>IF(Match_Data!Y618="","",1/Match_Data!Y618)</x:f>
      </x:c>
      <x:c r="N618" s="32" t="str">
        <x:f>IF(Match_Data!AA618="","",1/Match_Data!AA618)</x:f>
      </x:c>
      <x:c r="O618" s="32" t="str">
        <x:f>IF(OR(M618="",N618=""),"",N618-M618)</x:f>
      </x:c>
      <x:c r="P618" t="str">
        <x:f>IF(Match_Data!J618="","",IF(Match_Data!J618="OVER",1,0))</x:f>
      </x:c>
    </x:row>
    <x:row r="619">
      <x:c r="A619" t="n">
        <x:f>Match_Data!A619</x:f>
        <x:v>0</x:v>
      </x:c>
      <x:c r="B619" s="28" t="n">
        <x:f>Match_Data!B619</x:f>
        <x:v>0</x:v>
      </x:c>
      <x:c r="C619" t="n">
        <x:f>Match_Data!C619</x:f>
        <x:v>0</x:v>
      </x:c>
      <x:c r="D619" t="n">
        <x:f>Match_Data!E619</x:f>
        <x:v>0</x:v>
      </x:c>
      <x:c r="E619" t="n">
        <x:f>Match_Data!F619</x:f>
        <x:v>0</x:v>
      </x:c>
      <x:c r="F619" t="n">
        <x:f>Match_Data!AC619</x:f>
        <x:v>0</x:v>
      </x:c>
      <x:c r="G619" t="str">
        <x:f>IF(OR(Match_Data!K619="",Match_Data!L619=""),"",AVERAGE(Match_Data!K619:L619))</x:f>
      </x:c>
      <x:c r="H619" t="str">
        <x:f>IF(OR(Match_Data!M619="",Match_Data!N619=""),"",AVERAGE(Match_Data!M619:N619))</x:f>
      </x:c>
      <x:c r="I619" t="str">
        <x:f>IF(OR(Match_Data!O619="",Match_Data!Q619=""),"",Match_Data!O619+Match_Data!Q619)</x:f>
      </x:c>
      <x:c r="J619" t="str">
        <x:f>IF(OR(Match_Data!P619="",Match_Data!R619=""),"",Match_Data!P619+Match_Data!R619)</x:f>
      </x:c>
      <x:c r="K619" t="str">
        <x:f>IF(OR(Match_Data!S619="",Match_Data!T619=""),"",Match_Data!S619+Match_Data!T619)</x:f>
      </x:c>
      <x:c r="L619" t="str">
        <x:f>IF(OR(Match_Data!U619="",Match_Data!V619=""),"",Match_Data!U619-Match_Data!V619)</x:f>
      </x:c>
      <x:c r="M619" s="32" t="str">
        <x:f>IF(Match_Data!Y619="","",1/Match_Data!Y619)</x:f>
      </x:c>
      <x:c r="N619" s="32" t="str">
        <x:f>IF(Match_Data!AA619="","",1/Match_Data!AA619)</x:f>
      </x:c>
      <x:c r="O619" s="32" t="str">
        <x:f>IF(OR(M619="",N619=""),"",N619-M619)</x:f>
      </x:c>
      <x:c r="P619" t="str">
        <x:f>IF(Match_Data!J619="","",IF(Match_Data!J619="OVER",1,0))</x:f>
      </x:c>
    </x:row>
    <x:row r="620">
      <x:c r="A620" t="n">
        <x:f>Match_Data!A620</x:f>
        <x:v>0</x:v>
      </x:c>
      <x:c r="B620" s="28" t="n">
        <x:f>Match_Data!B620</x:f>
        <x:v>0</x:v>
      </x:c>
      <x:c r="C620" t="n">
        <x:f>Match_Data!C620</x:f>
        <x:v>0</x:v>
      </x:c>
      <x:c r="D620" t="n">
        <x:f>Match_Data!E620</x:f>
        <x:v>0</x:v>
      </x:c>
      <x:c r="E620" t="n">
        <x:f>Match_Data!F620</x:f>
        <x:v>0</x:v>
      </x:c>
      <x:c r="F620" t="n">
        <x:f>Match_Data!AC620</x:f>
        <x:v>0</x:v>
      </x:c>
      <x:c r="G620" t="str">
        <x:f>IF(OR(Match_Data!K620="",Match_Data!L620=""),"",AVERAGE(Match_Data!K620:L620))</x:f>
      </x:c>
      <x:c r="H620" t="str">
        <x:f>IF(OR(Match_Data!M620="",Match_Data!N620=""),"",AVERAGE(Match_Data!M620:N620))</x:f>
      </x:c>
      <x:c r="I620" t="str">
        <x:f>IF(OR(Match_Data!O620="",Match_Data!Q620=""),"",Match_Data!O620+Match_Data!Q620)</x:f>
      </x:c>
      <x:c r="J620" t="str">
        <x:f>IF(OR(Match_Data!P620="",Match_Data!R620=""),"",Match_Data!P620+Match_Data!R620)</x:f>
      </x:c>
      <x:c r="K620" t="str">
        <x:f>IF(OR(Match_Data!S620="",Match_Data!T620=""),"",Match_Data!S620+Match_Data!T620)</x:f>
      </x:c>
      <x:c r="L620" t="str">
        <x:f>IF(OR(Match_Data!U620="",Match_Data!V620=""),"",Match_Data!U620-Match_Data!V620)</x:f>
      </x:c>
      <x:c r="M620" s="32" t="str">
        <x:f>IF(Match_Data!Y620="","",1/Match_Data!Y620)</x:f>
      </x:c>
      <x:c r="N620" s="32" t="str">
        <x:f>IF(Match_Data!AA620="","",1/Match_Data!AA620)</x:f>
      </x:c>
      <x:c r="O620" s="32" t="str">
        <x:f>IF(OR(M620="",N620=""),"",N620-M620)</x:f>
      </x:c>
      <x:c r="P620" t="str">
        <x:f>IF(Match_Data!J620="","",IF(Match_Data!J620="OVER",1,0))</x:f>
      </x:c>
    </x:row>
    <x:row r="621">
      <x:c r="A621" t="n">
        <x:f>Match_Data!A621</x:f>
        <x:v>0</x:v>
      </x:c>
      <x:c r="B621" s="28" t="n">
        <x:f>Match_Data!B621</x:f>
        <x:v>0</x:v>
      </x:c>
      <x:c r="C621" t="n">
        <x:f>Match_Data!C621</x:f>
        <x:v>0</x:v>
      </x:c>
      <x:c r="D621" t="n">
        <x:f>Match_Data!E621</x:f>
        <x:v>0</x:v>
      </x:c>
      <x:c r="E621" t="n">
        <x:f>Match_Data!F621</x:f>
        <x:v>0</x:v>
      </x:c>
      <x:c r="F621" t="n">
        <x:f>Match_Data!AC621</x:f>
        <x:v>0</x:v>
      </x:c>
      <x:c r="G621" t="str">
        <x:f>IF(OR(Match_Data!K621="",Match_Data!L621=""),"",AVERAGE(Match_Data!K621:L621))</x:f>
      </x:c>
      <x:c r="H621" t="str">
        <x:f>IF(OR(Match_Data!M621="",Match_Data!N621=""),"",AVERAGE(Match_Data!M621:N621))</x:f>
      </x:c>
      <x:c r="I621" t="str">
        <x:f>IF(OR(Match_Data!O621="",Match_Data!Q621=""),"",Match_Data!O621+Match_Data!Q621)</x:f>
      </x:c>
      <x:c r="J621" t="str">
        <x:f>IF(OR(Match_Data!P621="",Match_Data!R621=""),"",Match_Data!P621+Match_Data!R621)</x:f>
      </x:c>
      <x:c r="K621" t="str">
        <x:f>IF(OR(Match_Data!S621="",Match_Data!T621=""),"",Match_Data!S621+Match_Data!T621)</x:f>
      </x:c>
      <x:c r="L621" t="str">
        <x:f>IF(OR(Match_Data!U621="",Match_Data!V621=""),"",Match_Data!U621-Match_Data!V621)</x:f>
      </x:c>
      <x:c r="M621" s="32" t="str">
        <x:f>IF(Match_Data!Y621="","",1/Match_Data!Y621)</x:f>
      </x:c>
      <x:c r="N621" s="32" t="str">
        <x:f>IF(Match_Data!AA621="","",1/Match_Data!AA621)</x:f>
      </x:c>
      <x:c r="O621" s="32" t="str">
        <x:f>IF(OR(M621="",N621=""),"",N621-M621)</x:f>
      </x:c>
      <x:c r="P621" t="str">
        <x:f>IF(Match_Data!J621="","",IF(Match_Data!J621="OVER",1,0))</x:f>
      </x:c>
    </x:row>
    <x:row r="622">
      <x:c r="A622" t="n">
        <x:f>Match_Data!A622</x:f>
        <x:v>0</x:v>
      </x:c>
      <x:c r="B622" s="28" t="n">
        <x:f>Match_Data!B622</x:f>
        <x:v>0</x:v>
      </x:c>
      <x:c r="C622" t="n">
        <x:f>Match_Data!C622</x:f>
        <x:v>0</x:v>
      </x:c>
      <x:c r="D622" t="n">
        <x:f>Match_Data!E622</x:f>
        <x:v>0</x:v>
      </x:c>
      <x:c r="E622" t="n">
        <x:f>Match_Data!F622</x:f>
        <x:v>0</x:v>
      </x:c>
      <x:c r="F622" t="n">
        <x:f>Match_Data!AC622</x:f>
        <x:v>0</x:v>
      </x:c>
      <x:c r="G622" t="str">
        <x:f>IF(OR(Match_Data!K622="",Match_Data!L622=""),"",AVERAGE(Match_Data!K622:L622))</x:f>
      </x:c>
      <x:c r="H622" t="str">
        <x:f>IF(OR(Match_Data!M622="",Match_Data!N622=""),"",AVERAGE(Match_Data!M622:N622))</x:f>
      </x:c>
      <x:c r="I622" t="str">
        <x:f>IF(OR(Match_Data!O622="",Match_Data!Q622=""),"",Match_Data!O622+Match_Data!Q622)</x:f>
      </x:c>
      <x:c r="J622" t="str">
        <x:f>IF(OR(Match_Data!P622="",Match_Data!R622=""),"",Match_Data!P622+Match_Data!R622)</x:f>
      </x:c>
      <x:c r="K622" t="str">
        <x:f>IF(OR(Match_Data!S622="",Match_Data!T622=""),"",Match_Data!S622+Match_Data!T622)</x:f>
      </x:c>
      <x:c r="L622" t="str">
        <x:f>IF(OR(Match_Data!U622="",Match_Data!V622=""),"",Match_Data!U622-Match_Data!V622)</x:f>
      </x:c>
      <x:c r="M622" s="32" t="str">
        <x:f>IF(Match_Data!Y622="","",1/Match_Data!Y622)</x:f>
      </x:c>
      <x:c r="N622" s="32" t="str">
        <x:f>IF(Match_Data!AA622="","",1/Match_Data!AA622)</x:f>
      </x:c>
      <x:c r="O622" s="32" t="str">
        <x:f>IF(OR(M622="",N622=""),"",N622-M622)</x:f>
      </x:c>
      <x:c r="P622" t="str">
        <x:f>IF(Match_Data!J622="","",IF(Match_Data!J622="OVER",1,0))</x:f>
      </x:c>
    </x:row>
    <x:row r="623">
      <x:c r="A623" t="n">
        <x:f>Match_Data!A623</x:f>
        <x:v>0</x:v>
      </x:c>
      <x:c r="B623" s="28" t="n">
        <x:f>Match_Data!B623</x:f>
        <x:v>0</x:v>
      </x:c>
      <x:c r="C623" t="n">
        <x:f>Match_Data!C623</x:f>
        <x:v>0</x:v>
      </x:c>
      <x:c r="D623" t="n">
        <x:f>Match_Data!E623</x:f>
        <x:v>0</x:v>
      </x:c>
      <x:c r="E623" t="n">
        <x:f>Match_Data!F623</x:f>
        <x:v>0</x:v>
      </x:c>
      <x:c r="F623" t="n">
        <x:f>Match_Data!AC623</x:f>
        <x:v>0</x:v>
      </x:c>
      <x:c r="G623" t="str">
        <x:f>IF(OR(Match_Data!K623="",Match_Data!L623=""),"",AVERAGE(Match_Data!K623:L623))</x:f>
      </x:c>
      <x:c r="H623" t="str">
        <x:f>IF(OR(Match_Data!M623="",Match_Data!N623=""),"",AVERAGE(Match_Data!M623:N623))</x:f>
      </x:c>
      <x:c r="I623" t="str">
        <x:f>IF(OR(Match_Data!O623="",Match_Data!Q623=""),"",Match_Data!O623+Match_Data!Q623)</x:f>
      </x:c>
      <x:c r="J623" t="str">
        <x:f>IF(OR(Match_Data!P623="",Match_Data!R623=""),"",Match_Data!P623+Match_Data!R623)</x:f>
      </x:c>
      <x:c r="K623" t="str">
        <x:f>IF(OR(Match_Data!S623="",Match_Data!T623=""),"",Match_Data!S623+Match_Data!T623)</x:f>
      </x:c>
      <x:c r="L623" t="str">
        <x:f>IF(OR(Match_Data!U623="",Match_Data!V623=""),"",Match_Data!U623-Match_Data!V623)</x:f>
      </x:c>
      <x:c r="M623" s="32" t="str">
        <x:f>IF(Match_Data!Y623="","",1/Match_Data!Y623)</x:f>
      </x:c>
      <x:c r="N623" s="32" t="str">
        <x:f>IF(Match_Data!AA623="","",1/Match_Data!AA623)</x:f>
      </x:c>
      <x:c r="O623" s="32" t="str">
        <x:f>IF(OR(M623="",N623=""),"",N623-M623)</x:f>
      </x:c>
      <x:c r="P623" t="str">
        <x:f>IF(Match_Data!J623="","",IF(Match_Data!J623="OVER",1,0))</x:f>
      </x:c>
    </x:row>
    <x:row r="624">
      <x:c r="A624" t="n">
        <x:f>Match_Data!A624</x:f>
        <x:v>0</x:v>
      </x:c>
      <x:c r="B624" s="28" t="n">
        <x:f>Match_Data!B624</x:f>
        <x:v>0</x:v>
      </x:c>
      <x:c r="C624" t="n">
        <x:f>Match_Data!C624</x:f>
        <x:v>0</x:v>
      </x:c>
      <x:c r="D624" t="n">
        <x:f>Match_Data!E624</x:f>
        <x:v>0</x:v>
      </x:c>
      <x:c r="E624" t="n">
        <x:f>Match_Data!F624</x:f>
        <x:v>0</x:v>
      </x:c>
      <x:c r="F624" t="n">
        <x:f>Match_Data!AC624</x:f>
        <x:v>0</x:v>
      </x:c>
      <x:c r="G624" t="str">
        <x:f>IF(OR(Match_Data!K624="",Match_Data!L624=""),"",AVERAGE(Match_Data!K624:L624))</x:f>
      </x:c>
      <x:c r="H624" t="str">
        <x:f>IF(OR(Match_Data!M624="",Match_Data!N624=""),"",AVERAGE(Match_Data!M624:N624))</x:f>
      </x:c>
      <x:c r="I624" t="str">
        <x:f>IF(OR(Match_Data!O624="",Match_Data!Q624=""),"",Match_Data!O624+Match_Data!Q624)</x:f>
      </x:c>
      <x:c r="J624" t="str">
        <x:f>IF(OR(Match_Data!P624="",Match_Data!R624=""),"",Match_Data!P624+Match_Data!R624)</x:f>
      </x:c>
      <x:c r="K624" t="str">
        <x:f>IF(OR(Match_Data!S624="",Match_Data!T624=""),"",Match_Data!S624+Match_Data!T624)</x:f>
      </x:c>
      <x:c r="L624" t="str">
        <x:f>IF(OR(Match_Data!U624="",Match_Data!V624=""),"",Match_Data!U624-Match_Data!V624)</x:f>
      </x:c>
      <x:c r="M624" s="32" t="str">
        <x:f>IF(Match_Data!Y624="","",1/Match_Data!Y624)</x:f>
      </x:c>
      <x:c r="N624" s="32" t="str">
        <x:f>IF(Match_Data!AA624="","",1/Match_Data!AA624)</x:f>
      </x:c>
      <x:c r="O624" s="32" t="str">
        <x:f>IF(OR(M624="",N624=""),"",N624-M624)</x:f>
      </x:c>
      <x:c r="P624" t="str">
        <x:f>IF(Match_Data!J624="","",IF(Match_Data!J624="OVER",1,0))</x:f>
      </x:c>
    </x:row>
    <x:row r="625">
      <x:c r="A625" t="n">
        <x:f>Match_Data!A625</x:f>
        <x:v>0</x:v>
      </x:c>
      <x:c r="B625" s="28" t="n">
        <x:f>Match_Data!B625</x:f>
        <x:v>0</x:v>
      </x:c>
      <x:c r="C625" t="n">
        <x:f>Match_Data!C625</x:f>
        <x:v>0</x:v>
      </x:c>
      <x:c r="D625" t="n">
        <x:f>Match_Data!E625</x:f>
        <x:v>0</x:v>
      </x:c>
      <x:c r="E625" t="n">
        <x:f>Match_Data!F625</x:f>
        <x:v>0</x:v>
      </x:c>
      <x:c r="F625" t="n">
        <x:f>Match_Data!AC625</x:f>
        <x:v>0</x:v>
      </x:c>
      <x:c r="G625" t="str">
        <x:f>IF(OR(Match_Data!K625="",Match_Data!L625=""),"",AVERAGE(Match_Data!K625:L625))</x:f>
      </x:c>
      <x:c r="H625" t="str">
        <x:f>IF(OR(Match_Data!M625="",Match_Data!N625=""),"",AVERAGE(Match_Data!M625:N625))</x:f>
      </x:c>
      <x:c r="I625" t="str">
        <x:f>IF(OR(Match_Data!O625="",Match_Data!Q625=""),"",Match_Data!O625+Match_Data!Q625)</x:f>
      </x:c>
      <x:c r="J625" t="str">
        <x:f>IF(OR(Match_Data!P625="",Match_Data!R625=""),"",Match_Data!P625+Match_Data!R625)</x:f>
      </x:c>
      <x:c r="K625" t="str">
        <x:f>IF(OR(Match_Data!S625="",Match_Data!T625=""),"",Match_Data!S625+Match_Data!T625)</x:f>
      </x:c>
      <x:c r="L625" t="str">
        <x:f>IF(OR(Match_Data!U625="",Match_Data!V625=""),"",Match_Data!U625-Match_Data!V625)</x:f>
      </x:c>
      <x:c r="M625" s="32" t="str">
        <x:f>IF(Match_Data!Y625="","",1/Match_Data!Y625)</x:f>
      </x:c>
      <x:c r="N625" s="32" t="str">
        <x:f>IF(Match_Data!AA625="","",1/Match_Data!AA625)</x:f>
      </x:c>
      <x:c r="O625" s="32" t="str">
        <x:f>IF(OR(M625="",N625=""),"",N625-M625)</x:f>
      </x:c>
      <x:c r="P625" t="str">
        <x:f>IF(Match_Data!J625="","",IF(Match_Data!J625="OVER",1,0))</x:f>
      </x:c>
    </x:row>
    <x:row r="626">
      <x:c r="A626" t="n">
        <x:f>Match_Data!A626</x:f>
        <x:v>0</x:v>
      </x:c>
      <x:c r="B626" s="28" t="n">
        <x:f>Match_Data!B626</x:f>
        <x:v>0</x:v>
      </x:c>
      <x:c r="C626" t="n">
        <x:f>Match_Data!C626</x:f>
        <x:v>0</x:v>
      </x:c>
      <x:c r="D626" t="n">
        <x:f>Match_Data!E626</x:f>
        <x:v>0</x:v>
      </x:c>
      <x:c r="E626" t="n">
        <x:f>Match_Data!F626</x:f>
        <x:v>0</x:v>
      </x:c>
      <x:c r="F626" t="n">
        <x:f>Match_Data!AC626</x:f>
        <x:v>0</x:v>
      </x:c>
      <x:c r="G626" t="str">
        <x:f>IF(OR(Match_Data!K626="",Match_Data!L626=""),"",AVERAGE(Match_Data!K626:L626))</x:f>
      </x:c>
      <x:c r="H626" t="str">
        <x:f>IF(OR(Match_Data!M626="",Match_Data!N626=""),"",AVERAGE(Match_Data!M626:N626))</x:f>
      </x:c>
      <x:c r="I626" t="str">
        <x:f>IF(OR(Match_Data!O626="",Match_Data!Q626=""),"",Match_Data!O626+Match_Data!Q626)</x:f>
      </x:c>
      <x:c r="J626" t="str">
        <x:f>IF(OR(Match_Data!P626="",Match_Data!R626=""),"",Match_Data!P626+Match_Data!R626)</x:f>
      </x:c>
      <x:c r="K626" t="str">
        <x:f>IF(OR(Match_Data!S626="",Match_Data!T626=""),"",Match_Data!S626+Match_Data!T626)</x:f>
      </x:c>
      <x:c r="L626" t="str">
        <x:f>IF(OR(Match_Data!U626="",Match_Data!V626=""),"",Match_Data!U626-Match_Data!V626)</x:f>
      </x:c>
      <x:c r="M626" s="32" t="str">
        <x:f>IF(Match_Data!Y626="","",1/Match_Data!Y626)</x:f>
      </x:c>
      <x:c r="N626" s="32" t="str">
        <x:f>IF(Match_Data!AA626="","",1/Match_Data!AA626)</x:f>
      </x:c>
      <x:c r="O626" s="32" t="str">
        <x:f>IF(OR(M626="",N626=""),"",N626-M626)</x:f>
      </x:c>
      <x:c r="P626" t="str">
        <x:f>IF(Match_Data!J626="","",IF(Match_Data!J626="OVER",1,0))</x:f>
      </x:c>
    </x:row>
    <x:row r="627">
      <x:c r="A627" t="n">
        <x:f>Match_Data!A627</x:f>
        <x:v>0</x:v>
      </x:c>
      <x:c r="B627" s="28" t="n">
        <x:f>Match_Data!B627</x:f>
        <x:v>0</x:v>
      </x:c>
      <x:c r="C627" t="n">
        <x:f>Match_Data!C627</x:f>
        <x:v>0</x:v>
      </x:c>
      <x:c r="D627" t="n">
        <x:f>Match_Data!E627</x:f>
        <x:v>0</x:v>
      </x:c>
      <x:c r="E627" t="n">
        <x:f>Match_Data!F627</x:f>
        <x:v>0</x:v>
      </x:c>
      <x:c r="F627" t="n">
        <x:f>Match_Data!AC627</x:f>
        <x:v>0</x:v>
      </x:c>
      <x:c r="G627" t="str">
        <x:f>IF(OR(Match_Data!K627="",Match_Data!L627=""),"",AVERAGE(Match_Data!K627:L627))</x:f>
      </x:c>
      <x:c r="H627" t="str">
        <x:f>IF(OR(Match_Data!M627="",Match_Data!N627=""),"",AVERAGE(Match_Data!M627:N627))</x:f>
      </x:c>
      <x:c r="I627" t="str">
        <x:f>IF(OR(Match_Data!O627="",Match_Data!Q627=""),"",Match_Data!O627+Match_Data!Q627)</x:f>
      </x:c>
      <x:c r="J627" t="str">
        <x:f>IF(OR(Match_Data!P627="",Match_Data!R627=""),"",Match_Data!P627+Match_Data!R627)</x:f>
      </x:c>
      <x:c r="K627" t="str">
        <x:f>IF(OR(Match_Data!S627="",Match_Data!T627=""),"",Match_Data!S627+Match_Data!T627)</x:f>
      </x:c>
      <x:c r="L627" t="str">
        <x:f>IF(OR(Match_Data!U627="",Match_Data!V627=""),"",Match_Data!U627-Match_Data!V627)</x:f>
      </x:c>
      <x:c r="M627" s="32" t="str">
        <x:f>IF(Match_Data!Y627="","",1/Match_Data!Y627)</x:f>
      </x:c>
      <x:c r="N627" s="32" t="str">
        <x:f>IF(Match_Data!AA627="","",1/Match_Data!AA627)</x:f>
      </x:c>
      <x:c r="O627" s="32" t="str">
        <x:f>IF(OR(M627="",N627=""),"",N627-M627)</x:f>
      </x:c>
      <x:c r="P627" t="str">
        <x:f>IF(Match_Data!J627="","",IF(Match_Data!J627="OVER",1,0))</x:f>
      </x:c>
    </x:row>
    <x:row r="628">
      <x:c r="A628" t="n">
        <x:f>Match_Data!A628</x:f>
        <x:v>0</x:v>
      </x:c>
      <x:c r="B628" s="28" t="n">
        <x:f>Match_Data!B628</x:f>
        <x:v>0</x:v>
      </x:c>
      <x:c r="C628" t="n">
        <x:f>Match_Data!C628</x:f>
        <x:v>0</x:v>
      </x:c>
      <x:c r="D628" t="n">
        <x:f>Match_Data!E628</x:f>
        <x:v>0</x:v>
      </x:c>
      <x:c r="E628" t="n">
        <x:f>Match_Data!F628</x:f>
        <x:v>0</x:v>
      </x:c>
      <x:c r="F628" t="n">
        <x:f>Match_Data!AC628</x:f>
        <x:v>0</x:v>
      </x:c>
      <x:c r="G628" t="str">
        <x:f>IF(OR(Match_Data!K628="",Match_Data!L628=""),"",AVERAGE(Match_Data!K628:L628))</x:f>
      </x:c>
      <x:c r="H628" t="str">
        <x:f>IF(OR(Match_Data!M628="",Match_Data!N628=""),"",AVERAGE(Match_Data!M628:N628))</x:f>
      </x:c>
      <x:c r="I628" t="str">
        <x:f>IF(OR(Match_Data!O628="",Match_Data!Q628=""),"",Match_Data!O628+Match_Data!Q628)</x:f>
      </x:c>
      <x:c r="J628" t="str">
        <x:f>IF(OR(Match_Data!P628="",Match_Data!R628=""),"",Match_Data!P628+Match_Data!R628)</x:f>
      </x:c>
      <x:c r="K628" t="str">
        <x:f>IF(OR(Match_Data!S628="",Match_Data!T628=""),"",Match_Data!S628+Match_Data!T628)</x:f>
      </x:c>
      <x:c r="L628" t="str">
        <x:f>IF(OR(Match_Data!U628="",Match_Data!V628=""),"",Match_Data!U628-Match_Data!V628)</x:f>
      </x:c>
      <x:c r="M628" s="32" t="str">
        <x:f>IF(Match_Data!Y628="","",1/Match_Data!Y628)</x:f>
      </x:c>
      <x:c r="N628" s="32" t="str">
        <x:f>IF(Match_Data!AA628="","",1/Match_Data!AA628)</x:f>
      </x:c>
      <x:c r="O628" s="32" t="str">
        <x:f>IF(OR(M628="",N628=""),"",N628-M628)</x:f>
      </x:c>
      <x:c r="P628" t="str">
        <x:f>IF(Match_Data!J628="","",IF(Match_Data!J628="OVER",1,0))</x:f>
      </x:c>
    </x:row>
    <x:row r="629">
      <x:c r="A629" t="n">
        <x:f>Match_Data!A629</x:f>
        <x:v>0</x:v>
      </x:c>
      <x:c r="B629" s="28" t="n">
        <x:f>Match_Data!B629</x:f>
        <x:v>0</x:v>
      </x:c>
      <x:c r="C629" t="n">
        <x:f>Match_Data!C629</x:f>
        <x:v>0</x:v>
      </x:c>
      <x:c r="D629" t="n">
        <x:f>Match_Data!E629</x:f>
        <x:v>0</x:v>
      </x:c>
      <x:c r="E629" t="n">
        <x:f>Match_Data!F629</x:f>
        <x:v>0</x:v>
      </x:c>
      <x:c r="F629" t="n">
        <x:f>Match_Data!AC629</x:f>
        <x:v>0</x:v>
      </x:c>
      <x:c r="G629" t="str">
        <x:f>IF(OR(Match_Data!K629="",Match_Data!L629=""),"",AVERAGE(Match_Data!K629:L629))</x:f>
      </x:c>
      <x:c r="H629" t="str">
        <x:f>IF(OR(Match_Data!M629="",Match_Data!N629=""),"",AVERAGE(Match_Data!M629:N629))</x:f>
      </x:c>
      <x:c r="I629" t="str">
        <x:f>IF(OR(Match_Data!O629="",Match_Data!Q629=""),"",Match_Data!O629+Match_Data!Q629)</x:f>
      </x:c>
      <x:c r="J629" t="str">
        <x:f>IF(OR(Match_Data!P629="",Match_Data!R629=""),"",Match_Data!P629+Match_Data!R629)</x:f>
      </x:c>
      <x:c r="K629" t="str">
        <x:f>IF(OR(Match_Data!S629="",Match_Data!T629=""),"",Match_Data!S629+Match_Data!T629)</x:f>
      </x:c>
      <x:c r="L629" t="str">
        <x:f>IF(OR(Match_Data!U629="",Match_Data!V629=""),"",Match_Data!U629-Match_Data!V629)</x:f>
      </x:c>
      <x:c r="M629" s="32" t="str">
        <x:f>IF(Match_Data!Y629="","",1/Match_Data!Y629)</x:f>
      </x:c>
      <x:c r="N629" s="32" t="str">
        <x:f>IF(Match_Data!AA629="","",1/Match_Data!AA629)</x:f>
      </x:c>
      <x:c r="O629" s="32" t="str">
        <x:f>IF(OR(M629="",N629=""),"",N629-M629)</x:f>
      </x:c>
      <x:c r="P629" t="str">
        <x:f>IF(Match_Data!J629="","",IF(Match_Data!J629="OVER",1,0))</x:f>
      </x:c>
    </x:row>
    <x:row r="630">
      <x:c r="A630" t="n">
        <x:f>Match_Data!A630</x:f>
        <x:v>0</x:v>
      </x:c>
      <x:c r="B630" s="28" t="n">
        <x:f>Match_Data!B630</x:f>
        <x:v>0</x:v>
      </x:c>
      <x:c r="C630" t="n">
        <x:f>Match_Data!C630</x:f>
        <x:v>0</x:v>
      </x:c>
      <x:c r="D630" t="n">
        <x:f>Match_Data!E630</x:f>
        <x:v>0</x:v>
      </x:c>
      <x:c r="E630" t="n">
        <x:f>Match_Data!F630</x:f>
        <x:v>0</x:v>
      </x:c>
      <x:c r="F630" t="n">
        <x:f>Match_Data!AC630</x:f>
        <x:v>0</x:v>
      </x:c>
      <x:c r="G630" t="str">
        <x:f>IF(OR(Match_Data!K630="",Match_Data!L630=""),"",AVERAGE(Match_Data!K630:L630))</x:f>
      </x:c>
      <x:c r="H630" t="str">
        <x:f>IF(OR(Match_Data!M630="",Match_Data!N630=""),"",AVERAGE(Match_Data!M630:N630))</x:f>
      </x:c>
      <x:c r="I630" t="str">
        <x:f>IF(OR(Match_Data!O630="",Match_Data!Q630=""),"",Match_Data!O630+Match_Data!Q630)</x:f>
      </x:c>
      <x:c r="J630" t="str">
        <x:f>IF(OR(Match_Data!P630="",Match_Data!R630=""),"",Match_Data!P630+Match_Data!R630)</x:f>
      </x:c>
      <x:c r="K630" t="str">
        <x:f>IF(OR(Match_Data!S630="",Match_Data!T630=""),"",Match_Data!S630+Match_Data!T630)</x:f>
      </x:c>
      <x:c r="L630" t="str">
        <x:f>IF(OR(Match_Data!U630="",Match_Data!V630=""),"",Match_Data!U630-Match_Data!V630)</x:f>
      </x:c>
      <x:c r="M630" s="32" t="str">
        <x:f>IF(Match_Data!Y630="","",1/Match_Data!Y630)</x:f>
      </x:c>
      <x:c r="N630" s="32" t="str">
        <x:f>IF(Match_Data!AA630="","",1/Match_Data!AA630)</x:f>
      </x:c>
      <x:c r="O630" s="32" t="str">
        <x:f>IF(OR(M630="",N630=""),"",N630-M630)</x:f>
      </x:c>
      <x:c r="P630" t="str">
        <x:f>IF(Match_Data!J630="","",IF(Match_Data!J630="OVER",1,0))</x:f>
      </x:c>
    </x:row>
    <x:row r="631">
      <x:c r="A631" t="n">
        <x:f>Match_Data!A631</x:f>
        <x:v>0</x:v>
      </x:c>
      <x:c r="B631" s="28" t="n">
        <x:f>Match_Data!B631</x:f>
        <x:v>0</x:v>
      </x:c>
      <x:c r="C631" t="n">
        <x:f>Match_Data!C631</x:f>
        <x:v>0</x:v>
      </x:c>
      <x:c r="D631" t="n">
        <x:f>Match_Data!E631</x:f>
        <x:v>0</x:v>
      </x:c>
      <x:c r="E631" t="n">
        <x:f>Match_Data!F631</x:f>
        <x:v>0</x:v>
      </x:c>
      <x:c r="F631" t="n">
        <x:f>Match_Data!AC631</x:f>
        <x:v>0</x:v>
      </x:c>
      <x:c r="G631" t="str">
        <x:f>IF(OR(Match_Data!K631="",Match_Data!L631=""),"",AVERAGE(Match_Data!K631:L631))</x:f>
      </x:c>
      <x:c r="H631" t="str">
        <x:f>IF(OR(Match_Data!M631="",Match_Data!N631=""),"",AVERAGE(Match_Data!M631:N631))</x:f>
      </x:c>
      <x:c r="I631" t="str">
        <x:f>IF(OR(Match_Data!O631="",Match_Data!Q631=""),"",Match_Data!O631+Match_Data!Q631)</x:f>
      </x:c>
      <x:c r="J631" t="str">
        <x:f>IF(OR(Match_Data!P631="",Match_Data!R631=""),"",Match_Data!P631+Match_Data!R631)</x:f>
      </x:c>
      <x:c r="K631" t="str">
        <x:f>IF(OR(Match_Data!S631="",Match_Data!T631=""),"",Match_Data!S631+Match_Data!T631)</x:f>
      </x:c>
      <x:c r="L631" t="str">
        <x:f>IF(OR(Match_Data!U631="",Match_Data!V631=""),"",Match_Data!U631-Match_Data!V631)</x:f>
      </x:c>
      <x:c r="M631" s="32" t="str">
        <x:f>IF(Match_Data!Y631="","",1/Match_Data!Y631)</x:f>
      </x:c>
      <x:c r="N631" s="32" t="str">
        <x:f>IF(Match_Data!AA631="","",1/Match_Data!AA631)</x:f>
      </x:c>
      <x:c r="O631" s="32" t="str">
        <x:f>IF(OR(M631="",N631=""),"",N631-M631)</x:f>
      </x:c>
      <x:c r="P631" t="str">
        <x:f>IF(Match_Data!J631="","",IF(Match_Data!J631="OVER",1,0))</x:f>
      </x:c>
    </x:row>
    <x:row r="632">
      <x:c r="A632" t="n">
        <x:f>Match_Data!A632</x:f>
        <x:v>0</x:v>
      </x:c>
      <x:c r="B632" s="28" t="n">
        <x:f>Match_Data!B632</x:f>
        <x:v>0</x:v>
      </x:c>
      <x:c r="C632" t="n">
        <x:f>Match_Data!C632</x:f>
        <x:v>0</x:v>
      </x:c>
      <x:c r="D632" t="n">
        <x:f>Match_Data!E632</x:f>
        <x:v>0</x:v>
      </x:c>
      <x:c r="E632" t="n">
        <x:f>Match_Data!F632</x:f>
        <x:v>0</x:v>
      </x:c>
      <x:c r="F632" t="n">
        <x:f>Match_Data!AC632</x:f>
        <x:v>0</x:v>
      </x:c>
      <x:c r="G632" t="str">
        <x:f>IF(OR(Match_Data!K632="",Match_Data!L632=""),"",AVERAGE(Match_Data!K632:L632))</x:f>
      </x:c>
      <x:c r="H632" t="str">
        <x:f>IF(OR(Match_Data!M632="",Match_Data!N632=""),"",AVERAGE(Match_Data!M632:N632))</x:f>
      </x:c>
      <x:c r="I632" t="str">
        <x:f>IF(OR(Match_Data!O632="",Match_Data!Q632=""),"",Match_Data!O632+Match_Data!Q632)</x:f>
      </x:c>
      <x:c r="J632" t="str">
        <x:f>IF(OR(Match_Data!P632="",Match_Data!R632=""),"",Match_Data!P632+Match_Data!R632)</x:f>
      </x:c>
      <x:c r="K632" t="str">
        <x:f>IF(OR(Match_Data!S632="",Match_Data!T632=""),"",Match_Data!S632+Match_Data!T632)</x:f>
      </x:c>
      <x:c r="L632" t="str">
        <x:f>IF(OR(Match_Data!U632="",Match_Data!V632=""),"",Match_Data!U632-Match_Data!V632)</x:f>
      </x:c>
      <x:c r="M632" s="32" t="str">
        <x:f>IF(Match_Data!Y632="","",1/Match_Data!Y632)</x:f>
      </x:c>
      <x:c r="N632" s="32" t="str">
        <x:f>IF(Match_Data!AA632="","",1/Match_Data!AA632)</x:f>
      </x:c>
      <x:c r="O632" s="32" t="str">
        <x:f>IF(OR(M632="",N632=""),"",N632-M632)</x:f>
      </x:c>
      <x:c r="P632" t="str">
        <x:f>IF(Match_Data!J632="","",IF(Match_Data!J632="OVER",1,0))</x:f>
      </x:c>
    </x:row>
    <x:row r="633">
      <x:c r="A633" t="n">
        <x:f>Match_Data!A633</x:f>
        <x:v>0</x:v>
      </x:c>
      <x:c r="B633" s="28" t="n">
        <x:f>Match_Data!B633</x:f>
        <x:v>0</x:v>
      </x:c>
      <x:c r="C633" t="n">
        <x:f>Match_Data!C633</x:f>
        <x:v>0</x:v>
      </x:c>
      <x:c r="D633" t="n">
        <x:f>Match_Data!E633</x:f>
        <x:v>0</x:v>
      </x:c>
      <x:c r="E633" t="n">
        <x:f>Match_Data!F633</x:f>
        <x:v>0</x:v>
      </x:c>
      <x:c r="F633" t="n">
        <x:f>Match_Data!AC633</x:f>
        <x:v>0</x:v>
      </x:c>
      <x:c r="G633" t="str">
        <x:f>IF(OR(Match_Data!K633="",Match_Data!L633=""),"",AVERAGE(Match_Data!K633:L633))</x:f>
      </x:c>
      <x:c r="H633" t="str">
        <x:f>IF(OR(Match_Data!M633="",Match_Data!N633=""),"",AVERAGE(Match_Data!M633:N633))</x:f>
      </x:c>
      <x:c r="I633" t="str">
        <x:f>IF(OR(Match_Data!O633="",Match_Data!Q633=""),"",Match_Data!O633+Match_Data!Q633)</x:f>
      </x:c>
      <x:c r="J633" t="str">
        <x:f>IF(OR(Match_Data!P633="",Match_Data!R633=""),"",Match_Data!P633+Match_Data!R633)</x:f>
      </x:c>
      <x:c r="K633" t="str">
        <x:f>IF(OR(Match_Data!S633="",Match_Data!T633=""),"",Match_Data!S633+Match_Data!T633)</x:f>
      </x:c>
      <x:c r="L633" t="str">
        <x:f>IF(OR(Match_Data!U633="",Match_Data!V633=""),"",Match_Data!U633-Match_Data!V633)</x:f>
      </x:c>
      <x:c r="M633" s="32" t="str">
        <x:f>IF(Match_Data!Y633="","",1/Match_Data!Y633)</x:f>
      </x:c>
      <x:c r="N633" s="32" t="str">
        <x:f>IF(Match_Data!AA633="","",1/Match_Data!AA633)</x:f>
      </x:c>
      <x:c r="O633" s="32" t="str">
        <x:f>IF(OR(M633="",N633=""),"",N633-M633)</x:f>
      </x:c>
      <x:c r="P633" t="str">
        <x:f>IF(Match_Data!J633="","",IF(Match_Data!J633="OVER",1,0))</x:f>
      </x:c>
    </x:row>
    <x:row r="634">
      <x:c r="A634" t="n">
        <x:f>Match_Data!A634</x:f>
        <x:v>0</x:v>
      </x:c>
      <x:c r="B634" s="28" t="n">
        <x:f>Match_Data!B634</x:f>
        <x:v>0</x:v>
      </x:c>
      <x:c r="C634" t="n">
        <x:f>Match_Data!C634</x:f>
        <x:v>0</x:v>
      </x:c>
      <x:c r="D634" t="n">
        <x:f>Match_Data!E634</x:f>
        <x:v>0</x:v>
      </x:c>
      <x:c r="E634" t="n">
        <x:f>Match_Data!F634</x:f>
        <x:v>0</x:v>
      </x:c>
      <x:c r="F634" t="n">
        <x:f>Match_Data!AC634</x:f>
        <x:v>0</x:v>
      </x:c>
      <x:c r="G634" t="str">
        <x:f>IF(OR(Match_Data!K634="",Match_Data!L634=""),"",AVERAGE(Match_Data!K634:L634))</x:f>
      </x:c>
      <x:c r="H634" t="str">
        <x:f>IF(OR(Match_Data!M634="",Match_Data!N634=""),"",AVERAGE(Match_Data!M634:N634))</x:f>
      </x:c>
      <x:c r="I634" t="str">
        <x:f>IF(OR(Match_Data!O634="",Match_Data!Q634=""),"",Match_Data!O634+Match_Data!Q634)</x:f>
      </x:c>
      <x:c r="J634" t="str">
        <x:f>IF(OR(Match_Data!P634="",Match_Data!R634=""),"",Match_Data!P634+Match_Data!R634)</x:f>
      </x:c>
      <x:c r="K634" t="str">
        <x:f>IF(OR(Match_Data!S634="",Match_Data!T634=""),"",Match_Data!S634+Match_Data!T634)</x:f>
      </x:c>
      <x:c r="L634" t="str">
        <x:f>IF(OR(Match_Data!U634="",Match_Data!V634=""),"",Match_Data!U634-Match_Data!V634)</x:f>
      </x:c>
      <x:c r="M634" s="32" t="str">
        <x:f>IF(Match_Data!Y634="","",1/Match_Data!Y634)</x:f>
      </x:c>
      <x:c r="N634" s="32" t="str">
        <x:f>IF(Match_Data!AA634="","",1/Match_Data!AA634)</x:f>
      </x:c>
      <x:c r="O634" s="32" t="str">
        <x:f>IF(OR(M634="",N634=""),"",N634-M634)</x:f>
      </x:c>
      <x:c r="P634" t="str">
        <x:f>IF(Match_Data!J634="","",IF(Match_Data!J634="OVER",1,0))</x:f>
      </x:c>
    </x:row>
    <x:row r="635">
      <x:c r="A635" t="n">
        <x:f>Match_Data!A635</x:f>
        <x:v>0</x:v>
      </x:c>
      <x:c r="B635" s="28" t="n">
        <x:f>Match_Data!B635</x:f>
        <x:v>0</x:v>
      </x:c>
      <x:c r="C635" t="n">
        <x:f>Match_Data!C635</x:f>
        <x:v>0</x:v>
      </x:c>
      <x:c r="D635" t="n">
        <x:f>Match_Data!E635</x:f>
        <x:v>0</x:v>
      </x:c>
      <x:c r="E635" t="n">
        <x:f>Match_Data!F635</x:f>
        <x:v>0</x:v>
      </x:c>
      <x:c r="F635" t="n">
        <x:f>Match_Data!AC635</x:f>
        <x:v>0</x:v>
      </x:c>
      <x:c r="G635" t="str">
        <x:f>IF(OR(Match_Data!K635="",Match_Data!L635=""),"",AVERAGE(Match_Data!K635:L635))</x:f>
      </x:c>
      <x:c r="H635" t="str">
        <x:f>IF(OR(Match_Data!M635="",Match_Data!N635=""),"",AVERAGE(Match_Data!M635:N635))</x:f>
      </x:c>
      <x:c r="I635" t="str">
        <x:f>IF(OR(Match_Data!O635="",Match_Data!Q635=""),"",Match_Data!O635+Match_Data!Q635)</x:f>
      </x:c>
      <x:c r="J635" t="str">
        <x:f>IF(OR(Match_Data!P635="",Match_Data!R635=""),"",Match_Data!P635+Match_Data!R635)</x:f>
      </x:c>
      <x:c r="K635" t="str">
        <x:f>IF(OR(Match_Data!S635="",Match_Data!T635=""),"",Match_Data!S635+Match_Data!T635)</x:f>
      </x:c>
      <x:c r="L635" t="str">
        <x:f>IF(OR(Match_Data!U635="",Match_Data!V635=""),"",Match_Data!U635-Match_Data!V635)</x:f>
      </x:c>
      <x:c r="M635" s="32" t="str">
        <x:f>IF(Match_Data!Y635="","",1/Match_Data!Y635)</x:f>
      </x:c>
      <x:c r="N635" s="32" t="str">
        <x:f>IF(Match_Data!AA635="","",1/Match_Data!AA635)</x:f>
      </x:c>
      <x:c r="O635" s="32" t="str">
        <x:f>IF(OR(M635="",N635=""),"",N635-M635)</x:f>
      </x:c>
      <x:c r="P635" t="str">
        <x:f>IF(Match_Data!J635="","",IF(Match_Data!J635="OVER",1,0))</x:f>
      </x:c>
    </x:row>
    <x:row r="636">
      <x:c r="A636" t="n">
        <x:f>Match_Data!A636</x:f>
        <x:v>0</x:v>
      </x:c>
      <x:c r="B636" s="28" t="n">
        <x:f>Match_Data!B636</x:f>
        <x:v>0</x:v>
      </x:c>
      <x:c r="C636" t="n">
        <x:f>Match_Data!C636</x:f>
        <x:v>0</x:v>
      </x:c>
      <x:c r="D636" t="n">
        <x:f>Match_Data!E636</x:f>
        <x:v>0</x:v>
      </x:c>
      <x:c r="E636" t="n">
        <x:f>Match_Data!F636</x:f>
        <x:v>0</x:v>
      </x:c>
      <x:c r="F636" t="n">
        <x:f>Match_Data!AC636</x:f>
        <x:v>0</x:v>
      </x:c>
      <x:c r="G636" t="str">
        <x:f>IF(OR(Match_Data!K636="",Match_Data!L636=""),"",AVERAGE(Match_Data!K636:L636))</x:f>
      </x:c>
      <x:c r="H636" t="str">
        <x:f>IF(OR(Match_Data!M636="",Match_Data!N636=""),"",AVERAGE(Match_Data!M636:N636))</x:f>
      </x:c>
      <x:c r="I636" t="str">
        <x:f>IF(OR(Match_Data!O636="",Match_Data!Q636=""),"",Match_Data!O636+Match_Data!Q636)</x:f>
      </x:c>
      <x:c r="J636" t="str">
        <x:f>IF(OR(Match_Data!P636="",Match_Data!R636=""),"",Match_Data!P636+Match_Data!R636)</x:f>
      </x:c>
      <x:c r="K636" t="str">
        <x:f>IF(OR(Match_Data!S636="",Match_Data!T636=""),"",Match_Data!S636+Match_Data!T636)</x:f>
      </x:c>
      <x:c r="L636" t="str">
        <x:f>IF(OR(Match_Data!U636="",Match_Data!V636=""),"",Match_Data!U636-Match_Data!V636)</x:f>
      </x:c>
      <x:c r="M636" s="32" t="str">
        <x:f>IF(Match_Data!Y636="","",1/Match_Data!Y636)</x:f>
      </x:c>
      <x:c r="N636" s="32" t="str">
        <x:f>IF(Match_Data!AA636="","",1/Match_Data!AA636)</x:f>
      </x:c>
      <x:c r="O636" s="32" t="str">
        <x:f>IF(OR(M636="",N636=""),"",N636-M636)</x:f>
      </x:c>
      <x:c r="P636" t="str">
        <x:f>IF(Match_Data!J636="","",IF(Match_Data!J636="OVER",1,0))</x:f>
      </x:c>
    </x:row>
    <x:row r="637">
      <x:c r="A637" t="n">
        <x:f>Match_Data!A637</x:f>
        <x:v>0</x:v>
      </x:c>
      <x:c r="B637" s="28" t="n">
        <x:f>Match_Data!B637</x:f>
        <x:v>0</x:v>
      </x:c>
      <x:c r="C637" t="n">
        <x:f>Match_Data!C637</x:f>
        <x:v>0</x:v>
      </x:c>
      <x:c r="D637" t="n">
        <x:f>Match_Data!E637</x:f>
        <x:v>0</x:v>
      </x:c>
      <x:c r="E637" t="n">
        <x:f>Match_Data!F637</x:f>
        <x:v>0</x:v>
      </x:c>
      <x:c r="F637" t="n">
        <x:f>Match_Data!AC637</x:f>
        <x:v>0</x:v>
      </x:c>
      <x:c r="G637" t="str">
        <x:f>IF(OR(Match_Data!K637="",Match_Data!L637=""),"",AVERAGE(Match_Data!K637:L637))</x:f>
      </x:c>
      <x:c r="H637" t="str">
        <x:f>IF(OR(Match_Data!M637="",Match_Data!N637=""),"",AVERAGE(Match_Data!M637:N637))</x:f>
      </x:c>
      <x:c r="I637" t="str">
        <x:f>IF(OR(Match_Data!O637="",Match_Data!Q637=""),"",Match_Data!O637+Match_Data!Q637)</x:f>
      </x:c>
      <x:c r="J637" t="str">
        <x:f>IF(OR(Match_Data!P637="",Match_Data!R637=""),"",Match_Data!P637+Match_Data!R637)</x:f>
      </x:c>
      <x:c r="K637" t="str">
        <x:f>IF(OR(Match_Data!S637="",Match_Data!T637=""),"",Match_Data!S637+Match_Data!T637)</x:f>
      </x:c>
      <x:c r="L637" t="str">
        <x:f>IF(OR(Match_Data!U637="",Match_Data!V637=""),"",Match_Data!U637-Match_Data!V637)</x:f>
      </x:c>
      <x:c r="M637" s="32" t="str">
        <x:f>IF(Match_Data!Y637="","",1/Match_Data!Y637)</x:f>
      </x:c>
      <x:c r="N637" s="32" t="str">
        <x:f>IF(Match_Data!AA637="","",1/Match_Data!AA637)</x:f>
      </x:c>
      <x:c r="O637" s="32" t="str">
        <x:f>IF(OR(M637="",N637=""),"",N637-M637)</x:f>
      </x:c>
      <x:c r="P637" t="str">
        <x:f>IF(Match_Data!J637="","",IF(Match_Data!J637="OVER",1,0))</x:f>
      </x:c>
    </x:row>
    <x:row r="638">
      <x:c r="A638" t="n">
        <x:f>Match_Data!A638</x:f>
        <x:v>0</x:v>
      </x:c>
      <x:c r="B638" s="28" t="n">
        <x:f>Match_Data!B638</x:f>
        <x:v>0</x:v>
      </x:c>
      <x:c r="C638" t="n">
        <x:f>Match_Data!C638</x:f>
        <x:v>0</x:v>
      </x:c>
      <x:c r="D638" t="n">
        <x:f>Match_Data!E638</x:f>
        <x:v>0</x:v>
      </x:c>
      <x:c r="E638" t="n">
        <x:f>Match_Data!F638</x:f>
        <x:v>0</x:v>
      </x:c>
      <x:c r="F638" t="n">
        <x:f>Match_Data!AC638</x:f>
        <x:v>0</x:v>
      </x:c>
      <x:c r="G638" t="str">
        <x:f>IF(OR(Match_Data!K638="",Match_Data!L638=""),"",AVERAGE(Match_Data!K638:L638))</x:f>
      </x:c>
      <x:c r="H638" t="str">
        <x:f>IF(OR(Match_Data!M638="",Match_Data!N638=""),"",AVERAGE(Match_Data!M638:N638))</x:f>
      </x:c>
      <x:c r="I638" t="str">
        <x:f>IF(OR(Match_Data!O638="",Match_Data!Q638=""),"",Match_Data!O638+Match_Data!Q638)</x:f>
      </x:c>
      <x:c r="J638" t="str">
        <x:f>IF(OR(Match_Data!P638="",Match_Data!R638=""),"",Match_Data!P638+Match_Data!R638)</x:f>
      </x:c>
      <x:c r="K638" t="str">
        <x:f>IF(OR(Match_Data!S638="",Match_Data!T638=""),"",Match_Data!S638+Match_Data!T638)</x:f>
      </x:c>
      <x:c r="L638" t="str">
        <x:f>IF(OR(Match_Data!U638="",Match_Data!V638=""),"",Match_Data!U638-Match_Data!V638)</x:f>
      </x:c>
      <x:c r="M638" s="32" t="str">
        <x:f>IF(Match_Data!Y638="","",1/Match_Data!Y638)</x:f>
      </x:c>
      <x:c r="N638" s="32" t="str">
        <x:f>IF(Match_Data!AA638="","",1/Match_Data!AA638)</x:f>
      </x:c>
      <x:c r="O638" s="32" t="str">
        <x:f>IF(OR(M638="",N638=""),"",N638-M638)</x:f>
      </x:c>
      <x:c r="P638" t="str">
        <x:f>IF(Match_Data!J638="","",IF(Match_Data!J638="OVER",1,0))</x:f>
      </x:c>
    </x:row>
    <x:row r="639">
      <x:c r="A639" t="n">
        <x:f>Match_Data!A639</x:f>
        <x:v>0</x:v>
      </x:c>
      <x:c r="B639" s="28" t="n">
        <x:f>Match_Data!B639</x:f>
        <x:v>0</x:v>
      </x:c>
      <x:c r="C639" t="n">
        <x:f>Match_Data!C639</x:f>
        <x:v>0</x:v>
      </x:c>
      <x:c r="D639" t="n">
        <x:f>Match_Data!E639</x:f>
        <x:v>0</x:v>
      </x:c>
      <x:c r="E639" t="n">
        <x:f>Match_Data!F639</x:f>
        <x:v>0</x:v>
      </x:c>
      <x:c r="F639" t="n">
        <x:f>Match_Data!AC639</x:f>
        <x:v>0</x:v>
      </x:c>
      <x:c r="G639" t="str">
        <x:f>IF(OR(Match_Data!K639="",Match_Data!L639=""),"",AVERAGE(Match_Data!K639:L639))</x:f>
      </x:c>
      <x:c r="H639" t="str">
        <x:f>IF(OR(Match_Data!M639="",Match_Data!N639=""),"",AVERAGE(Match_Data!M639:N639))</x:f>
      </x:c>
      <x:c r="I639" t="str">
        <x:f>IF(OR(Match_Data!O639="",Match_Data!Q639=""),"",Match_Data!O639+Match_Data!Q639)</x:f>
      </x:c>
      <x:c r="J639" t="str">
        <x:f>IF(OR(Match_Data!P639="",Match_Data!R639=""),"",Match_Data!P639+Match_Data!R639)</x:f>
      </x:c>
      <x:c r="K639" t="str">
        <x:f>IF(OR(Match_Data!S639="",Match_Data!T639=""),"",Match_Data!S639+Match_Data!T639)</x:f>
      </x:c>
      <x:c r="L639" t="str">
        <x:f>IF(OR(Match_Data!U639="",Match_Data!V639=""),"",Match_Data!U639-Match_Data!V639)</x:f>
      </x:c>
      <x:c r="M639" s="32" t="str">
        <x:f>IF(Match_Data!Y639="","",1/Match_Data!Y639)</x:f>
      </x:c>
      <x:c r="N639" s="32" t="str">
        <x:f>IF(Match_Data!AA639="","",1/Match_Data!AA639)</x:f>
      </x:c>
      <x:c r="O639" s="32" t="str">
        <x:f>IF(OR(M639="",N639=""),"",N639-M639)</x:f>
      </x:c>
      <x:c r="P639" t="str">
        <x:f>IF(Match_Data!J639="","",IF(Match_Data!J639="OVER",1,0))</x:f>
      </x:c>
    </x:row>
    <x:row r="640">
      <x:c r="A640" t="n">
        <x:f>Match_Data!A640</x:f>
        <x:v>0</x:v>
      </x:c>
      <x:c r="B640" s="28" t="n">
        <x:f>Match_Data!B640</x:f>
        <x:v>0</x:v>
      </x:c>
      <x:c r="C640" t="n">
        <x:f>Match_Data!C640</x:f>
        <x:v>0</x:v>
      </x:c>
      <x:c r="D640" t="n">
        <x:f>Match_Data!E640</x:f>
        <x:v>0</x:v>
      </x:c>
      <x:c r="E640" t="n">
        <x:f>Match_Data!F640</x:f>
        <x:v>0</x:v>
      </x:c>
      <x:c r="F640" t="n">
        <x:f>Match_Data!AC640</x:f>
        <x:v>0</x:v>
      </x:c>
      <x:c r="G640" t="str">
        <x:f>IF(OR(Match_Data!K640="",Match_Data!L640=""),"",AVERAGE(Match_Data!K640:L640))</x:f>
      </x:c>
      <x:c r="H640" t="str">
        <x:f>IF(OR(Match_Data!M640="",Match_Data!N640=""),"",AVERAGE(Match_Data!M640:N640))</x:f>
      </x:c>
      <x:c r="I640" t="str">
        <x:f>IF(OR(Match_Data!O640="",Match_Data!Q640=""),"",Match_Data!O640+Match_Data!Q640)</x:f>
      </x:c>
      <x:c r="J640" t="str">
        <x:f>IF(OR(Match_Data!P640="",Match_Data!R640=""),"",Match_Data!P640+Match_Data!R640)</x:f>
      </x:c>
      <x:c r="K640" t="str">
        <x:f>IF(OR(Match_Data!S640="",Match_Data!T640=""),"",Match_Data!S640+Match_Data!T640)</x:f>
      </x:c>
      <x:c r="L640" t="str">
        <x:f>IF(OR(Match_Data!U640="",Match_Data!V640=""),"",Match_Data!U640-Match_Data!V640)</x:f>
      </x:c>
      <x:c r="M640" s="32" t="str">
        <x:f>IF(Match_Data!Y640="","",1/Match_Data!Y640)</x:f>
      </x:c>
      <x:c r="N640" s="32" t="str">
        <x:f>IF(Match_Data!AA640="","",1/Match_Data!AA640)</x:f>
      </x:c>
      <x:c r="O640" s="32" t="str">
        <x:f>IF(OR(M640="",N640=""),"",N640-M640)</x:f>
      </x:c>
      <x:c r="P640" t="str">
        <x:f>IF(Match_Data!J640="","",IF(Match_Data!J640="OVER",1,0))</x:f>
      </x:c>
    </x:row>
    <x:row r="641">
      <x:c r="A641" t="n">
        <x:f>Match_Data!A641</x:f>
        <x:v>0</x:v>
      </x:c>
      <x:c r="B641" s="28" t="n">
        <x:f>Match_Data!B641</x:f>
        <x:v>0</x:v>
      </x:c>
      <x:c r="C641" t="n">
        <x:f>Match_Data!C641</x:f>
        <x:v>0</x:v>
      </x:c>
      <x:c r="D641" t="n">
        <x:f>Match_Data!E641</x:f>
        <x:v>0</x:v>
      </x:c>
      <x:c r="E641" t="n">
        <x:f>Match_Data!F641</x:f>
        <x:v>0</x:v>
      </x:c>
      <x:c r="F641" t="n">
        <x:f>Match_Data!AC641</x:f>
        <x:v>0</x:v>
      </x:c>
      <x:c r="G641" t="str">
        <x:f>IF(OR(Match_Data!K641="",Match_Data!L641=""),"",AVERAGE(Match_Data!K641:L641))</x:f>
      </x:c>
      <x:c r="H641" t="str">
        <x:f>IF(OR(Match_Data!M641="",Match_Data!N641=""),"",AVERAGE(Match_Data!M641:N641))</x:f>
      </x:c>
      <x:c r="I641" t="str">
        <x:f>IF(OR(Match_Data!O641="",Match_Data!Q641=""),"",Match_Data!O641+Match_Data!Q641)</x:f>
      </x:c>
      <x:c r="J641" t="str">
        <x:f>IF(OR(Match_Data!P641="",Match_Data!R641=""),"",Match_Data!P641+Match_Data!R641)</x:f>
      </x:c>
      <x:c r="K641" t="str">
        <x:f>IF(OR(Match_Data!S641="",Match_Data!T641=""),"",Match_Data!S641+Match_Data!T641)</x:f>
      </x:c>
      <x:c r="L641" t="str">
        <x:f>IF(OR(Match_Data!U641="",Match_Data!V641=""),"",Match_Data!U641-Match_Data!V641)</x:f>
      </x:c>
      <x:c r="M641" s="32" t="str">
        <x:f>IF(Match_Data!Y641="","",1/Match_Data!Y641)</x:f>
      </x:c>
      <x:c r="N641" s="32" t="str">
        <x:f>IF(Match_Data!AA641="","",1/Match_Data!AA641)</x:f>
      </x:c>
      <x:c r="O641" s="32" t="str">
        <x:f>IF(OR(M641="",N641=""),"",N641-M641)</x:f>
      </x:c>
      <x:c r="P641" t="str">
        <x:f>IF(Match_Data!J641="","",IF(Match_Data!J641="OVER",1,0))</x:f>
      </x:c>
    </x:row>
    <x:row r="642">
      <x:c r="A642" t="n">
        <x:f>Match_Data!A642</x:f>
        <x:v>0</x:v>
      </x:c>
      <x:c r="B642" s="28" t="n">
        <x:f>Match_Data!B642</x:f>
        <x:v>0</x:v>
      </x:c>
      <x:c r="C642" t="n">
        <x:f>Match_Data!C642</x:f>
        <x:v>0</x:v>
      </x:c>
      <x:c r="D642" t="n">
        <x:f>Match_Data!E642</x:f>
        <x:v>0</x:v>
      </x:c>
      <x:c r="E642" t="n">
        <x:f>Match_Data!F642</x:f>
        <x:v>0</x:v>
      </x:c>
      <x:c r="F642" t="n">
        <x:f>Match_Data!AC642</x:f>
        <x:v>0</x:v>
      </x:c>
      <x:c r="G642" t="str">
        <x:f>IF(OR(Match_Data!K642="",Match_Data!L642=""),"",AVERAGE(Match_Data!K642:L642))</x:f>
      </x:c>
      <x:c r="H642" t="str">
        <x:f>IF(OR(Match_Data!M642="",Match_Data!N642=""),"",AVERAGE(Match_Data!M642:N642))</x:f>
      </x:c>
      <x:c r="I642" t="str">
        <x:f>IF(OR(Match_Data!O642="",Match_Data!Q642=""),"",Match_Data!O642+Match_Data!Q642)</x:f>
      </x:c>
      <x:c r="J642" t="str">
        <x:f>IF(OR(Match_Data!P642="",Match_Data!R642=""),"",Match_Data!P642+Match_Data!R642)</x:f>
      </x:c>
      <x:c r="K642" t="str">
        <x:f>IF(OR(Match_Data!S642="",Match_Data!T642=""),"",Match_Data!S642+Match_Data!T642)</x:f>
      </x:c>
      <x:c r="L642" t="str">
        <x:f>IF(OR(Match_Data!U642="",Match_Data!V642=""),"",Match_Data!U642-Match_Data!V642)</x:f>
      </x:c>
      <x:c r="M642" s="32" t="str">
        <x:f>IF(Match_Data!Y642="","",1/Match_Data!Y642)</x:f>
      </x:c>
      <x:c r="N642" s="32" t="str">
        <x:f>IF(Match_Data!AA642="","",1/Match_Data!AA642)</x:f>
      </x:c>
      <x:c r="O642" s="32" t="str">
        <x:f>IF(OR(M642="",N642=""),"",N642-M642)</x:f>
      </x:c>
      <x:c r="P642" t="str">
        <x:f>IF(Match_Data!J642="","",IF(Match_Data!J642="OVER",1,0))</x:f>
      </x:c>
    </x:row>
    <x:row r="643">
      <x:c r="A643" t="n">
        <x:f>Match_Data!A643</x:f>
        <x:v>0</x:v>
      </x:c>
      <x:c r="B643" s="28" t="n">
        <x:f>Match_Data!B643</x:f>
        <x:v>0</x:v>
      </x:c>
      <x:c r="C643" t="n">
        <x:f>Match_Data!C643</x:f>
        <x:v>0</x:v>
      </x:c>
      <x:c r="D643" t="n">
        <x:f>Match_Data!E643</x:f>
        <x:v>0</x:v>
      </x:c>
      <x:c r="E643" t="n">
        <x:f>Match_Data!F643</x:f>
        <x:v>0</x:v>
      </x:c>
      <x:c r="F643" t="n">
        <x:f>Match_Data!AC643</x:f>
        <x:v>0</x:v>
      </x:c>
      <x:c r="G643" t="str">
        <x:f>IF(OR(Match_Data!K643="",Match_Data!L643=""),"",AVERAGE(Match_Data!K643:L643))</x:f>
      </x:c>
      <x:c r="H643" t="str">
        <x:f>IF(OR(Match_Data!M643="",Match_Data!N643=""),"",AVERAGE(Match_Data!M643:N643))</x:f>
      </x:c>
      <x:c r="I643" t="str">
        <x:f>IF(OR(Match_Data!O643="",Match_Data!Q643=""),"",Match_Data!O643+Match_Data!Q643)</x:f>
      </x:c>
      <x:c r="J643" t="str">
        <x:f>IF(OR(Match_Data!P643="",Match_Data!R643=""),"",Match_Data!P643+Match_Data!R643)</x:f>
      </x:c>
      <x:c r="K643" t="str">
        <x:f>IF(OR(Match_Data!S643="",Match_Data!T643=""),"",Match_Data!S643+Match_Data!T643)</x:f>
      </x:c>
      <x:c r="L643" t="str">
        <x:f>IF(OR(Match_Data!U643="",Match_Data!V643=""),"",Match_Data!U643-Match_Data!V643)</x:f>
      </x:c>
      <x:c r="M643" s="32" t="str">
        <x:f>IF(Match_Data!Y643="","",1/Match_Data!Y643)</x:f>
      </x:c>
      <x:c r="N643" s="32" t="str">
        <x:f>IF(Match_Data!AA643="","",1/Match_Data!AA643)</x:f>
      </x:c>
      <x:c r="O643" s="32" t="str">
        <x:f>IF(OR(M643="",N643=""),"",N643-M643)</x:f>
      </x:c>
      <x:c r="P643" t="str">
        <x:f>IF(Match_Data!J643="","",IF(Match_Data!J643="OVER",1,0))</x:f>
      </x:c>
    </x:row>
    <x:row r="644">
      <x:c r="A644" t="n">
        <x:f>Match_Data!A644</x:f>
        <x:v>0</x:v>
      </x:c>
      <x:c r="B644" s="28" t="n">
        <x:f>Match_Data!B644</x:f>
        <x:v>0</x:v>
      </x:c>
      <x:c r="C644" t="n">
        <x:f>Match_Data!C644</x:f>
        <x:v>0</x:v>
      </x:c>
      <x:c r="D644" t="n">
        <x:f>Match_Data!E644</x:f>
        <x:v>0</x:v>
      </x:c>
      <x:c r="E644" t="n">
        <x:f>Match_Data!F644</x:f>
        <x:v>0</x:v>
      </x:c>
      <x:c r="F644" t="n">
        <x:f>Match_Data!AC644</x:f>
        <x:v>0</x:v>
      </x:c>
      <x:c r="G644" t="str">
        <x:f>IF(OR(Match_Data!K644="",Match_Data!L644=""),"",AVERAGE(Match_Data!K644:L644))</x:f>
      </x:c>
      <x:c r="H644" t="str">
        <x:f>IF(OR(Match_Data!M644="",Match_Data!N644=""),"",AVERAGE(Match_Data!M644:N644))</x:f>
      </x:c>
      <x:c r="I644" t="str">
        <x:f>IF(OR(Match_Data!O644="",Match_Data!Q644=""),"",Match_Data!O644+Match_Data!Q644)</x:f>
      </x:c>
      <x:c r="J644" t="str">
        <x:f>IF(OR(Match_Data!P644="",Match_Data!R644=""),"",Match_Data!P644+Match_Data!R644)</x:f>
      </x:c>
      <x:c r="K644" t="str">
        <x:f>IF(OR(Match_Data!S644="",Match_Data!T644=""),"",Match_Data!S644+Match_Data!T644)</x:f>
      </x:c>
      <x:c r="L644" t="str">
        <x:f>IF(OR(Match_Data!U644="",Match_Data!V644=""),"",Match_Data!U644-Match_Data!V644)</x:f>
      </x:c>
      <x:c r="M644" s="32" t="str">
        <x:f>IF(Match_Data!Y644="","",1/Match_Data!Y644)</x:f>
      </x:c>
      <x:c r="N644" s="32" t="str">
        <x:f>IF(Match_Data!AA644="","",1/Match_Data!AA644)</x:f>
      </x:c>
      <x:c r="O644" s="32" t="str">
        <x:f>IF(OR(M644="",N644=""),"",N644-M644)</x:f>
      </x:c>
      <x:c r="P644" t="str">
        <x:f>IF(Match_Data!J644="","",IF(Match_Data!J644="OVER",1,0))</x:f>
      </x:c>
    </x:row>
    <x:row r="645">
      <x:c r="A645" t="n">
        <x:f>Match_Data!A645</x:f>
        <x:v>0</x:v>
      </x:c>
      <x:c r="B645" s="28" t="n">
        <x:f>Match_Data!B645</x:f>
        <x:v>0</x:v>
      </x:c>
      <x:c r="C645" t="n">
        <x:f>Match_Data!C645</x:f>
        <x:v>0</x:v>
      </x:c>
      <x:c r="D645" t="n">
        <x:f>Match_Data!E645</x:f>
        <x:v>0</x:v>
      </x:c>
      <x:c r="E645" t="n">
        <x:f>Match_Data!F645</x:f>
        <x:v>0</x:v>
      </x:c>
      <x:c r="F645" t="n">
        <x:f>Match_Data!AC645</x:f>
        <x:v>0</x:v>
      </x:c>
      <x:c r="G645" t="str">
        <x:f>IF(OR(Match_Data!K645="",Match_Data!L645=""),"",AVERAGE(Match_Data!K645:L645))</x:f>
      </x:c>
      <x:c r="H645" t="str">
        <x:f>IF(OR(Match_Data!M645="",Match_Data!N645=""),"",AVERAGE(Match_Data!M645:N645))</x:f>
      </x:c>
      <x:c r="I645" t="str">
        <x:f>IF(OR(Match_Data!O645="",Match_Data!Q645=""),"",Match_Data!O645+Match_Data!Q645)</x:f>
      </x:c>
      <x:c r="J645" t="str">
        <x:f>IF(OR(Match_Data!P645="",Match_Data!R645=""),"",Match_Data!P645+Match_Data!R645)</x:f>
      </x:c>
      <x:c r="K645" t="str">
        <x:f>IF(OR(Match_Data!S645="",Match_Data!T645=""),"",Match_Data!S645+Match_Data!T645)</x:f>
      </x:c>
      <x:c r="L645" t="str">
        <x:f>IF(OR(Match_Data!U645="",Match_Data!V645=""),"",Match_Data!U645-Match_Data!V645)</x:f>
      </x:c>
      <x:c r="M645" s="32" t="str">
        <x:f>IF(Match_Data!Y645="","",1/Match_Data!Y645)</x:f>
      </x:c>
      <x:c r="N645" s="32" t="str">
        <x:f>IF(Match_Data!AA645="","",1/Match_Data!AA645)</x:f>
      </x:c>
      <x:c r="O645" s="32" t="str">
        <x:f>IF(OR(M645="",N645=""),"",N645-M645)</x:f>
      </x:c>
      <x:c r="P645" t="str">
        <x:f>IF(Match_Data!J645="","",IF(Match_Data!J645="OVER",1,0))</x:f>
      </x:c>
    </x:row>
    <x:row r="646">
      <x:c r="A646" t="n">
        <x:f>Match_Data!A646</x:f>
        <x:v>0</x:v>
      </x:c>
      <x:c r="B646" s="28" t="n">
        <x:f>Match_Data!B646</x:f>
        <x:v>0</x:v>
      </x:c>
      <x:c r="C646" t="n">
        <x:f>Match_Data!C646</x:f>
        <x:v>0</x:v>
      </x:c>
      <x:c r="D646" t="n">
        <x:f>Match_Data!E646</x:f>
        <x:v>0</x:v>
      </x:c>
      <x:c r="E646" t="n">
        <x:f>Match_Data!F646</x:f>
        <x:v>0</x:v>
      </x:c>
      <x:c r="F646" t="n">
        <x:f>Match_Data!AC646</x:f>
        <x:v>0</x:v>
      </x:c>
      <x:c r="G646" t="str">
        <x:f>IF(OR(Match_Data!K646="",Match_Data!L646=""),"",AVERAGE(Match_Data!K646:L646))</x:f>
      </x:c>
      <x:c r="H646" t="str">
        <x:f>IF(OR(Match_Data!M646="",Match_Data!N646=""),"",AVERAGE(Match_Data!M646:N646))</x:f>
      </x:c>
      <x:c r="I646" t="str">
        <x:f>IF(OR(Match_Data!O646="",Match_Data!Q646=""),"",Match_Data!O646+Match_Data!Q646)</x:f>
      </x:c>
      <x:c r="J646" t="str">
        <x:f>IF(OR(Match_Data!P646="",Match_Data!R646=""),"",Match_Data!P646+Match_Data!R646)</x:f>
      </x:c>
      <x:c r="K646" t="str">
        <x:f>IF(OR(Match_Data!S646="",Match_Data!T646=""),"",Match_Data!S646+Match_Data!T646)</x:f>
      </x:c>
      <x:c r="L646" t="str">
        <x:f>IF(OR(Match_Data!U646="",Match_Data!V646=""),"",Match_Data!U646-Match_Data!V646)</x:f>
      </x:c>
      <x:c r="M646" s="32" t="str">
        <x:f>IF(Match_Data!Y646="","",1/Match_Data!Y646)</x:f>
      </x:c>
      <x:c r="N646" s="32" t="str">
        <x:f>IF(Match_Data!AA646="","",1/Match_Data!AA646)</x:f>
      </x:c>
      <x:c r="O646" s="32" t="str">
        <x:f>IF(OR(M646="",N646=""),"",N646-M646)</x:f>
      </x:c>
      <x:c r="P646" t="str">
        <x:f>IF(Match_Data!J646="","",IF(Match_Data!J646="OVER",1,0))</x:f>
      </x:c>
    </x:row>
    <x:row r="647">
      <x:c r="A647" t="n">
        <x:f>Match_Data!A647</x:f>
        <x:v>0</x:v>
      </x:c>
      <x:c r="B647" s="28" t="n">
        <x:f>Match_Data!B647</x:f>
        <x:v>0</x:v>
      </x:c>
      <x:c r="C647" t="n">
        <x:f>Match_Data!C647</x:f>
        <x:v>0</x:v>
      </x:c>
      <x:c r="D647" t="n">
        <x:f>Match_Data!E647</x:f>
        <x:v>0</x:v>
      </x:c>
      <x:c r="E647" t="n">
        <x:f>Match_Data!F647</x:f>
        <x:v>0</x:v>
      </x:c>
      <x:c r="F647" t="n">
        <x:f>Match_Data!AC647</x:f>
        <x:v>0</x:v>
      </x:c>
      <x:c r="G647" t="str">
        <x:f>IF(OR(Match_Data!K647="",Match_Data!L647=""),"",AVERAGE(Match_Data!K647:L647))</x:f>
      </x:c>
      <x:c r="H647" t="str">
        <x:f>IF(OR(Match_Data!M647="",Match_Data!N647=""),"",AVERAGE(Match_Data!M647:N647))</x:f>
      </x:c>
      <x:c r="I647" t="str">
        <x:f>IF(OR(Match_Data!O647="",Match_Data!Q647=""),"",Match_Data!O647+Match_Data!Q647)</x:f>
      </x:c>
      <x:c r="J647" t="str">
        <x:f>IF(OR(Match_Data!P647="",Match_Data!R647=""),"",Match_Data!P647+Match_Data!R647)</x:f>
      </x:c>
      <x:c r="K647" t="str">
        <x:f>IF(OR(Match_Data!S647="",Match_Data!T647=""),"",Match_Data!S647+Match_Data!T647)</x:f>
      </x:c>
      <x:c r="L647" t="str">
        <x:f>IF(OR(Match_Data!U647="",Match_Data!V647=""),"",Match_Data!U647-Match_Data!V647)</x:f>
      </x:c>
      <x:c r="M647" s="32" t="str">
        <x:f>IF(Match_Data!Y647="","",1/Match_Data!Y647)</x:f>
      </x:c>
      <x:c r="N647" s="32" t="str">
        <x:f>IF(Match_Data!AA647="","",1/Match_Data!AA647)</x:f>
      </x:c>
      <x:c r="O647" s="32" t="str">
        <x:f>IF(OR(M647="",N647=""),"",N647-M647)</x:f>
      </x:c>
      <x:c r="P647" t="str">
        <x:f>IF(Match_Data!J647="","",IF(Match_Data!J647="OVER",1,0))</x:f>
      </x:c>
    </x:row>
    <x:row r="648">
      <x:c r="A648" t="n">
        <x:f>Match_Data!A648</x:f>
        <x:v>0</x:v>
      </x:c>
      <x:c r="B648" s="28" t="n">
        <x:f>Match_Data!B648</x:f>
        <x:v>0</x:v>
      </x:c>
      <x:c r="C648" t="n">
        <x:f>Match_Data!C648</x:f>
        <x:v>0</x:v>
      </x:c>
      <x:c r="D648" t="n">
        <x:f>Match_Data!E648</x:f>
        <x:v>0</x:v>
      </x:c>
      <x:c r="E648" t="n">
        <x:f>Match_Data!F648</x:f>
        <x:v>0</x:v>
      </x:c>
      <x:c r="F648" t="n">
        <x:f>Match_Data!AC648</x:f>
        <x:v>0</x:v>
      </x:c>
      <x:c r="G648" t="str">
        <x:f>IF(OR(Match_Data!K648="",Match_Data!L648=""),"",AVERAGE(Match_Data!K648:L648))</x:f>
      </x:c>
      <x:c r="H648" t="str">
        <x:f>IF(OR(Match_Data!M648="",Match_Data!N648=""),"",AVERAGE(Match_Data!M648:N648))</x:f>
      </x:c>
      <x:c r="I648" t="str">
        <x:f>IF(OR(Match_Data!O648="",Match_Data!Q648=""),"",Match_Data!O648+Match_Data!Q648)</x:f>
      </x:c>
      <x:c r="J648" t="str">
        <x:f>IF(OR(Match_Data!P648="",Match_Data!R648=""),"",Match_Data!P648+Match_Data!R648)</x:f>
      </x:c>
      <x:c r="K648" t="str">
        <x:f>IF(OR(Match_Data!S648="",Match_Data!T648=""),"",Match_Data!S648+Match_Data!T648)</x:f>
      </x:c>
      <x:c r="L648" t="str">
        <x:f>IF(OR(Match_Data!U648="",Match_Data!V648=""),"",Match_Data!U648-Match_Data!V648)</x:f>
      </x:c>
      <x:c r="M648" s="32" t="str">
        <x:f>IF(Match_Data!Y648="","",1/Match_Data!Y648)</x:f>
      </x:c>
      <x:c r="N648" s="32" t="str">
        <x:f>IF(Match_Data!AA648="","",1/Match_Data!AA648)</x:f>
      </x:c>
      <x:c r="O648" s="32" t="str">
        <x:f>IF(OR(M648="",N648=""),"",N648-M648)</x:f>
      </x:c>
      <x:c r="P648" t="str">
        <x:f>IF(Match_Data!J648="","",IF(Match_Data!J648="OVER",1,0))</x:f>
      </x:c>
    </x:row>
    <x:row r="649">
      <x:c r="A649" t="n">
        <x:f>Match_Data!A649</x:f>
        <x:v>0</x:v>
      </x:c>
      <x:c r="B649" s="28" t="n">
        <x:f>Match_Data!B649</x:f>
        <x:v>0</x:v>
      </x:c>
      <x:c r="C649" t="n">
        <x:f>Match_Data!C649</x:f>
        <x:v>0</x:v>
      </x:c>
      <x:c r="D649" t="n">
        <x:f>Match_Data!E649</x:f>
        <x:v>0</x:v>
      </x:c>
      <x:c r="E649" t="n">
        <x:f>Match_Data!F649</x:f>
        <x:v>0</x:v>
      </x:c>
      <x:c r="F649" t="n">
        <x:f>Match_Data!AC649</x:f>
        <x:v>0</x:v>
      </x:c>
      <x:c r="G649" t="str">
        <x:f>IF(OR(Match_Data!K649="",Match_Data!L649=""),"",AVERAGE(Match_Data!K649:L649))</x:f>
      </x:c>
      <x:c r="H649" t="str">
        <x:f>IF(OR(Match_Data!M649="",Match_Data!N649=""),"",AVERAGE(Match_Data!M649:N649))</x:f>
      </x:c>
      <x:c r="I649" t="str">
        <x:f>IF(OR(Match_Data!O649="",Match_Data!Q649=""),"",Match_Data!O649+Match_Data!Q649)</x:f>
      </x:c>
      <x:c r="J649" t="str">
        <x:f>IF(OR(Match_Data!P649="",Match_Data!R649=""),"",Match_Data!P649+Match_Data!R649)</x:f>
      </x:c>
      <x:c r="K649" t="str">
        <x:f>IF(OR(Match_Data!S649="",Match_Data!T649=""),"",Match_Data!S649+Match_Data!T649)</x:f>
      </x:c>
      <x:c r="L649" t="str">
        <x:f>IF(OR(Match_Data!U649="",Match_Data!V649=""),"",Match_Data!U649-Match_Data!V649)</x:f>
      </x:c>
      <x:c r="M649" s="32" t="str">
        <x:f>IF(Match_Data!Y649="","",1/Match_Data!Y649)</x:f>
      </x:c>
      <x:c r="N649" s="32" t="str">
        <x:f>IF(Match_Data!AA649="","",1/Match_Data!AA649)</x:f>
      </x:c>
      <x:c r="O649" s="32" t="str">
        <x:f>IF(OR(M649="",N649=""),"",N649-M649)</x:f>
      </x:c>
      <x:c r="P649" t="str">
        <x:f>IF(Match_Data!J649="","",IF(Match_Data!J649="OVER",1,0))</x:f>
      </x:c>
    </x:row>
    <x:row r="650">
      <x:c r="A650" t="n">
        <x:f>Match_Data!A650</x:f>
        <x:v>0</x:v>
      </x:c>
      <x:c r="B650" s="28" t="n">
        <x:f>Match_Data!B650</x:f>
        <x:v>0</x:v>
      </x:c>
      <x:c r="C650" t="n">
        <x:f>Match_Data!C650</x:f>
        <x:v>0</x:v>
      </x:c>
      <x:c r="D650" t="n">
        <x:f>Match_Data!E650</x:f>
        <x:v>0</x:v>
      </x:c>
      <x:c r="E650" t="n">
        <x:f>Match_Data!F650</x:f>
        <x:v>0</x:v>
      </x:c>
      <x:c r="F650" t="n">
        <x:f>Match_Data!AC650</x:f>
        <x:v>0</x:v>
      </x:c>
      <x:c r="G650" t="str">
        <x:f>IF(OR(Match_Data!K650="",Match_Data!L650=""),"",AVERAGE(Match_Data!K650:L650))</x:f>
      </x:c>
      <x:c r="H650" t="str">
        <x:f>IF(OR(Match_Data!M650="",Match_Data!N650=""),"",AVERAGE(Match_Data!M650:N650))</x:f>
      </x:c>
      <x:c r="I650" t="str">
        <x:f>IF(OR(Match_Data!O650="",Match_Data!Q650=""),"",Match_Data!O650+Match_Data!Q650)</x:f>
      </x:c>
      <x:c r="J650" t="str">
        <x:f>IF(OR(Match_Data!P650="",Match_Data!R650=""),"",Match_Data!P650+Match_Data!R650)</x:f>
      </x:c>
      <x:c r="K650" t="str">
        <x:f>IF(OR(Match_Data!S650="",Match_Data!T650=""),"",Match_Data!S650+Match_Data!T650)</x:f>
      </x:c>
      <x:c r="L650" t="str">
        <x:f>IF(OR(Match_Data!U650="",Match_Data!V650=""),"",Match_Data!U650-Match_Data!V650)</x:f>
      </x:c>
      <x:c r="M650" s="32" t="str">
        <x:f>IF(Match_Data!Y650="","",1/Match_Data!Y650)</x:f>
      </x:c>
      <x:c r="N650" s="32" t="str">
        <x:f>IF(Match_Data!AA650="","",1/Match_Data!AA650)</x:f>
      </x:c>
      <x:c r="O650" s="32" t="str">
        <x:f>IF(OR(M650="",N650=""),"",N650-M650)</x:f>
      </x:c>
      <x:c r="P650" t="str">
        <x:f>IF(Match_Data!J650="","",IF(Match_Data!J650="OVER",1,0))</x:f>
      </x:c>
    </x:row>
    <x:row r="651">
      <x:c r="A651" t="n">
        <x:f>Match_Data!A651</x:f>
        <x:v>0</x:v>
      </x:c>
      <x:c r="B651" s="28" t="n">
        <x:f>Match_Data!B651</x:f>
        <x:v>0</x:v>
      </x:c>
      <x:c r="C651" t="n">
        <x:f>Match_Data!C651</x:f>
        <x:v>0</x:v>
      </x:c>
      <x:c r="D651" t="n">
        <x:f>Match_Data!E651</x:f>
        <x:v>0</x:v>
      </x:c>
      <x:c r="E651" t="n">
        <x:f>Match_Data!F651</x:f>
        <x:v>0</x:v>
      </x:c>
      <x:c r="F651" t="n">
        <x:f>Match_Data!AC651</x:f>
        <x:v>0</x:v>
      </x:c>
      <x:c r="G651" t="str">
        <x:f>IF(OR(Match_Data!K651="",Match_Data!L651=""),"",AVERAGE(Match_Data!K651:L651))</x:f>
      </x:c>
      <x:c r="H651" t="str">
        <x:f>IF(OR(Match_Data!M651="",Match_Data!N651=""),"",AVERAGE(Match_Data!M651:N651))</x:f>
      </x:c>
      <x:c r="I651" t="str">
        <x:f>IF(OR(Match_Data!O651="",Match_Data!Q651=""),"",Match_Data!O651+Match_Data!Q651)</x:f>
      </x:c>
      <x:c r="J651" t="str">
        <x:f>IF(OR(Match_Data!P651="",Match_Data!R651=""),"",Match_Data!P651+Match_Data!R651)</x:f>
      </x:c>
      <x:c r="K651" t="str">
        <x:f>IF(OR(Match_Data!S651="",Match_Data!T651=""),"",Match_Data!S651+Match_Data!T651)</x:f>
      </x:c>
      <x:c r="L651" t="str">
        <x:f>IF(OR(Match_Data!U651="",Match_Data!V651=""),"",Match_Data!U651-Match_Data!V651)</x:f>
      </x:c>
      <x:c r="M651" s="32" t="str">
        <x:f>IF(Match_Data!Y651="","",1/Match_Data!Y651)</x:f>
      </x:c>
      <x:c r="N651" s="32" t="str">
        <x:f>IF(Match_Data!AA651="","",1/Match_Data!AA651)</x:f>
      </x:c>
      <x:c r="O651" s="32" t="str">
        <x:f>IF(OR(M651="",N651=""),"",N651-M651)</x:f>
      </x:c>
      <x:c r="P651" t="str">
        <x:f>IF(Match_Data!J651="","",IF(Match_Data!J651="OVER",1,0))</x:f>
      </x:c>
    </x:row>
    <x:row r="652">
      <x:c r="A652" t="n">
        <x:f>Match_Data!A652</x:f>
        <x:v>0</x:v>
      </x:c>
      <x:c r="B652" s="28" t="n">
        <x:f>Match_Data!B652</x:f>
        <x:v>0</x:v>
      </x:c>
      <x:c r="C652" t="n">
        <x:f>Match_Data!C652</x:f>
        <x:v>0</x:v>
      </x:c>
      <x:c r="D652" t="n">
        <x:f>Match_Data!E652</x:f>
        <x:v>0</x:v>
      </x:c>
      <x:c r="E652" t="n">
        <x:f>Match_Data!F652</x:f>
        <x:v>0</x:v>
      </x:c>
      <x:c r="F652" t="n">
        <x:f>Match_Data!AC652</x:f>
        <x:v>0</x:v>
      </x:c>
      <x:c r="G652" t="str">
        <x:f>IF(OR(Match_Data!K652="",Match_Data!L652=""),"",AVERAGE(Match_Data!K652:L652))</x:f>
      </x:c>
      <x:c r="H652" t="str">
        <x:f>IF(OR(Match_Data!M652="",Match_Data!N652=""),"",AVERAGE(Match_Data!M652:N652))</x:f>
      </x:c>
      <x:c r="I652" t="str">
        <x:f>IF(OR(Match_Data!O652="",Match_Data!Q652=""),"",Match_Data!O652+Match_Data!Q652)</x:f>
      </x:c>
      <x:c r="J652" t="str">
        <x:f>IF(OR(Match_Data!P652="",Match_Data!R652=""),"",Match_Data!P652+Match_Data!R652)</x:f>
      </x:c>
      <x:c r="K652" t="str">
        <x:f>IF(OR(Match_Data!S652="",Match_Data!T652=""),"",Match_Data!S652+Match_Data!T652)</x:f>
      </x:c>
      <x:c r="L652" t="str">
        <x:f>IF(OR(Match_Data!U652="",Match_Data!V652=""),"",Match_Data!U652-Match_Data!V652)</x:f>
      </x:c>
      <x:c r="M652" s="32" t="str">
        <x:f>IF(Match_Data!Y652="","",1/Match_Data!Y652)</x:f>
      </x:c>
      <x:c r="N652" s="32" t="str">
        <x:f>IF(Match_Data!AA652="","",1/Match_Data!AA652)</x:f>
      </x:c>
      <x:c r="O652" s="32" t="str">
        <x:f>IF(OR(M652="",N652=""),"",N652-M652)</x:f>
      </x:c>
      <x:c r="P652" t="str">
        <x:f>IF(Match_Data!J652="","",IF(Match_Data!J652="OVER",1,0))</x:f>
      </x:c>
    </x:row>
    <x:row r="653">
      <x:c r="A653" t="n">
        <x:f>Match_Data!A653</x:f>
        <x:v>0</x:v>
      </x:c>
      <x:c r="B653" s="28" t="n">
        <x:f>Match_Data!B653</x:f>
        <x:v>0</x:v>
      </x:c>
      <x:c r="C653" t="n">
        <x:f>Match_Data!C653</x:f>
        <x:v>0</x:v>
      </x:c>
      <x:c r="D653" t="n">
        <x:f>Match_Data!E653</x:f>
        <x:v>0</x:v>
      </x:c>
      <x:c r="E653" t="n">
        <x:f>Match_Data!F653</x:f>
        <x:v>0</x:v>
      </x:c>
      <x:c r="F653" t="n">
        <x:f>Match_Data!AC653</x:f>
        <x:v>0</x:v>
      </x:c>
      <x:c r="G653" t="str">
        <x:f>IF(OR(Match_Data!K653="",Match_Data!L653=""),"",AVERAGE(Match_Data!K653:L653))</x:f>
      </x:c>
      <x:c r="H653" t="str">
        <x:f>IF(OR(Match_Data!M653="",Match_Data!N653=""),"",AVERAGE(Match_Data!M653:N653))</x:f>
      </x:c>
      <x:c r="I653" t="str">
        <x:f>IF(OR(Match_Data!O653="",Match_Data!Q653=""),"",Match_Data!O653+Match_Data!Q653)</x:f>
      </x:c>
      <x:c r="J653" t="str">
        <x:f>IF(OR(Match_Data!P653="",Match_Data!R653=""),"",Match_Data!P653+Match_Data!R653)</x:f>
      </x:c>
      <x:c r="K653" t="str">
        <x:f>IF(OR(Match_Data!S653="",Match_Data!T653=""),"",Match_Data!S653+Match_Data!T653)</x:f>
      </x:c>
      <x:c r="L653" t="str">
        <x:f>IF(OR(Match_Data!U653="",Match_Data!V653=""),"",Match_Data!U653-Match_Data!V653)</x:f>
      </x:c>
      <x:c r="M653" s="32" t="str">
        <x:f>IF(Match_Data!Y653="","",1/Match_Data!Y653)</x:f>
      </x:c>
      <x:c r="N653" s="32" t="str">
        <x:f>IF(Match_Data!AA653="","",1/Match_Data!AA653)</x:f>
      </x:c>
      <x:c r="O653" s="32" t="str">
        <x:f>IF(OR(M653="",N653=""),"",N653-M653)</x:f>
      </x:c>
      <x:c r="P653" t="str">
        <x:f>IF(Match_Data!J653="","",IF(Match_Data!J653="OVER",1,0))</x:f>
      </x:c>
    </x:row>
    <x:row r="654">
      <x:c r="A654" t="n">
        <x:f>Match_Data!A654</x:f>
        <x:v>0</x:v>
      </x:c>
      <x:c r="B654" s="28" t="n">
        <x:f>Match_Data!B654</x:f>
        <x:v>0</x:v>
      </x:c>
      <x:c r="C654" t="n">
        <x:f>Match_Data!C654</x:f>
        <x:v>0</x:v>
      </x:c>
      <x:c r="D654" t="n">
        <x:f>Match_Data!E654</x:f>
        <x:v>0</x:v>
      </x:c>
      <x:c r="E654" t="n">
        <x:f>Match_Data!F654</x:f>
        <x:v>0</x:v>
      </x:c>
      <x:c r="F654" t="n">
        <x:f>Match_Data!AC654</x:f>
        <x:v>0</x:v>
      </x:c>
      <x:c r="G654" t="str">
        <x:f>IF(OR(Match_Data!K654="",Match_Data!L654=""),"",AVERAGE(Match_Data!K654:L654))</x:f>
      </x:c>
      <x:c r="H654" t="str">
        <x:f>IF(OR(Match_Data!M654="",Match_Data!N654=""),"",AVERAGE(Match_Data!M654:N654))</x:f>
      </x:c>
      <x:c r="I654" t="str">
        <x:f>IF(OR(Match_Data!O654="",Match_Data!Q654=""),"",Match_Data!O654+Match_Data!Q654)</x:f>
      </x:c>
      <x:c r="J654" t="str">
        <x:f>IF(OR(Match_Data!P654="",Match_Data!R654=""),"",Match_Data!P654+Match_Data!R654)</x:f>
      </x:c>
      <x:c r="K654" t="str">
        <x:f>IF(OR(Match_Data!S654="",Match_Data!T654=""),"",Match_Data!S654+Match_Data!T654)</x:f>
      </x:c>
      <x:c r="L654" t="str">
        <x:f>IF(OR(Match_Data!U654="",Match_Data!V654=""),"",Match_Data!U654-Match_Data!V654)</x:f>
      </x:c>
      <x:c r="M654" s="32" t="str">
        <x:f>IF(Match_Data!Y654="","",1/Match_Data!Y654)</x:f>
      </x:c>
      <x:c r="N654" s="32" t="str">
        <x:f>IF(Match_Data!AA654="","",1/Match_Data!AA654)</x:f>
      </x:c>
      <x:c r="O654" s="32" t="str">
        <x:f>IF(OR(M654="",N654=""),"",N654-M654)</x:f>
      </x:c>
      <x:c r="P654" t="str">
        <x:f>IF(Match_Data!J654="","",IF(Match_Data!J654="OVER",1,0))</x:f>
      </x:c>
    </x:row>
    <x:row r="655">
      <x:c r="A655" t="n">
        <x:f>Match_Data!A655</x:f>
        <x:v>0</x:v>
      </x:c>
      <x:c r="B655" s="28" t="n">
        <x:f>Match_Data!B655</x:f>
        <x:v>0</x:v>
      </x:c>
      <x:c r="C655" t="n">
        <x:f>Match_Data!C655</x:f>
        <x:v>0</x:v>
      </x:c>
      <x:c r="D655" t="n">
        <x:f>Match_Data!E655</x:f>
        <x:v>0</x:v>
      </x:c>
      <x:c r="E655" t="n">
        <x:f>Match_Data!F655</x:f>
        <x:v>0</x:v>
      </x:c>
      <x:c r="F655" t="n">
        <x:f>Match_Data!AC655</x:f>
        <x:v>0</x:v>
      </x:c>
      <x:c r="G655" t="str">
        <x:f>IF(OR(Match_Data!K655="",Match_Data!L655=""),"",AVERAGE(Match_Data!K655:L655))</x:f>
      </x:c>
      <x:c r="H655" t="str">
        <x:f>IF(OR(Match_Data!M655="",Match_Data!N655=""),"",AVERAGE(Match_Data!M655:N655))</x:f>
      </x:c>
      <x:c r="I655" t="str">
        <x:f>IF(OR(Match_Data!O655="",Match_Data!Q655=""),"",Match_Data!O655+Match_Data!Q655)</x:f>
      </x:c>
      <x:c r="J655" t="str">
        <x:f>IF(OR(Match_Data!P655="",Match_Data!R655=""),"",Match_Data!P655+Match_Data!R655)</x:f>
      </x:c>
      <x:c r="K655" t="str">
        <x:f>IF(OR(Match_Data!S655="",Match_Data!T655=""),"",Match_Data!S655+Match_Data!T655)</x:f>
      </x:c>
      <x:c r="L655" t="str">
        <x:f>IF(OR(Match_Data!U655="",Match_Data!V655=""),"",Match_Data!U655-Match_Data!V655)</x:f>
      </x:c>
      <x:c r="M655" s="32" t="str">
        <x:f>IF(Match_Data!Y655="","",1/Match_Data!Y655)</x:f>
      </x:c>
      <x:c r="N655" s="32" t="str">
        <x:f>IF(Match_Data!AA655="","",1/Match_Data!AA655)</x:f>
      </x:c>
      <x:c r="O655" s="32" t="str">
        <x:f>IF(OR(M655="",N655=""),"",N655-M655)</x:f>
      </x:c>
      <x:c r="P655" t="str">
        <x:f>IF(Match_Data!J655="","",IF(Match_Data!J655="OVER",1,0))</x:f>
      </x:c>
    </x:row>
    <x:row r="656">
      <x:c r="A656" t="n">
        <x:f>Match_Data!A656</x:f>
        <x:v>0</x:v>
      </x:c>
      <x:c r="B656" s="28" t="n">
        <x:f>Match_Data!B656</x:f>
        <x:v>0</x:v>
      </x:c>
      <x:c r="C656" t="n">
        <x:f>Match_Data!C656</x:f>
        <x:v>0</x:v>
      </x:c>
      <x:c r="D656" t="n">
        <x:f>Match_Data!E656</x:f>
        <x:v>0</x:v>
      </x:c>
      <x:c r="E656" t="n">
        <x:f>Match_Data!F656</x:f>
        <x:v>0</x:v>
      </x:c>
      <x:c r="F656" t="n">
        <x:f>Match_Data!AC656</x:f>
        <x:v>0</x:v>
      </x:c>
      <x:c r="G656" t="str">
        <x:f>IF(OR(Match_Data!K656="",Match_Data!L656=""),"",AVERAGE(Match_Data!K656:L656))</x:f>
      </x:c>
      <x:c r="H656" t="str">
        <x:f>IF(OR(Match_Data!M656="",Match_Data!N656=""),"",AVERAGE(Match_Data!M656:N656))</x:f>
      </x:c>
      <x:c r="I656" t="str">
        <x:f>IF(OR(Match_Data!O656="",Match_Data!Q656=""),"",Match_Data!O656+Match_Data!Q656)</x:f>
      </x:c>
      <x:c r="J656" t="str">
        <x:f>IF(OR(Match_Data!P656="",Match_Data!R656=""),"",Match_Data!P656+Match_Data!R656)</x:f>
      </x:c>
      <x:c r="K656" t="str">
        <x:f>IF(OR(Match_Data!S656="",Match_Data!T656=""),"",Match_Data!S656+Match_Data!T656)</x:f>
      </x:c>
      <x:c r="L656" t="str">
        <x:f>IF(OR(Match_Data!U656="",Match_Data!V656=""),"",Match_Data!U656-Match_Data!V656)</x:f>
      </x:c>
      <x:c r="M656" s="32" t="str">
        <x:f>IF(Match_Data!Y656="","",1/Match_Data!Y656)</x:f>
      </x:c>
      <x:c r="N656" s="32" t="str">
        <x:f>IF(Match_Data!AA656="","",1/Match_Data!AA656)</x:f>
      </x:c>
      <x:c r="O656" s="32" t="str">
        <x:f>IF(OR(M656="",N656=""),"",N656-M656)</x:f>
      </x:c>
      <x:c r="P656" t="str">
        <x:f>IF(Match_Data!J656="","",IF(Match_Data!J656="OVER",1,0))</x:f>
      </x:c>
    </x:row>
    <x:row r="657">
      <x:c r="A657" t="n">
        <x:f>Match_Data!A657</x:f>
        <x:v>0</x:v>
      </x:c>
      <x:c r="B657" s="28" t="n">
        <x:f>Match_Data!B657</x:f>
        <x:v>0</x:v>
      </x:c>
      <x:c r="C657" t="n">
        <x:f>Match_Data!C657</x:f>
        <x:v>0</x:v>
      </x:c>
      <x:c r="D657" t="n">
        <x:f>Match_Data!E657</x:f>
        <x:v>0</x:v>
      </x:c>
      <x:c r="E657" t="n">
        <x:f>Match_Data!F657</x:f>
        <x:v>0</x:v>
      </x:c>
      <x:c r="F657" t="n">
        <x:f>Match_Data!AC657</x:f>
        <x:v>0</x:v>
      </x:c>
      <x:c r="G657" t="str">
        <x:f>IF(OR(Match_Data!K657="",Match_Data!L657=""),"",AVERAGE(Match_Data!K657:L657))</x:f>
      </x:c>
      <x:c r="H657" t="str">
        <x:f>IF(OR(Match_Data!M657="",Match_Data!N657=""),"",AVERAGE(Match_Data!M657:N657))</x:f>
      </x:c>
      <x:c r="I657" t="str">
        <x:f>IF(OR(Match_Data!O657="",Match_Data!Q657=""),"",Match_Data!O657+Match_Data!Q657)</x:f>
      </x:c>
      <x:c r="J657" t="str">
        <x:f>IF(OR(Match_Data!P657="",Match_Data!R657=""),"",Match_Data!P657+Match_Data!R657)</x:f>
      </x:c>
      <x:c r="K657" t="str">
        <x:f>IF(OR(Match_Data!S657="",Match_Data!T657=""),"",Match_Data!S657+Match_Data!T657)</x:f>
      </x:c>
      <x:c r="L657" t="str">
        <x:f>IF(OR(Match_Data!U657="",Match_Data!V657=""),"",Match_Data!U657-Match_Data!V657)</x:f>
      </x:c>
      <x:c r="M657" s="32" t="str">
        <x:f>IF(Match_Data!Y657="","",1/Match_Data!Y657)</x:f>
      </x:c>
      <x:c r="N657" s="32" t="str">
        <x:f>IF(Match_Data!AA657="","",1/Match_Data!AA657)</x:f>
      </x:c>
      <x:c r="O657" s="32" t="str">
        <x:f>IF(OR(M657="",N657=""),"",N657-M657)</x:f>
      </x:c>
      <x:c r="P657" t="str">
        <x:f>IF(Match_Data!J657="","",IF(Match_Data!J657="OVER",1,0))</x:f>
      </x:c>
    </x:row>
    <x:row r="658">
      <x:c r="A658" t="n">
        <x:f>Match_Data!A658</x:f>
        <x:v>0</x:v>
      </x:c>
      <x:c r="B658" s="28" t="n">
        <x:f>Match_Data!B658</x:f>
        <x:v>0</x:v>
      </x:c>
      <x:c r="C658" t="n">
        <x:f>Match_Data!C658</x:f>
        <x:v>0</x:v>
      </x:c>
      <x:c r="D658" t="n">
        <x:f>Match_Data!E658</x:f>
        <x:v>0</x:v>
      </x:c>
      <x:c r="E658" t="n">
        <x:f>Match_Data!F658</x:f>
        <x:v>0</x:v>
      </x:c>
      <x:c r="F658" t="n">
        <x:f>Match_Data!AC658</x:f>
        <x:v>0</x:v>
      </x:c>
      <x:c r="G658" t="str">
        <x:f>IF(OR(Match_Data!K658="",Match_Data!L658=""),"",AVERAGE(Match_Data!K658:L658))</x:f>
      </x:c>
      <x:c r="H658" t="str">
        <x:f>IF(OR(Match_Data!M658="",Match_Data!N658=""),"",AVERAGE(Match_Data!M658:N658))</x:f>
      </x:c>
      <x:c r="I658" t="str">
        <x:f>IF(OR(Match_Data!O658="",Match_Data!Q658=""),"",Match_Data!O658+Match_Data!Q658)</x:f>
      </x:c>
      <x:c r="J658" t="str">
        <x:f>IF(OR(Match_Data!P658="",Match_Data!R658=""),"",Match_Data!P658+Match_Data!R658)</x:f>
      </x:c>
      <x:c r="K658" t="str">
        <x:f>IF(OR(Match_Data!S658="",Match_Data!T658=""),"",Match_Data!S658+Match_Data!T658)</x:f>
      </x:c>
      <x:c r="L658" t="str">
        <x:f>IF(OR(Match_Data!U658="",Match_Data!V658=""),"",Match_Data!U658-Match_Data!V658)</x:f>
      </x:c>
      <x:c r="M658" s="32" t="str">
        <x:f>IF(Match_Data!Y658="","",1/Match_Data!Y658)</x:f>
      </x:c>
      <x:c r="N658" s="32" t="str">
        <x:f>IF(Match_Data!AA658="","",1/Match_Data!AA658)</x:f>
      </x:c>
      <x:c r="O658" s="32" t="str">
        <x:f>IF(OR(M658="",N658=""),"",N658-M658)</x:f>
      </x:c>
      <x:c r="P658" t="str">
        <x:f>IF(Match_Data!J658="","",IF(Match_Data!J658="OVER",1,0))</x:f>
      </x:c>
    </x:row>
    <x:row r="659">
      <x:c r="A659" t="n">
        <x:f>Match_Data!A659</x:f>
        <x:v>0</x:v>
      </x:c>
      <x:c r="B659" s="28" t="n">
        <x:f>Match_Data!B659</x:f>
        <x:v>0</x:v>
      </x:c>
      <x:c r="C659" t="n">
        <x:f>Match_Data!C659</x:f>
        <x:v>0</x:v>
      </x:c>
      <x:c r="D659" t="n">
        <x:f>Match_Data!E659</x:f>
        <x:v>0</x:v>
      </x:c>
      <x:c r="E659" t="n">
        <x:f>Match_Data!F659</x:f>
        <x:v>0</x:v>
      </x:c>
      <x:c r="F659" t="n">
        <x:f>Match_Data!AC659</x:f>
        <x:v>0</x:v>
      </x:c>
      <x:c r="G659" t="str">
        <x:f>IF(OR(Match_Data!K659="",Match_Data!L659=""),"",AVERAGE(Match_Data!K659:L659))</x:f>
      </x:c>
      <x:c r="H659" t="str">
        <x:f>IF(OR(Match_Data!M659="",Match_Data!N659=""),"",AVERAGE(Match_Data!M659:N659))</x:f>
      </x:c>
      <x:c r="I659" t="str">
        <x:f>IF(OR(Match_Data!O659="",Match_Data!Q659=""),"",Match_Data!O659+Match_Data!Q659)</x:f>
      </x:c>
      <x:c r="J659" t="str">
        <x:f>IF(OR(Match_Data!P659="",Match_Data!R659=""),"",Match_Data!P659+Match_Data!R659)</x:f>
      </x:c>
      <x:c r="K659" t="str">
        <x:f>IF(OR(Match_Data!S659="",Match_Data!T659=""),"",Match_Data!S659+Match_Data!T659)</x:f>
      </x:c>
      <x:c r="L659" t="str">
        <x:f>IF(OR(Match_Data!U659="",Match_Data!V659=""),"",Match_Data!U659-Match_Data!V659)</x:f>
      </x:c>
      <x:c r="M659" s="32" t="str">
        <x:f>IF(Match_Data!Y659="","",1/Match_Data!Y659)</x:f>
      </x:c>
      <x:c r="N659" s="32" t="str">
        <x:f>IF(Match_Data!AA659="","",1/Match_Data!AA659)</x:f>
      </x:c>
      <x:c r="O659" s="32" t="str">
        <x:f>IF(OR(M659="",N659=""),"",N659-M659)</x:f>
      </x:c>
      <x:c r="P659" t="str">
        <x:f>IF(Match_Data!J659="","",IF(Match_Data!J659="OVER",1,0))</x:f>
      </x:c>
    </x:row>
    <x:row r="660">
      <x:c r="A660" t="n">
        <x:f>Match_Data!A660</x:f>
        <x:v>0</x:v>
      </x:c>
      <x:c r="B660" s="28" t="n">
        <x:f>Match_Data!B660</x:f>
        <x:v>0</x:v>
      </x:c>
      <x:c r="C660" t="n">
        <x:f>Match_Data!C660</x:f>
        <x:v>0</x:v>
      </x:c>
      <x:c r="D660" t="n">
        <x:f>Match_Data!E660</x:f>
        <x:v>0</x:v>
      </x:c>
      <x:c r="E660" t="n">
        <x:f>Match_Data!F660</x:f>
        <x:v>0</x:v>
      </x:c>
      <x:c r="F660" t="n">
        <x:f>Match_Data!AC660</x:f>
        <x:v>0</x:v>
      </x:c>
      <x:c r="G660" t="str">
        <x:f>IF(OR(Match_Data!K660="",Match_Data!L660=""),"",AVERAGE(Match_Data!K660:L660))</x:f>
      </x:c>
      <x:c r="H660" t="str">
        <x:f>IF(OR(Match_Data!M660="",Match_Data!N660=""),"",AVERAGE(Match_Data!M660:N660))</x:f>
      </x:c>
      <x:c r="I660" t="str">
        <x:f>IF(OR(Match_Data!O660="",Match_Data!Q660=""),"",Match_Data!O660+Match_Data!Q660)</x:f>
      </x:c>
      <x:c r="J660" t="str">
        <x:f>IF(OR(Match_Data!P660="",Match_Data!R660=""),"",Match_Data!P660+Match_Data!R660)</x:f>
      </x:c>
      <x:c r="K660" t="str">
        <x:f>IF(OR(Match_Data!S660="",Match_Data!T660=""),"",Match_Data!S660+Match_Data!T660)</x:f>
      </x:c>
      <x:c r="L660" t="str">
        <x:f>IF(OR(Match_Data!U660="",Match_Data!V660=""),"",Match_Data!U660-Match_Data!V660)</x:f>
      </x:c>
      <x:c r="M660" s="32" t="str">
        <x:f>IF(Match_Data!Y660="","",1/Match_Data!Y660)</x:f>
      </x:c>
      <x:c r="N660" s="32" t="str">
        <x:f>IF(Match_Data!AA660="","",1/Match_Data!AA660)</x:f>
      </x:c>
      <x:c r="O660" s="32" t="str">
        <x:f>IF(OR(M660="",N660=""),"",N660-M660)</x:f>
      </x:c>
      <x:c r="P660" t="str">
        <x:f>IF(Match_Data!J660="","",IF(Match_Data!J660="OVER",1,0))</x:f>
      </x:c>
    </x:row>
    <x:row r="661">
      <x:c r="A661" t="n">
        <x:f>Match_Data!A661</x:f>
        <x:v>0</x:v>
      </x:c>
      <x:c r="B661" s="28" t="n">
        <x:f>Match_Data!B661</x:f>
        <x:v>0</x:v>
      </x:c>
      <x:c r="C661" t="n">
        <x:f>Match_Data!C661</x:f>
        <x:v>0</x:v>
      </x:c>
      <x:c r="D661" t="n">
        <x:f>Match_Data!E661</x:f>
        <x:v>0</x:v>
      </x:c>
      <x:c r="E661" t="n">
        <x:f>Match_Data!F661</x:f>
        <x:v>0</x:v>
      </x:c>
      <x:c r="F661" t="n">
        <x:f>Match_Data!AC661</x:f>
        <x:v>0</x:v>
      </x:c>
      <x:c r="G661" t="str">
        <x:f>IF(OR(Match_Data!K661="",Match_Data!L661=""),"",AVERAGE(Match_Data!K661:L661))</x:f>
      </x:c>
      <x:c r="H661" t="str">
        <x:f>IF(OR(Match_Data!M661="",Match_Data!N661=""),"",AVERAGE(Match_Data!M661:N661))</x:f>
      </x:c>
      <x:c r="I661" t="str">
        <x:f>IF(OR(Match_Data!O661="",Match_Data!Q661=""),"",Match_Data!O661+Match_Data!Q661)</x:f>
      </x:c>
      <x:c r="J661" t="str">
        <x:f>IF(OR(Match_Data!P661="",Match_Data!R661=""),"",Match_Data!P661+Match_Data!R661)</x:f>
      </x:c>
      <x:c r="K661" t="str">
        <x:f>IF(OR(Match_Data!S661="",Match_Data!T661=""),"",Match_Data!S661+Match_Data!T661)</x:f>
      </x:c>
      <x:c r="L661" t="str">
        <x:f>IF(OR(Match_Data!U661="",Match_Data!V661=""),"",Match_Data!U661-Match_Data!V661)</x:f>
      </x:c>
      <x:c r="M661" s="32" t="str">
        <x:f>IF(Match_Data!Y661="","",1/Match_Data!Y661)</x:f>
      </x:c>
      <x:c r="N661" s="32" t="str">
        <x:f>IF(Match_Data!AA661="","",1/Match_Data!AA661)</x:f>
      </x:c>
      <x:c r="O661" s="32" t="str">
        <x:f>IF(OR(M661="",N661=""),"",N661-M661)</x:f>
      </x:c>
      <x:c r="P661" t="str">
        <x:f>IF(Match_Data!J661="","",IF(Match_Data!J661="OVER",1,0))</x:f>
      </x:c>
    </x:row>
    <x:row r="662">
      <x:c r="A662" t="n">
        <x:f>Match_Data!A662</x:f>
        <x:v>0</x:v>
      </x:c>
      <x:c r="B662" s="28" t="n">
        <x:f>Match_Data!B662</x:f>
        <x:v>0</x:v>
      </x:c>
      <x:c r="C662" t="n">
        <x:f>Match_Data!C662</x:f>
        <x:v>0</x:v>
      </x:c>
      <x:c r="D662" t="n">
        <x:f>Match_Data!E662</x:f>
        <x:v>0</x:v>
      </x:c>
      <x:c r="E662" t="n">
        <x:f>Match_Data!F662</x:f>
        <x:v>0</x:v>
      </x:c>
      <x:c r="F662" t="n">
        <x:f>Match_Data!AC662</x:f>
        <x:v>0</x:v>
      </x:c>
      <x:c r="G662" t="str">
        <x:f>IF(OR(Match_Data!K662="",Match_Data!L662=""),"",AVERAGE(Match_Data!K662:L662))</x:f>
      </x:c>
      <x:c r="H662" t="str">
        <x:f>IF(OR(Match_Data!M662="",Match_Data!N662=""),"",AVERAGE(Match_Data!M662:N662))</x:f>
      </x:c>
      <x:c r="I662" t="str">
        <x:f>IF(OR(Match_Data!O662="",Match_Data!Q662=""),"",Match_Data!O662+Match_Data!Q662)</x:f>
      </x:c>
      <x:c r="J662" t="str">
        <x:f>IF(OR(Match_Data!P662="",Match_Data!R662=""),"",Match_Data!P662+Match_Data!R662)</x:f>
      </x:c>
      <x:c r="K662" t="str">
        <x:f>IF(OR(Match_Data!S662="",Match_Data!T662=""),"",Match_Data!S662+Match_Data!T662)</x:f>
      </x:c>
      <x:c r="L662" t="str">
        <x:f>IF(OR(Match_Data!U662="",Match_Data!V662=""),"",Match_Data!U662-Match_Data!V662)</x:f>
      </x:c>
      <x:c r="M662" s="32" t="str">
        <x:f>IF(Match_Data!Y662="","",1/Match_Data!Y662)</x:f>
      </x:c>
      <x:c r="N662" s="32" t="str">
        <x:f>IF(Match_Data!AA662="","",1/Match_Data!AA662)</x:f>
      </x:c>
      <x:c r="O662" s="32" t="str">
        <x:f>IF(OR(M662="",N662=""),"",N662-M662)</x:f>
      </x:c>
      <x:c r="P662" t="str">
        <x:f>IF(Match_Data!J662="","",IF(Match_Data!J662="OVER",1,0))</x:f>
      </x:c>
    </x:row>
    <x:row r="663">
      <x:c r="A663" t="n">
        <x:f>Match_Data!A663</x:f>
        <x:v>0</x:v>
      </x:c>
      <x:c r="B663" s="28" t="n">
        <x:f>Match_Data!B663</x:f>
        <x:v>0</x:v>
      </x:c>
      <x:c r="C663" t="n">
        <x:f>Match_Data!C663</x:f>
        <x:v>0</x:v>
      </x:c>
      <x:c r="D663" t="n">
        <x:f>Match_Data!E663</x:f>
        <x:v>0</x:v>
      </x:c>
      <x:c r="E663" t="n">
        <x:f>Match_Data!F663</x:f>
        <x:v>0</x:v>
      </x:c>
      <x:c r="F663" t="n">
        <x:f>Match_Data!AC663</x:f>
        <x:v>0</x:v>
      </x:c>
      <x:c r="G663" t="str">
        <x:f>IF(OR(Match_Data!K663="",Match_Data!L663=""),"",AVERAGE(Match_Data!K663:L663))</x:f>
      </x:c>
      <x:c r="H663" t="str">
        <x:f>IF(OR(Match_Data!M663="",Match_Data!N663=""),"",AVERAGE(Match_Data!M663:N663))</x:f>
      </x:c>
      <x:c r="I663" t="str">
        <x:f>IF(OR(Match_Data!O663="",Match_Data!Q663=""),"",Match_Data!O663+Match_Data!Q663)</x:f>
      </x:c>
      <x:c r="J663" t="str">
        <x:f>IF(OR(Match_Data!P663="",Match_Data!R663=""),"",Match_Data!P663+Match_Data!R663)</x:f>
      </x:c>
      <x:c r="K663" t="str">
        <x:f>IF(OR(Match_Data!S663="",Match_Data!T663=""),"",Match_Data!S663+Match_Data!T663)</x:f>
      </x:c>
      <x:c r="L663" t="str">
        <x:f>IF(OR(Match_Data!U663="",Match_Data!V663=""),"",Match_Data!U663-Match_Data!V663)</x:f>
      </x:c>
      <x:c r="M663" s="32" t="str">
        <x:f>IF(Match_Data!Y663="","",1/Match_Data!Y663)</x:f>
      </x:c>
      <x:c r="N663" s="32" t="str">
        <x:f>IF(Match_Data!AA663="","",1/Match_Data!AA663)</x:f>
      </x:c>
      <x:c r="O663" s="32" t="str">
        <x:f>IF(OR(M663="",N663=""),"",N663-M663)</x:f>
      </x:c>
      <x:c r="P663" t="str">
        <x:f>IF(Match_Data!J663="","",IF(Match_Data!J663="OVER",1,0))</x:f>
      </x:c>
    </x:row>
    <x:row r="664">
      <x:c r="A664" t="n">
        <x:f>Match_Data!A664</x:f>
        <x:v>0</x:v>
      </x:c>
      <x:c r="B664" s="28" t="n">
        <x:f>Match_Data!B664</x:f>
        <x:v>0</x:v>
      </x:c>
      <x:c r="C664" t="n">
        <x:f>Match_Data!C664</x:f>
        <x:v>0</x:v>
      </x:c>
      <x:c r="D664" t="n">
        <x:f>Match_Data!E664</x:f>
        <x:v>0</x:v>
      </x:c>
      <x:c r="E664" t="n">
        <x:f>Match_Data!F664</x:f>
        <x:v>0</x:v>
      </x:c>
      <x:c r="F664" t="n">
        <x:f>Match_Data!AC664</x:f>
        <x:v>0</x:v>
      </x:c>
      <x:c r="G664" t="str">
        <x:f>IF(OR(Match_Data!K664="",Match_Data!L664=""),"",AVERAGE(Match_Data!K664:L664))</x:f>
      </x:c>
      <x:c r="H664" t="str">
        <x:f>IF(OR(Match_Data!M664="",Match_Data!N664=""),"",AVERAGE(Match_Data!M664:N664))</x:f>
      </x:c>
      <x:c r="I664" t="str">
        <x:f>IF(OR(Match_Data!O664="",Match_Data!Q664=""),"",Match_Data!O664+Match_Data!Q664)</x:f>
      </x:c>
      <x:c r="J664" t="str">
        <x:f>IF(OR(Match_Data!P664="",Match_Data!R664=""),"",Match_Data!P664+Match_Data!R664)</x:f>
      </x:c>
      <x:c r="K664" t="str">
        <x:f>IF(OR(Match_Data!S664="",Match_Data!T664=""),"",Match_Data!S664+Match_Data!T664)</x:f>
      </x:c>
      <x:c r="L664" t="str">
        <x:f>IF(OR(Match_Data!U664="",Match_Data!V664=""),"",Match_Data!U664-Match_Data!V664)</x:f>
      </x:c>
      <x:c r="M664" s="32" t="str">
        <x:f>IF(Match_Data!Y664="","",1/Match_Data!Y664)</x:f>
      </x:c>
      <x:c r="N664" s="32" t="str">
        <x:f>IF(Match_Data!AA664="","",1/Match_Data!AA664)</x:f>
      </x:c>
      <x:c r="O664" s="32" t="str">
        <x:f>IF(OR(M664="",N664=""),"",N664-M664)</x:f>
      </x:c>
      <x:c r="P664" t="str">
        <x:f>IF(Match_Data!J664="","",IF(Match_Data!J664="OVER",1,0))</x:f>
      </x:c>
    </x:row>
    <x:row r="665">
      <x:c r="A665" t="n">
        <x:f>Match_Data!A665</x:f>
        <x:v>0</x:v>
      </x:c>
      <x:c r="B665" s="28" t="n">
        <x:f>Match_Data!B665</x:f>
        <x:v>0</x:v>
      </x:c>
      <x:c r="C665" t="n">
        <x:f>Match_Data!C665</x:f>
        <x:v>0</x:v>
      </x:c>
      <x:c r="D665" t="n">
        <x:f>Match_Data!E665</x:f>
        <x:v>0</x:v>
      </x:c>
      <x:c r="E665" t="n">
        <x:f>Match_Data!F665</x:f>
        <x:v>0</x:v>
      </x:c>
      <x:c r="F665" t="n">
        <x:f>Match_Data!AC665</x:f>
        <x:v>0</x:v>
      </x:c>
      <x:c r="G665" t="str">
        <x:f>IF(OR(Match_Data!K665="",Match_Data!L665=""),"",AVERAGE(Match_Data!K665:L665))</x:f>
      </x:c>
      <x:c r="H665" t="str">
        <x:f>IF(OR(Match_Data!M665="",Match_Data!N665=""),"",AVERAGE(Match_Data!M665:N665))</x:f>
      </x:c>
      <x:c r="I665" t="str">
        <x:f>IF(OR(Match_Data!O665="",Match_Data!Q665=""),"",Match_Data!O665+Match_Data!Q665)</x:f>
      </x:c>
      <x:c r="J665" t="str">
        <x:f>IF(OR(Match_Data!P665="",Match_Data!R665=""),"",Match_Data!P665+Match_Data!R665)</x:f>
      </x:c>
      <x:c r="K665" t="str">
        <x:f>IF(OR(Match_Data!S665="",Match_Data!T665=""),"",Match_Data!S665+Match_Data!T665)</x:f>
      </x:c>
      <x:c r="L665" t="str">
        <x:f>IF(OR(Match_Data!U665="",Match_Data!V665=""),"",Match_Data!U665-Match_Data!V665)</x:f>
      </x:c>
      <x:c r="M665" s="32" t="str">
        <x:f>IF(Match_Data!Y665="","",1/Match_Data!Y665)</x:f>
      </x:c>
      <x:c r="N665" s="32" t="str">
        <x:f>IF(Match_Data!AA665="","",1/Match_Data!AA665)</x:f>
      </x:c>
      <x:c r="O665" s="32" t="str">
        <x:f>IF(OR(M665="",N665=""),"",N665-M665)</x:f>
      </x:c>
      <x:c r="P665" t="str">
        <x:f>IF(Match_Data!J665="","",IF(Match_Data!J665="OVER",1,0))</x:f>
      </x:c>
    </x:row>
    <x:row r="666">
      <x:c r="A666" t="n">
        <x:f>Match_Data!A666</x:f>
        <x:v>0</x:v>
      </x:c>
      <x:c r="B666" s="28" t="n">
        <x:f>Match_Data!B666</x:f>
        <x:v>0</x:v>
      </x:c>
      <x:c r="C666" t="n">
        <x:f>Match_Data!C666</x:f>
        <x:v>0</x:v>
      </x:c>
      <x:c r="D666" t="n">
        <x:f>Match_Data!E666</x:f>
        <x:v>0</x:v>
      </x:c>
      <x:c r="E666" t="n">
        <x:f>Match_Data!F666</x:f>
        <x:v>0</x:v>
      </x:c>
      <x:c r="F666" t="n">
        <x:f>Match_Data!AC666</x:f>
        <x:v>0</x:v>
      </x:c>
      <x:c r="G666" t="str">
        <x:f>IF(OR(Match_Data!K666="",Match_Data!L666=""),"",AVERAGE(Match_Data!K666:L666))</x:f>
      </x:c>
      <x:c r="H666" t="str">
        <x:f>IF(OR(Match_Data!M666="",Match_Data!N666=""),"",AVERAGE(Match_Data!M666:N666))</x:f>
      </x:c>
      <x:c r="I666" t="str">
        <x:f>IF(OR(Match_Data!O666="",Match_Data!Q666=""),"",Match_Data!O666+Match_Data!Q666)</x:f>
      </x:c>
      <x:c r="J666" t="str">
        <x:f>IF(OR(Match_Data!P666="",Match_Data!R666=""),"",Match_Data!P666+Match_Data!R666)</x:f>
      </x:c>
      <x:c r="K666" t="str">
        <x:f>IF(OR(Match_Data!S666="",Match_Data!T666=""),"",Match_Data!S666+Match_Data!T666)</x:f>
      </x:c>
      <x:c r="L666" t="str">
        <x:f>IF(OR(Match_Data!U666="",Match_Data!V666=""),"",Match_Data!U666-Match_Data!V666)</x:f>
      </x:c>
      <x:c r="M666" s="32" t="str">
        <x:f>IF(Match_Data!Y666="","",1/Match_Data!Y666)</x:f>
      </x:c>
      <x:c r="N666" s="32" t="str">
        <x:f>IF(Match_Data!AA666="","",1/Match_Data!AA666)</x:f>
      </x:c>
      <x:c r="O666" s="32" t="str">
        <x:f>IF(OR(M666="",N666=""),"",N666-M666)</x:f>
      </x:c>
      <x:c r="P666" t="str">
        <x:f>IF(Match_Data!J666="","",IF(Match_Data!J666="OVER",1,0))</x:f>
      </x:c>
    </x:row>
    <x:row r="667">
      <x:c r="A667" t="n">
        <x:f>Match_Data!A667</x:f>
        <x:v>0</x:v>
      </x:c>
      <x:c r="B667" s="28" t="n">
        <x:f>Match_Data!B667</x:f>
        <x:v>0</x:v>
      </x:c>
      <x:c r="C667" t="n">
        <x:f>Match_Data!C667</x:f>
        <x:v>0</x:v>
      </x:c>
      <x:c r="D667" t="n">
        <x:f>Match_Data!E667</x:f>
        <x:v>0</x:v>
      </x:c>
      <x:c r="E667" t="n">
        <x:f>Match_Data!F667</x:f>
        <x:v>0</x:v>
      </x:c>
      <x:c r="F667" t="n">
        <x:f>Match_Data!AC667</x:f>
        <x:v>0</x:v>
      </x:c>
      <x:c r="G667" t="str">
        <x:f>IF(OR(Match_Data!K667="",Match_Data!L667=""),"",AVERAGE(Match_Data!K667:L667))</x:f>
      </x:c>
      <x:c r="H667" t="str">
        <x:f>IF(OR(Match_Data!M667="",Match_Data!N667=""),"",AVERAGE(Match_Data!M667:N667))</x:f>
      </x:c>
      <x:c r="I667" t="str">
        <x:f>IF(OR(Match_Data!O667="",Match_Data!Q667=""),"",Match_Data!O667+Match_Data!Q667)</x:f>
      </x:c>
      <x:c r="J667" t="str">
        <x:f>IF(OR(Match_Data!P667="",Match_Data!R667=""),"",Match_Data!P667+Match_Data!R667)</x:f>
      </x:c>
      <x:c r="K667" t="str">
        <x:f>IF(OR(Match_Data!S667="",Match_Data!T667=""),"",Match_Data!S667+Match_Data!T667)</x:f>
      </x:c>
      <x:c r="L667" t="str">
        <x:f>IF(OR(Match_Data!U667="",Match_Data!V667=""),"",Match_Data!U667-Match_Data!V667)</x:f>
      </x:c>
      <x:c r="M667" s="32" t="str">
        <x:f>IF(Match_Data!Y667="","",1/Match_Data!Y667)</x:f>
      </x:c>
      <x:c r="N667" s="32" t="str">
        <x:f>IF(Match_Data!AA667="","",1/Match_Data!AA667)</x:f>
      </x:c>
      <x:c r="O667" s="32" t="str">
        <x:f>IF(OR(M667="",N667=""),"",N667-M667)</x:f>
      </x:c>
      <x:c r="P667" t="str">
        <x:f>IF(Match_Data!J667="","",IF(Match_Data!J667="OVER",1,0))</x:f>
      </x:c>
    </x:row>
    <x:row r="668">
      <x:c r="A668" t="n">
        <x:f>Match_Data!A668</x:f>
        <x:v>0</x:v>
      </x:c>
      <x:c r="B668" s="28" t="n">
        <x:f>Match_Data!B668</x:f>
        <x:v>0</x:v>
      </x:c>
      <x:c r="C668" t="n">
        <x:f>Match_Data!C668</x:f>
        <x:v>0</x:v>
      </x:c>
      <x:c r="D668" t="n">
        <x:f>Match_Data!E668</x:f>
        <x:v>0</x:v>
      </x:c>
      <x:c r="E668" t="n">
        <x:f>Match_Data!F668</x:f>
        <x:v>0</x:v>
      </x:c>
      <x:c r="F668" t="n">
        <x:f>Match_Data!AC668</x:f>
        <x:v>0</x:v>
      </x:c>
      <x:c r="G668" t="str">
        <x:f>IF(OR(Match_Data!K668="",Match_Data!L668=""),"",AVERAGE(Match_Data!K668:L668))</x:f>
      </x:c>
      <x:c r="H668" t="str">
        <x:f>IF(OR(Match_Data!M668="",Match_Data!N668=""),"",AVERAGE(Match_Data!M668:N668))</x:f>
      </x:c>
      <x:c r="I668" t="str">
        <x:f>IF(OR(Match_Data!O668="",Match_Data!Q668=""),"",Match_Data!O668+Match_Data!Q668)</x:f>
      </x:c>
      <x:c r="J668" t="str">
        <x:f>IF(OR(Match_Data!P668="",Match_Data!R668=""),"",Match_Data!P668+Match_Data!R668)</x:f>
      </x:c>
      <x:c r="K668" t="str">
        <x:f>IF(OR(Match_Data!S668="",Match_Data!T668=""),"",Match_Data!S668+Match_Data!T668)</x:f>
      </x:c>
      <x:c r="L668" t="str">
        <x:f>IF(OR(Match_Data!U668="",Match_Data!V668=""),"",Match_Data!U668-Match_Data!V668)</x:f>
      </x:c>
      <x:c r="M668" s="32" t="str">
        <x:f>IF(Match_Data!Y668="","",1/Match_Data!Y668)</x:f>
      </x:c>
      <x:c r="N668" s="32" t="str">
        <x:f>IF(Match_Data!AA668="","",1/Match_Data!AA668)</x:f>
      </x:c>
      <x:c r="O668" s="32" t="str">
        <x:f>IF(OR(M668="",N668=""),"",N668-M668)</x:f>
      </x:c>
      <x:c r="P668" t="str">
        <x:f>IF(Match_Data!J668="","",IF(Match_Data!J668="OVER",1,0))</x:f>
      </x:c>
    </x:row>
    <x:row r="669">
      <x:c r="A669" t="n">
        <x:f>Match_Data!A669</x:f>
        <x:v>0</x:v>
      </x:c>
      <x:c r="B669" s="28" t="n">
        <x:f>Match_Data!B669</x:f>
        <x:v>0</x:v>
      </x:c>
      <x:c r="C669" t="n">
        <x:f>Match_Data!C669</x:f>
        <x:v>0</x:v>
      </x:c>
      <x:c r="D669" t="n">
        <x:f>Match_Data!E669</x:f>
        <x:v>0</x:v>
      </x:c>
      <x:c r="E669" t="n">
        <x:f>Match_Data!F669</x:f>
        <x:v>0</x:v>
      </x:c>
      <x:c r="F669" t="n">
        <x:f>Match_Data!AC669</x:f>
        <x:v>0</x:v>
      </x:c>
      <x:c r="G669" t="str">
        <x:f>IF(OR(Match_Data!K669="",Match_Data!L669=""),"",AVERAGE(Match_Data!K669:L669))</x:f>
      </x:c>
      <x:c r="H669" t="str">
        <x:f>IF(OR(Match_Data!M669="",Match_Data!N669=""),"",AVERAGE(Match_Data!M669:N669))</x:f>
      </x:c>
      <x:c r="I669" t="str">
        <x:f>IF(OR(Match_Data!O669="",Match_Data!Q669=""),"",Match_Data!O669+Match_Data!Q669)</x:f>
      </x:c>
      <x:c r="J669" t="str">
        <x:f>IF(OR(Match_Data!P669="",Match_Data!R669=""),"",Match_Data!P669+Match_Data!R669)</x:f>
      </x:c>
      <x:c r="K669" t="str">
        <x:f>IF(OR(Match_Data!S669="",Match_Data!T669=""),"",Match_Data!S669+Match_Data!T669)</x:f>
      </x:c>
      <x:c r="L669" t="str">
        <x:f>IF(OR(Match_Data!U669="",Match_Data!V669=""),"",Match_Data!U669-Match_Data!V669)</x:f>
      </x:c>
      <x:c r="M669" s="32" t="str">
        <x:f>IF(Match_Data!Y669="","",1/Match_Data!Y669)</x:f>
      </x:c>
      <x:c r="N669" s="32" t="str">
        <x:f>IF(Match_Data!AA669="","",1/Match_Data!AA669)</x:f>
      </x:c>
      <x:c r="O669" s="32" t="str">
        <x:f>IF(OR(M669="",N669=""),"",N669-M669)</x:f>
      </x:c>
      <x:c r="P669" t="str">
        <x:f>IF(Match_Data!J669="","",IF(Match_Data!J669="OVER",1,0))</x:f>
      </x:c>
    </x:row>
    <x:row r="670">
      <x:c r="A670" t="n">
        <x:f>Match_Data!A670</x:f>
        <x:v>0</x:v>
      </x:c>
      <x:c r="B670" s="28" t="n">
        <x:f>Match_Data!B670</x:f>
        <x:v>0</x:v>
      </x:c>
      <x:c r="C670" t="n">
        <x:f>Match_Data!C670</x:f>
        <x:v>0</x:v>
      </x:c>
      <x:c r="D670" t="n">
        <x:f>Match_Data!E670</x:f>
        <x:v>0</x:v>
      </x:c>
      <x:c r="E670" t="n">
        <x:f>Match_Data!F670</x:f>
        <x:v>0</x:v>
      </x:c>
      <x:c r="F670" t="n">
        <x:f>Match_Data!AC670</x:f>
        <x:v>0</x:v>
      </x:c>
      <x:c r="G670" t="str">
        <x:f>IF(OR(Match_Data!K670="",Match_Data!L670=""),"",AVERAGE(Match_Data!K670:L670))</x:f>
      </x:c>
      <x:c r="H670" t="str">
        <x:f>IF(OR(Match_Data!M670="",Match_Data!N670=""),"",AVERAGE(Match_Data!M670:N670))</x:f>
      </x:c>
      <x:c r="I670" t="str">
        <x:f>IF(OR(Match_Data!O670="",Match_Data!Q670=""),"",Match_Data!O670+Match_Data!Q670)</x:f>
      </x:c>
      <x:c r="J670" t="str">
        <x:f>IF(OR(Match_Data!P670="",Match_Data!R670=""),"",Match_Data!P670+Match_Data!R670)</x:f>
      </x:c>
      <x:c r="K670" t="str">
        <x:f>IF(OR(Match_Data!S670="",Match_Data!T670=""),"",Match_Data!S670+Match_Data!T670)</x:f>
      </x:c>
      <x:c r="L670" t="str">
        <x:f>IF(OR(Match_Data!U670="",Match_Data!V670=""),"",Match_Data!U670-Match_Data!V670)</x:f>
      </x:c>
      <x:c r="M670" s="32" t="str">
        <x:f>IF(Match_Data!Y670="","",1/Match_Data!Y670)</x:f>
      </x:c>
      <x:c r="N670" s="32" t="str">
        <x:f>IF(Match_Data!AA670="","",1/Match_Data!AA670)</x:f>
      </x:c>
      <x:c r="O670" s="32" t="str">
        <x:f>IF(OR(M670="",N670=""),"",N670-M670)</x:f>
      </x:c>
      <x:c r="P670" t="str">
        <x:f>IF(Match_Data!J670="","",IF(Match_Data!J670="OVER",1,0))</x:f>
      </x:c>
    </x:row>
    <x:row r="671">
      <x:c r="A671" t="n">
        <x:f>Match_Data!A671</x:f>
        <x:v>0</x:v>
      </x:c>
      <x:c r="B671" s="28" t="n">
        <x:f>Match_Data!B671</x:f>
        <x:v>0</x:v>
      </x:c>
      <x:c r="C671" t="n">
        <x:f>Match_Data!C671</x:f>
        <x:v>0</x:v>
      </x:c>
      <x:c r="D671" t="n">
        <x:f>Match_Data!E671</x:f>
        <x:v>0</x:v>
      </x:c>
      <x:c r="E671" t="n">
        <x:f>Match_Data!F671</x:f>
        <x:v>0</x:v>
      </x:c>
      <x:c r="F671" t="n">
        <x:f>Match_Data!AC671</x:f>
        <x:v>0</x:v>
      </x:c>
      <x:c r="G671" t="str">
        <x:f>IF(OR(Match_Data!K671="",Match_Data!L671=""),"",AVERAGE(Match_Data!K671:L671))</x:f>
      </x:c>
      <x:c r="H671" t="str">
        <x:f>IF(OR(Match_Data!M671="",Match_Data!N671=""),"",AVERAGE(Match_Data!M671:N671))</x:f>
      </x:c>
      <x:c r="I671" t="str">
        <x:f>IF(OR(Match_Data!O671="",Match_Data!Q671=""),"",Match_Data!O671+Match_Data!Q671)</x:f>
      </x:c>
      <x:c r="J671" t="str">
        <x:f>IF(OR(Match_Data!P671="",Match_Data!R671=""),"",Match_Data!P671+Match_Data!R671)</x:f>
      </x:c>
      <x:c r="K671" t="str">
        <x:f>IF(OR(Match_Data!S671="",Match_Data!T671=""),"",Match_Data!S671+Match_Data!T671)</x:f>
      </x:c>
      <x:c r="L671" t="str">
        <x:f>IF(OR(Match_Data!U671="",Match_Data!V671=""),"",Match_Data!U671-Match_Data!V671)</x:f>
      </x:c>
      <x:c r="M671" s="32" t="str">
        <x:f>IF(Match_Data!Y671="","",1/Match_Data!Y671)</x:f>
      </x:c>
      <x:c r="N671" s="32" t="str">
        <x:f>IF(Match_Data!AA671="","",1/Match_Data!AA671)</x:f>
      </x:c>
      <x:c r="O671" s="32" t="str">
        <x:f>IF(OR(M671="",N671=""),"",N671-M671)</x:f>
      </x:c>
      <x:c r="P671" t="str">
        <x:f>IF(Match_Data!J671="","",IF(Match_Data!J671="OVER",1,0))</x:f>
      </x:c>
    </x:row>
    <x:row r="672">
      <x:c r="A672" t="n">
        <x:f>Match_Data!A672</x:f>
        <x:v>0</x:v>
      </x:c>
      <x:c r="B672" s="28" t="n">
        <x:f>Match_Data!B672</x:f>
        <x:v>0</x:v>
      </x:c>
      <x:c r="C672" t="n">
        <x:f>Match_Data!C672</x:f>
        <x:v>0</x:v>
      </x:c>
      <x:c r="D672" t="n">
        <x:f>Match_Data!E672</x:f>
        <x:v>0</x:v>
      </x:c>
      <x:c r="E672" t="n">
        <x:f>Match_Data!F672</x:f>
        <x:v>0</x:v>
      </x:c>
      <x:c r="F672" t="n">
        <x:f>Match_Data!AC672</x:f>
        <x:v>0</x:v>
      </x:c>
      <x:c r="G672" t="str">
        <x:f>IF(OR(Match_Data!K672="",Match_Data!L672=""),"",AVERAGE(Match_Data!K672:L672))</x:f>
      </x:c>
      <x:c r="H672" t="str">
        <x:f>IF(OR(Match_Data!M672="",Match_Data!N672=""),"",AVERAGE(Match_Data!M672:N672))</x:f>
      </x:c>
      <x:c r="I672" t="str">
        <x:f>IF(OR(Match_Data!O672="",Match_Data!Q672=""),"",Match_Data!O672+Match_Data!Q672)</x:f>
      </x:c>
      <x:c r="J672" t="str">
        <x:f>IF(OR(Match_Data!P672="",Match_Data!R672=""),"",Match_Data!P672+Match_Data!R672)</x:f>
      </x:c>
      <x:c r="K672" t="str">
        <x:f>IF(OR(Match_Data!S672="",Match_Data!T672=""),"",Match_Data!S672+Match_Data!T672)</x:f>
      </x:c>
      <x:c r="L672" t="str">
        <x:f>IF(OR(Match_Data!U672="",Match_Data!V672=""),"",Match_Data!U672-Match_Data!V672)</x:f>
      </x:c>
      <x:c r="M672" s="32" t="str">
        <x:f>IF(Match_Data!Y672="","",1/Match_Data!Y672)</x:f>
      </x:c>
      <x:c r="N672" s="32" t="str">
        <x:f>IF(Match_Data!AA672="","",1/Match_Data!AA672)</x:f>
      </x:c>
      <x:c r="O672" s="32" t="str">
        <x:f>IF(OR(M672="",N672=""),"",N672-M672)</x:f>
      </x:c>
      <x:c r="P672" t="str">
        <x:f>IF(Match_Data!J672="","",IF(Match_Data!J672="OVER",1,0))</x:f>
      </x:c>
    </x:row>
    <x:row r="673">
      <x:c r="A673" t="n">
        <x:f>Match_Data!A673</x:f>
        <x:v>0</x:v>
      </x:c>
      <x:c r="B673" s="28" t="n">
        <x:f>Match_Data!B673</x:f>
        <x:v>0</x:v>
      </x:c>
      <x:c r="C673" t="n">
        <x:f>Match_Data!C673</x:f>
        <x:v>0</x:v>
      </x:c>
      <x:c r="D673" t="n">
        <x:f>Match_Data!E673</x:f>
        <x:v>0</x:v>
      </x:c>
      <x:c r="E673" t="n">
        <x:f>Match_Data!F673</x:f>
        <x:v>0</x:v>
      </x:c>
      <x:c r="F673" t="n">
        <x:f>Match_Data!AC673</x:f>
        <x:v>0</x:v>
      </x:c>
      <x:c r="G673" t="str">
        <x:f>IF(OR(Match_Data!K673="",Match_Data!L673=""),"",AVERAGE(Match_Data!K673:L673))</x:f>
      </x:c>
      <x:c r="H673" t="str">
        <x:f>IF(OR(Match_Data!M673="",Match_Data!N673=""),"",AVERAGE(Match_Data!M673:N673))</x:f>
      </x:c>
      <x:c r="I673" t="str">
        <x:f>IF(OR(Match_Data!O673="",Match_Data!Q673=""),"",Match_Data!O673+Match_Data!Q673)</x:f>
      </x:c>
      <x:c r="J673" t="str">
        <x:f>IF(OR(Match_Data!P673="",Match_Data!R673=""),"",Match_Data!P673+Match_Data!R673)</x:f>
      </x:c>
      <x:c r="K673" t="str">
        <x:f>IF(OR(Match_Data!S673="",Match_Data!T673=""),"",Match_Data!S673+Match_Data!T673)</x:f>
      </x:c>
      <x:c r="L673" t="str">
        <x:f>IF(OR(Match_Data!U673="",Match_Data!V673=""),"",Match_Data!U673-Match_Data!V673)</x:f>
      </x:c>
      <x:c r="M673" s="32" t="str">
        <x:f>IF(Match_Data!Y673="","",1/Match_Data!Y673)</x:f>
      </x:c>
      <x:c r="N673" s="32" t="str">
        <x:f>IF(Match_Data!AA673="","",1/Match_Data!AA673)</x:f>
      </x:c>
      <x:c r="O673" s="32" t="str">
        <x:f>IF(OR(M673="",N673=""),"",N673-M673)</x:f>
      </x:c>
      <x:c r="P673" t="str">
        <x:f>IF(Match_Data!J673="","",IF(Match_Data!J673="OVER",1,0))</x:f>
      </x:c>
    </x:row>
    <x:row r="674">
      <x:c r="A674" t="n">
        <x:f>Match_Data!A674</x:f>
        <x:v>0</x:v>
      </x:c>
      <x:c r="B674" s="28" t="n">
        <x:f>Match_Data!B674</x:f>
        <x:v>0</x:v>
      </x:c>
      <x:c r="C674" t="n">
        <x:f>Match_Data!C674</x:f>
        <x:v>0</x:v>
      </x:c>
      <x:c r="D674" t="n">
        <x:f>Match_Data!E674</x:f>
        <x:v>0</x:v>
      </x:c>
      <x:c r="E674" t="n">
        <x:f>Match_Data!F674</x:f>
        <x:v>0</x:v>
      </x:c>
      <x:c r="F674" t="n">
        <x:f>Match_Data!AC674</x:f>
        <x:v>0</x:v>
      </x:c>
      <x:c r="G674" t="str">
        <x:f>IF(OR(Match_Data!K674="",Match_Data!L674=""),"",AVERAGE(Match_Data!K674:L674))</x:f>
      </x:c>
      <x:c r="H674" t="str">
        <x:f>IF(OR(Match_Data!M674="",Match_Data!N674=""),"",AVERAGE(Match_Data!M674:N674))</x:f>
      </x:c>
      <x:c r="I674" t="str">
        <x:f>IF(OR(Match_Data!O674="",Match_Data!Q674=""),"",Match_Data!O674+Match_Data!Q674)</x:f>
      </x:c>
      <x:c r="J674" t="str">
        <x:f>IF(OR(Match_Data!P674="",Match_Data!R674=""),"",Match_Data!P674+Match_Data!R674)</x:f>
      </x:c>
      <x:c r="K674" t="str">
        <x:f>IF(OR(Match_Data!S674="",Match_Data!T674=""),"",Match_Data!S674+Match_Data!T674)</x:f>
      </x:c>
      <x:c r="L674" t="str">
        <x:f>IF(OR(Match_Data!U674="",Match_Data!V674=""),"",Match_Data!U674-Match_Data!V674)</x:f>
      </x:c>
      <x:c r="M674" s="32" t="str">
        <x:f>IF(Match_Data!Y674="","",1/Match_Data!Y674)</x:f>
      </x:c>
      <x:c r="N674" s="32" t="str">
        <x:f>IF(Match_Data!AA674="","",1/Match_Data!AA674)</x:f>
      </x:c>
      <x:c r="O674" s="32" t="str">
        <x:f>IF(OR(M674="",N674=""),"",N674-M674)</x:f>
      </x:c>
      <x:c r="P674" t="str">
        <x:f>IF(Match_Data!J674="","",IF(Match_Data!J674="OVER",1,0))</x:f>
      </x:c>
    </x:row>
    <x:row r="675">
      <x:c r="A675" t="n">
        <x:f>Match_Data!A675</x:f>
        <x:v>0</x:v>
      </x:c>
      <x:c r="B675" s="28" t="n">
        <x:f>Match_Data!B675</x:f>
        <x:v>0</x:v>
      </x:c>
      <x:c r="C675" t="n">
        <x:f>Match_Data!C675</x:f>
        <x:v>0</x:v>
      </x:c>
      <x:c r="D675" t="n">
        <x:f>Match_Data!E675</x:f>
        <x:v>0</x:v>
      </x:c>
      <x:c r="E675" t="n">
        <x:f>Match_Data!F675</x:f>
        <x:v>0</x:v>
      </x:c>
      <x:c r="F675" t="n">
        <x:f>Match_Data!AC675</x:f>
        <x:v>0</x:v>
      </x:c>
      <x:c r="G675" t="str">
        <x:f>IF(OR(Match_Data!K675="",Match_Data!L675=""),"",AVERAGE(Match_Data!K675:L675))</x:f>
      </x:c>
      <x:c r="H675" t="str">
        <x:f>IF(OR(Match_Data!M675="",Match_Data!N675=""),"",AVERAGE(Match_Data!M675:N675))</x:f>
      </x:c>
      <x:c r="I675" t="str">
        <x:f>IF(OR(Match_Data!O675="",Match_Data!Q675=""),"",Match_Data!O675+Match_Data!Q675)</x:f>
      </x:c>
      <x:c r="J675" t="str">
        <x:f>IF(OR(Match_Data!P675="",Match_Data!R675=""),"",Match_Data!P675+Match_Data!R675)</x:f>
      </x:c>
      <x:c r="K675" t="str">
        <x:f>IF(OR(Match_Data!S675="",Match_Data!T675=""),"",Match_Data!S675+Match_Data!T675)</x:f>
      </x:c>
      <x:c r="L675" t="str">
        <x:f>IF(OR(Match_Data!U675="",Match_Data!V675=""),"",Match_Data!U675-Match_Data!V675)</x:f>
      </x:c>
      <x:c r="M675" s="32" t="str">
        <x:f>IF(Match_Data!Y675="","",1/Match_Data!Y675)</x:f>
      </x:c>
      <x:c r="N675" s="32" t="str">
        <x:f>IF(Match_Data!AA675="","",1/Match_Data!AA675)</x:f>
      </x:c>
      <x:c r="O675" s="32" t="str">
        <x:f>IF(OR(M675="",N675=""),"",N675-M675)</x:f>
      </x:c>
      <x:c r="P675" t="str">
        <x:f>IF(Match_Data!J675="","",IF(Match_Data!J675="OVER",1,0))</x:f>
      </x:c>
    </x:row>
    <x:row r="676">
      <x:c r="A676" t="n">
        <x:f>Match_Data!A676</x:f>
        <x:v>0</x:v>
      </x:c>
      <x:c r="B676" s="28" t="n">
        <x:f>Match_Data!B676</x:f>
        <x:v>0</x:v>
      </x:c>
      <x:c r="C676" t="n">
        <x:f>Match_Data!C676</x:f>
        <x:v>0</x:v>
      </x:c>
      <x:c r="D676" t="n">
        <x:f>Match_Data!E676</x:f>
        <x:v>0</x:v>
      </x:c>
      <x:c r="E676" t="n">
        <x:f>Match_Data!F676</x:f>
        <x:v>0</x:v>
      </x:c>
      <x:c r="F676" t="n">
        <x:f>Match_Data!AC676</x:f>
        <x:v>0</x:v>
      </x:c>
      <x:c r="G676" t="str">
        <x:f>IF(OR(Match_Data!K676="",Match_Data!L676=""),"",AVERAGE(Match_Data!K676:L676))</x:f>
      </x:c>
      <x:c r="H676" t="str">
        <x:f>IF(OR(Match_Data!M676="",Match_Data!N676=""),"",AVERAGE(Match_Data!M676:N676))</x:f>
      </x:c>
      <x:c r="I676" t="str">
        <x:f>IF(OR(Match_Data!O676="",Match_Data!Q676=""),"",Match_Data!O676+Match_Data!Q676)</x:f>
      </x:c>
      <x:c r="J676" t="str">
        <x:f>IF(OR(Match_Data!P676="",Match_Data!R676=""),"",Match_Data!P676+Match_Data!R676)</x:f>
      </x:c>
      <x:c r="K676" t="str">
        <x:f>IF(OR(Match_Data!S676="",Match_Data!T676=""),"",Match_Data!S676+Match_Data!T676)</x:f>
      </x:c>
      <x:c r="L676" t="str">
        <x:f>IF(OR(Match_Data!U676="",Match_Data!V676=""),"",Match_Data!U676-Match_Data!V676)</x:f>
      </x:c>
      <x:c r="M676" s="32" t="str">
        <x:f>IF(Match_Data!Y676="","",1/Match_Data!Y676)</x:f>
      </x:c>
      <x:c r="N676" s="32" t="str">
        <x:f>IF(Match_Data!AA676="","",1/Match_Data!AA676)</x:f>
      </x:c>
      <x:c r="O676" s="32" t="str">
        <x:f>IF(OR(M676="",N676=""),"",N676-M676)</x:f>
      </x:c>
      <x:c r="P676" t="str">
        <x:f>IF(Match_Data!J676="","",IF(Match_Data!J676="OVER",1,0))</x:f>
      </x:c>
    </x:row>
    <x:row r="677">
      <x:c r="A677" t="n">
        <x:f>Match_Data!A677</x:f>
        <x:v>0</x:v>
      </x:c>
      <x:c r="B677" s="28" t="n">
        <x:f>Match_Data!B677</x:f>
        <x:v>0</x:v>
      </x:c>
      <x:c r="C677" t="n">
        <x:f>Match_Data!C677</x:f>
        <x:v>0</x:v>
      </x:c>
      <x:c r="D677" t="n">
        <x:f>Match_Data!E677</x:f>
        <x:v>0</x:v>
      </x:c>
      <x:c r="E677" t="n">
        <x:f>Match_Data!F677</x:f>
        <x:v>0</x:v>
      </x:c>
      <x:c r="F677" t="n">
        <x:f>Match_Data!AC677</x:f>
        <x:v>0</x:v>
      </x:c>
      <x:c r="G677" t="str">
        <x:f>IF(OR(Match_Data!K677="",Match_Data!L677=""),"",AVERAGE(Match_Data!K677:L677))</x:f>
      </x:c>
      <x:c r="H677" t="str">
        <x:f>IF(OR(Match_Data!M677="",Match_Data!N677=""),"",AVERAGE(Match_Data!M677:N677))</x:f>
      </x:c>
      <x:c r="I677" t="str">
        <x:f>IF(OR(Match_Data!O677="",Match_Data!Q677=""),"",Match_Data!O677+Match_Data!Q677)</x:f>
      </x:c>
      <x:c r="J677" t="str">
        <x:f>IF(OR(Match_Data!P677="",Match_Data!R677=""),"",Match_Data!P677+Match_Data!R677)</x:f>
      </x:c>
      <x:c r="K677" t="str">
        <x:f>IF(OR(Match_Data!S677="",Match_Data!T677=""),"",Match_Data!S677+Match_Data!T677)</x:f>
      </x:c>
      <x:c r="L677" t="str">
        <x:f>IF(OR(Match_Data!U677="",Match_Data!V677=""),"",Match_Data!U677-Match_Data!V677)</x:f>
      </x:c>
      <x:c r="M677" s="32" t="str">
        <x:f>IF(Match_Data!Y677="","",1/Match_Data!Y677)</x:f>
      </x:c>
      <x:c r="N677" s="32" t="str">
        <x:f>IF(Match_Data!AA677="","",1/Match_Data!AA677)</x:f>
      </x:c>
      <x:c r="O677" s="32" t="str">
        <x:f>IF(OR(M677="",N677=""),"",N677-M677)</x:f>
      </x:c>
      <x:c r="P677" t="str">
        <x:f>IF(Match_Data!J677="","",IF(Match_Data!J677="OVER",1,0))</x:f>
      </x:c>
    </x:row>
    <x:row r="678">
      <x:c r="A678" t="n">
        <x:f>Match_Data!A678</x:f>
        <x:v>0</x:v>
      </x:c>
      <x:c r="B678" s="28" t="n">
        <x:f>Match_Data!B678</x:f>
        <x:v>0</x:v>
      </x:c>
      <x:c r="C678" t="n">
        <x:f>Match_Data!C678</x:f>
        <x:v>0</x:v>
      </x:c>
      <x:c r="D678" t="n">
        <x:f>Match_Data!E678</x:f>
        <x:v>0</x:v>
      </x:c>
      <x:c r="E678" t="n">
        <x:f>Match_Data!F678</x:f>
        <x:v>0</x:v>
      </x:c>
      <x:c r="F678" t="n">
        <x:f>Match_Data!AC678</x:f>
        <x:v>0</x:v>
      </x:c>
      <x:c r="G678" t="str">
        <x:f>IF(OR(Match_Data!K678="",Match_Data!L678=""),"",AVERAGE(Match_Data!K678:L678))</x:f>
      </x:c>
      <x:c r="H678" t="str">
        <x:f>IF(OR(Match_Data!M678="",Match_Data!N678=""),"",AVERAGE(Match_Data!M678:N678))</x:f>
      </x:c>
      <x:c r="I678" t="str">
        <x:f>IF(OR(Match_Data!O678="",Match_Data!Q678=""),"",Match_Data!O678+Match_Data!Q678)</x:f>
      </x:c>
      <x:c r="J678" t="str">
        <x:f>IF(OR(Match_Data!P678="",Match_Data!R678=""),"",Match_Data!P678+Match_Data!R678)</x:f>
      </x:c>
      <x:c r="K678" t="str">
        <x:f>IF(OR(Match_Data!S678="",Match_Data!T678=""),"",Match_Data!S678+Match_Data!T678)</x:f>
      </x:c>
      <x:c r="L678" t="str">
        <x:f>IF(OR(Match_Data!U678="",Match_Data!V678=""),"",Match_Data!U678-Match_Data!V678)</x:f>
      </x:c>
      <x:c r="M678" s="32" t="str">
        <x:f>IF(Match_Data!Y678="","",1/Match_Data!Y678)</x:f>
      </x:c>
      <x:c r="N678" s="32" t="str">
        <x:f>IF(Match_Data!AA678="","",1/Match_Data!AA678)</x:f>
      </x:c>
      <x:c r="O678" s="32" t="str">
        <x:f>IF(OR(M678="",N678=""),"",N678-M678)</x:f>
      </x:c>
      <x:c r="P678" t="str">
        <x:f>IF(Match_Data!J678="","",IF(Match_Data!J678="OVER",1,0))</x:f>
      </x:c>
    </x:row>
    <x:row r="679">
      <x:c r="A679" t="n">
        <x:f>Match_Data!A679</x:f>
        <x:v>0</x:v>
      </x:c>
      <x:c r="B679" s="28" t="n">
        <x:f>Match_Data!B679</x:f>
        <x:v>0</x:v>
      </x:c>
      <x:c r="C679" t="n">
        <x:f>Match_Data!C679</x:f>
        <x:v>0</x:v>
      </x:c>
      <x:c r="D679" t="n">
        <x:f>Match_Data!E679</x:f>
        <x:v>0</x:v>
      </x:c>
      <x:c r="E679" t="n">
        <x:f>Match_Data!F679</x:f>
        <x:v>0</x:v>
      </x:c>
      <x:c r="F679" t="n">
        <x:f>Match_Data!AC679</x:f>
        <x:v>0</x:v>
      </x:c>
      <x:c r="G679" t="str">
        <x:f>IF(OR(Match_Data!K679="",Match_Data!L679=""),"",AVERAGE(Match_Data!K679:L679))</x:f>
      </x:c>
      <x:c r="H679" t="str">
        <x:f>IF(OR(Match_Data!M679="",Match_Data!N679=""),"",AVERAGE(Match_Data!M679:N679))</x:f>
      </x:c>
      <x:c r="I679" t="str">
        <x:f>IF(OR(Match_Data!O679="",Match_Data!Q679=""),"",Match_Data!O679+Match_Data!Q679)</x:f>
      </x:c>
      <x:c r="J679" t="str">
        <x:f>IF(OR(Match_Data!P679="",Match_Data!R679=""),"",Match_Data!P679+Match_Data!R679)</x:f>
      </x:c>
      <x:c r="K679" t="str">
        <x:f>IF(OR(Match_Data!S679="",Match_Data!T679=""),"",Match_Data!S679+Match_Data!T679)</x:f>
      </x:c>
      <x:c r="L679" t="str">
        <x:f>IF(OR(Match_Data!U679="",Match_Data!V679=""),"",Match_Data!U679-Match_Data!V679)</x:f>
      </x:c>
      <x:c r="M679" s="32" t="str">
        <x:f>IF(Match_Data!Y679="","",1/Match_Data!Y679)</x:f>
      </x:c>
      <x:c r="N679" s="32" t="str">
        <x:f>IF(Match_Data!AA679="","",1/Match_Data!AA679)</x:f>
      </x:c>
      <x:c r="O679" s="32" t="str">
        <x:f>IF(OR(M679="",N679=""),"",N679-M679)</x:f>
      </x:c>
      <x:c r="P679" t="str">
        <x:f>IF(Match_Data!J679="","",IF(Match_Data!J679="OVER",1,0))</x:f>
      </x:c>
    </x:row>
    <x:row r="680">
      <x:c r="A680" t="n">
        <x:f>Match_Data!A680</x:f>
        <x:v>0</x:v>
      </x:c>
      <x:c r="B680" s="28" t="n">
        <x:f>Match_Data!B680</x:f>
        <x:v>0</x:v>
      </x:c>
      <x:c r="C680" t="n">
        <x:f>Match_Data!C680</x:f>
        <x:v>0</x:v>
      </x:c>
      <x:c r="D680" t="n">
        <x:f>Match_Data!E680</x:f>
        <x:v>0</x:v>
      </x:c>
      <x:c r="E680" t="n">
        <x:f>Match_Data!F680</x:f>
        <x:v>0</x:v>
      </x:c>
      <x:c r="F680" t="n">
        <x:f>Match_Data!AC680</x:f>
        <x:v>0</x:v>
      </x:c>
      <x:c r="G680" t="str">
        <x:f>IF(OR(Match_Data!K680="",Match_Data!L680=""),"",AVERAGE(Match_Data!K680:L680))</x:f>
      </x:c>
      <x:c r="H680" t="str">
        <x:f>IF(OR(Match_Data!M680="",Match_Data!N680=""),"",AVERAGE(Match_Data!M680:N680))</x:f>
      </x:c>
      <x:c r="I680" t="str">
        <x:f>IF(OR(Match_Data!O680="",Match_Data!Q680=""),"",Match_Data!O680+Match_Data!Q680)</x:f>
      </x:c>
      <x:c r="J680" t="str">
        <x:f>IF(OR(Match_Data!P680="",Match_Data!R680=""),"",Match_Data!P680+Match_Data!R680)</x:f>
      </x:c>
      <x:c r="K680" t="str">
        <x:f>IF(OR(Match_Data!S680="",Match_Data!T680=""),"",Match_Data!S680+Match_Data!T680)</x:f>
      </x:c>
      <x:c r="L680" t="str">
        <x:f>IF(OR(Match_Data!U680="",Match_Data!V680=""),"",Match_Data!U680-Match_Data!V680)</x:f>
      </x:c>
      <x:c r="M680" s="32" t="str">
        <x:f>IF(Match_Data!Y680="","",1/Match_Data!Y680)</x:f>
      </x:c>
      <x:c r="N680" s="32" t="str">
        <x:f>IF(Match_Data!AA680="","",1/Match_Data!AA680)</x:f>
      </x:c>
      <x:c r="O680" s="32" t="str">
        <x:f>IF(OR(M680="",N680=""),"",N680-M680)</x:f>
      </x:c>
      <x:c r="P680" t="str">
        <x:f>IF(Match_Data!J680="","",IF(Match_Data!J680="OVER",1,0))</x:f>
      </x:c>
    </x:row>
    <x:row r="681">
      <x:c r="A681" t="n">
        <x:f>Match_Data!A681</x:f>
        <x:v>0</x:v>
      </x:c>
      <x:c r="B681" s="28" t="n">
        <x:f>Match_Data!B681</x:f>
        <x:v>0</x:v>
      </x:c>
      <x:c r="C681" t="n">
        <x:f>Match_Data!C681</x:f>
        <x:v>0</x:v>
      </x:c>
      <x:c r="D681" t="n">
        <x:f>Match_Data!E681</x:f>
        <x:v>0</x:v>
      </x:c>
      <x:c r="E681" t="n">
        <x:f>Match_Data!F681</x:f>
        <x:v>0</x:v>
      </x:c>
      <x:c r="F681" t="n">
        <x:f>Match_Data!AC681</x:f>
        <x:v>0</x:v>
      </x:c>
      <x:c r="G681" t="str">
        <x:f>IF(OR(Match_Data!K681="",Match_Data!L681=""),"",AVERAGE(Match_Data!K681:L681))</x:f>
      </x:c>
      <x:c r="H681" t="str">
        <x:f>IF(OR(Match_Data!M681="",Match_Data!N681=""),"",AVERAGE(Match_Data!M681:N681))</x:f>
      </x:c>
      <x:c r="I681" t="str">
        <x:f>IF(OR(Match_Data!O681="",Match_Data!Q681=""),"",Match_Data!O681+Match_Data!Q681)</x:f>
      </x:c>
      <x:c r="J681" t="str">
        <x:f>IF(OR(Match_Data!P681="",Match_Data!R681=""),"",Match_Data!P681+Match_Data!R681)</x:f>
      </x:c>
      <x:c r="K681" t="str">
        <x:f>IF(OR(Match_Data!S681="",Match_Data!T681=""),"",Match_Data!S681+Match_Data!T681)</x:f>
      </x:c>
      <x:c r="L681" t="str">
        <x:f>IF(OR(Match_Data!U681="",Match_Data!V681=""),"",Match_Data!U681-Match_Data!V681)</x:f>
      </x:c>
      <x:c r="M681" s="32" t="str">
        <x:f>IF(Match_Data!Y681="","",1/Match_Data!Y681)</x:f>
      </x:c>
      <x:c r="N681" s="32" t="str">
        <x:f>IF(Match_Data!AA681="","",1/Match_Data!AA681)</x:f>
      </x:c>
      <x:c r="O681" s="32" t="str">
        <x:f>IF(OR(M681="",N681=""),"",N681-M681)</x:f>
      </x:c>
      <x:c r="P681" t="str">
        <x:f>IF(Match_Data!J681="","",IF(Match_Data!J681="OVER",1,0))</x:f>
      </x:c>
    </x:row>
    <x:row r="682">
      <x:c r="A682" t="n">
        <x:f>Match_Data!A682</x:f>
        <x:v>0</x:v>
      </x:c>
      <x:c r="B682" s="28" t="n">
        <x:f>Match_Data!B682</x:f>
        <x:v>0</x:v>
      </x:c>
      <x:c r="C682" t="n">
        <x:f>Match_Data!C682</x:f>
        <x:v>0</x:v>
      </x:c>
      <x:c r="D682" t="n">
        <x:f>Match_Data!E682</x:f>
        <x:v>0</x:v>
      </x:c>
      <x:c r="E682" t="n">
        <x:f>Match_Data!F682</x:f>
        <x:v>0</x:v>
      </x:c>
      <x:c r="F682" t="n">
        <x:f>Match_Data!AC682</x:f>
        <x:v>0</x:v>
      </x:c>
      <x:c r="G682" t="str">
        <x:f>IF(OR(Match_Data!K682="",Match_Data!L682=""),"",AVERAGE(Match_Data!K682:L682))</x:f>
      </x:c>
      <x:c r="H682" t="str">
        <x:f>IF(OR(Match_Data!M682="",Match_Data!N682=""),"",AVERAGE(Match_Data!M682:N682))</x:f>
      </x:c>
      <x:c r="I682" t="str">
        <x:f>IF(OR(Match_Data!O682="",Match_Data!Q682=""),"",Match_Data!O682+Match_Data!Q682)</x:f>
      </x:c>
      <x:c r="J682" t="str">
        <x:f>IF(OR(Match_Data!P682="",Match_Data!R682=""),"",Match_Data!P682+Match_Data!R682)</x:f>
      </x:c>
      <x:c r="K682" t="str">
        <x:f>IF(OR(Match_Data!S682="",Match_Data!T682=""),"",Match_Data!S682+Match_Data!T682)</x:f>
      </x:c>
      <x:c r="L682" t="str">
        <x:f>IF(OR(Match_Data!U682="",Match_Data!V682=""),"",Match_Data!U682-Match_Data!V682)</x:f>
      </x:c>
      <x:c r="M682" s="32" t="str">
        <x:f>IF(Match_Data!Y682="","",1/Match_Data!Y682)</x:f>
      </x:c>
      <x:c r="N682" s="32" t="str">
        <x:f>IF(Match_Data!AA682="","",1/Match_Data!AA682)</x:f>
      </x:c>
      <x:c r="O682" s="32" t="str">
        <x:f>IF(OR(M682="",N682=""),"",N682-M682)</x:f>
      </x:c>
      <x:c r="P682" t="str">
        <x:f>IF(Match_Data!J682="","",IF(Match_Data!J682="OVER",1,0))</x:f>
      </x:c>
    </x:row>
    <x:row r="683">
      <x:c r="A683" t="n">
        <x:f>Match_Data!A683</x:f>
        <x:v>0</x:v>
      </x:c>
      <x:c r="B683" s="28" t="n">
        <x:f>Match_Data!B683</x:f>
        <x:v>0</x:v>
      </x:c>
      <x:c r="C683" t="n">
        <x:f>Match_Data!C683</x:f>
        <x:v>0</x:v>
      </x:c>
      <x:c r="D683" t="n">
        <x:f>Match_Data!E683</x:f>
        <x:v>0</x:v>
      </x:c>
      <x:c r="E683" t="n">
        <x:f>Match_Data!F683</x:f>
        <x:v>0</x:v>
      </x:c>
      <x:c r="F683" t="n">
        <x:f>Match_Data!AC683</x:f>
        <x:v>0</x:v>
      </x:c>
      <x:c r="G683" t="str">
        <x:f>IF(OR(Match_Data!K683="",Match_Data!L683=""),"",AVERAGE(Match_Data!K683:L683))</x:f>
      </x:c>
      <x:c r="H683" t="str">
        <x:f>IF(OR(Match_Data!M683="",Match_Data!N683=""),"",AVERAGE(Match_Data!M683:N683))</x:f>
      </x:c>
      <x:c r="I683" t="str">
        <x:f>IF(OR(Match_Data!O683="",Match_Data!Q683=""),"",Match_Data!O683+Match_Data!Q683)</x:f>
      </x:c>
      <x:c r="J683" t="str">
        <x:f>IF(OR(Match_Data!P683="",Match_Data!R683=""),"",Match_Data!P683+Match_Data!R683)</x:f>
      </x:c>
      <x:c r="K683" t="str">
        <x:f>IF(OR(Match_Data!S683="",Match_Data!T683=""),"",Match_Data!S683+Match_Data!T683)</x:f>
      </x:c>
      <x:c r="L683" t="str">
        <x:f>IF(OR(Match_Data!U683="",Match_Data!V683=""),"",Match_Data!U683-Match_Data!V683)</x:f>
      </x:c>
      <x:c r="M683" s="32" t="str">
        <x:f>IF(Match_Data!Y683="","",1/Match_Data!Y683)</x:f>
      </x:c>
      <x:c r="N683" s="32" t="str">
        <x:f>IF(Match_Data!AA683="","",1/Match_Data!AA683)</x:f>
      </x:c>
      <x:c r="O683" s="32" t="str">
        <x:f>IF(OR(M683="",N683=""),"",N683-M683)</x:f>
      </x:c>
      <x:c r="P683" t="str">
        <x:f>IF(Match_Data!J683="","",IF(Match_Data!J683="OVER",1,0))</x:f>
      </x:c>
    </x:row>
    <x:row r="684">
      <x:c r="A684" t="n">
        <x:f>Match_Data!A684</x:f>
        <x:v>0</x:v>
      </x:c>
      <x:c r="B684" s="28" t="n">
        <x:f>Match_Data!B684</x:f>
        <x:v>0</x:v>
      </x:c>
      <x:c r="C684" t="n">
        <x:f>Match_Data!C684</x:f>
        <x:v>0</x:v>
      </x:c>
      <x:c r="D684" t="n">
        <x:f>Match_Data!E684</x:f>
        <x:v>0</x:v>
      </x:c>
      <x:c r="E684" t="n">
        <x:f>Match_Data!F684</x:f>
        <x:v>0</x:v>
      </x:c>
      <x:c r="F684" t="n">
        <x:f>Match_Data!AC684</x:f>
        <x:v>0</x:v>
      </x:c>
      <x:c r="G684" t="str">
        <x:f>IF(OR(Match_Data!K684="",Match_Data!L684=""),"",AVERAGE(Match_Data!K684:L684))</x:f>
      </x:c>
      <x:c r="H684" t="str">
        <x:f>IF(OR(Match_Data!M684="",Match_Data!N684=""),"",AVERAGE(Match_Data!M684:N684))</x:f>
      </x:c>
      <x:c r="I684" t="str">
        <x:f>IF(OR(Match_Data!O684="",Match_Data!Q684=""),"",Match_Data!O684+Match_Data!Q684)</x:f>
      </x:c>
      <x:c r="J684" t="str">
        <x:f>IF(OR(Match_Data!P684="",Match_Data!R684=""),"",Match_Data!P684+Match_Data!R684)</x:f>
      </x:c>
      <x:c r="K684" t="str">
        <x:f>IF(OR(Match_Data!S684="",Match_Data!T684=""),"",Match_Data!S684+Match_Data!T684)</x:f>
      </x:c>
      <x:c r="L684" t="str">
        <x:f>IF(OR(Match_Data!U684="",Match_Data!V684=""),"",Match_Data!U684-Match_Data!V684)</x:f>
      </x:c>
      <x:c r="M684" s="32" t="str">
        <x:f>IF(Match_Data!Y684="","",1/Match_Data!Y684)</x:f>
      </x:c>
      <x:c r="N684" s="32" t="str">
        <x:f>IF(Match_Data!AA684="","",1/Match_Data!AA684)</x:f>
      </x:c>
      <x:c r="O684" s="32" t="str">
        <x:f>IF(OR(M684="",N684=""),"",N684-M684)</x:f>
      </x:c>
      <x:c r="P684" t="str">
        <x:f>IF(Match_Data!J684="","",IF(Match_Data!J684="OVER",1,0))</x:f>
      </x:c>
    </x:row>
    <x:row r="685">
      <x:c r="A685" t="n">
        <x:f>Match_Data!A685</x:f>
        <x:v>0</x:v>
      </x:c>
      <x:c r="B685" s="28" t="n">
        <x:f>Match_Data!B685</x:f>
        <x:v>0</x:v>
      </x:c>
      <x:c r="C685" t="n">
        <x:f>Match_Data!C685</x:f>
        <x:v>0</x:v>
      </x:c>
      <x:c r="D685" t="n">
        <x:f>Match_Data!E685</x:f>
        <x:v>0</x:v>
      </x:c>
      <x:c r="E685" t="n">
        <x:f>Match_Data!F685</x:f>
        <x:v>0</x:v>
      </x:c>
      <x:c r="F685" t="n">
        <x:f>Match_Data!AC685</x:f>
        <x:v>0</x:v>
      </x:c>
      <x:c r="G685" t="str">
        <x:f>IF(OR(Match_Data!K685="",Match_Data!L685=""),"",AVERAGE(Match_Data!K685:L685))</x:f>
      </x:c>
      <x:c r="H685" t="str">
        <x:f>IF(OR(Match_Data!M685="",Match_Data!N685=""),"",AVERAGE(Match_Data!M685:N685))</x:f>
      </x:c>
      <x:c r="I685" t="str">
        <x:f>IF(OR(Match_Data!O685="",Match_Data!Q685=""),"",Match_Data!O685+Match_Data!Q685)</x:f>
      </x:c>
      <x:c r="J685" t="str">
        <x:f>IF(OR(Match_Data!P685="",Match_Data!R685=""),"",Match_Data!P685+Match_Data!R685)</x:f>
      </x:c>
      <x:c r="K685" t="str">
        <x:f>IF(OR(Match_Data!S685="",Match_Data!T685=""),"",Match_Data!S685+Match_Data!T685)</x:f>
      </x:c>
      <x:c r="L685" t="str">
        <x:f>IF(OR(Match_Data!U685="",Match_Data!V685=""),"",Match_Data!U685-Match_Data!V685)</x:f>
      </x:c>
      <x:c r="M685" s="32" t="str">
        <x:f>IF(Match_Data!Y685="","",1/Match_Data!Y685)</x:f>
      </x:c>
      <x:c r="N685" s="32" t="str">
        <x:f>IF(Match_Data!AA685="","",1/Match_Data!AA685)</x:f>
      </x:c>
      <x:c r="O685" s="32" t="str">
        <x:f>IF(OR(M685="",N685=""),"",N685-M685)</x:f>
      </x:c>
      <x:c r="P685" t="str">
        <x:f>IF(Match_Data!J685="","",IF(Match_Data!J685="OVER",1,0))</x:f>
      </x:c>
    </x:row>
    <x:row r="686">
      <x:c r="A686" t="n">
        <x:f>Match_Data!A686</x:f>
        <x:v>0</x:v>
      </x:c>
      <x:c r="B686" s="28" t="n">
        <x:f>Match_Data!B686</x:f>
        <x:v>0</x:v>
      </x:c>
      <x:c r="C686" t="n">
        <x:f>Match_Data!C686</x:f>
        <x:v>0</x:v>
      </x:c>
      <x:c r="D686" t="n">
        <x:f>Match_Data!E686</x:f>
        <x:v>0</x:v>
      </x:c>
      <x:c r="E686" t="n">
        <x:f>Match_Data!F686</x:f>
        <x:v>0</x:v>
      </x:c>
      <x:c r="F686" t="n">
        <x:f>Match_Data!AC686</x:f>
        <x:v>0</x:v>
      </x:c>
      <x:c r="G686" t="str">
        <x:f>IF(OR(Match_Data!K686="",Match_Data!L686=""),"",AVERAGE(Match_Data!K686:L686))</x:f>
      </x:c>
      <x:c r="H686" t="str">
        <x:f>IF(OR(Match_Data!M686="",Match_Data!N686=""),"",AVERAGE(Match_Data!M686:N686))</x:f>
      </x:c>
      <x:c r="I686" t="str">
        <x:f>IF(OR(Match_Data!O686="",Match_Data!Q686=""),"",Match_Data!O686+Match_Data!Q686)</x:f>
      </x:c>
      <x:c r="J686" t="str">
        <x:f>IF(OR(Match_Data!P686="",Match_Data!R686=""),"",Match_Data!P686+Match_Data!R686)</x:f>
      </x:c>
      <x:c r="K686" t="str">
        <x:f>IF(OR(Match_Data!S686="",Match_Data!T686=""),"",Match_Data!S686+Match_Data!T686)</x:f>
      </x:c>
      <x:c r="L686" t="str">
        <x:f>IF(OR(Match_Data!U686="",Match_Data!V686=""),"",Match_Data!U686-Match_Data!V686)</x:f>
      </x:c>
      <x:c r="M686" s="32" t="str">
        <x:f>IF(Match_Data!Y686="","",1/Match_Data!Y686)</x:f>
      </x:c>
      <x:c r="N686" s="32" t="str">
        <x:f>IF(Match_Data!AA686="","",1/Match_Data!AA686)</x:f>
      </x:c>
      <x:c r="O686" s="32" t="str">
        <x:f>IF(OR(M686="",N686=""),"",N686-M686)</x:f>
      </x:c>
      <x:c r="P686" t="str">
        <x:f>IF(Match_Data!J686="","",IF(Match_Data!J686="OVER",1,0))</x:f>
      </x:c>
    </x:row>
    <x:row r="687">
      <x:c r="A687" t="n">
        <x:f>Match_Data!A687</x:f>
        <x:v>0</x:v>
      </x:c>
      <x:c r="B687" s="28" t="n">
        <x:f>Match_Data!B687</x:f>
        <x:v>0</x:v>
      </x:c>
      <x:c r="C687" t="n">
        <x:f>Match_Data!C687</x:f>
        <x:v>0</x:v>
      </x:c>
      <x:c r="D687" t="n">
        <x:f>Match_Data!E687</x:f>
        <x:v>0</x:v>
      </x:c>
      <x:c r="E687" t="n">
        <x:f>Match_Data!F687</x:f>
        <x:v>0</x:v>
      </x:c>
      <x:c r="F687" t="n">
        <x:f>Match_Data!AC687</x:f>
        <x:v>0</x:v>
      </x:c>
      <x:c r="G687" t="str">
        <x:f>IF(OR(Match_Data!K687="",Match_Data!L687=""),"",AVERAGE(Match_Data!K687:L687))</x:f>
      </x:c>
      <x:c r="H687" t="str">
        <x:f>IF(OR(Match_Data!M687="",Match_Data!N687=""),"",AVERAGE(Match_Data!M687:N687))</x:f>
      </x:c>
      <x:c r="I687" t="str">
        <x:f>IF(OR(Match_Data!O687="",Match_Data!Q687=""),"",Match_Data!O687+Match_Data!Q687)</x:f>
      </x:c>
      <x:c r="J687" t="str">
        <x:f>IF(OR(Match_Data!P687="",Match_Data!R687=""),"",Match_Data!P687+Match_Data!R687)</x:f>
      </x:c>
      <x:c r="K687" t="str">
        <x:f>IF(OR(Match_Data!S687="",Match_Data!T687=""),"",Match_Data!S687+Match_Data!T687)</x:f>
      </x:c>
      <x:c r="L687" t="str">
        <x:f>IF(OR(Match_Data!U687="",Match_Data!V687=""),"",Match_Data!U687-Match_Data!V687)</x:f>
      </x:c>
      <x:c r="M687" s="32" t="str">
        <x:f>IF(Match_Data!Y687="","",1/Match_Data!Y687)</x:f>
      </x:c>
      <x:c r="N687" s="32" t="str">
        <x:f>IF(Match_Data!AA687="","",1/Match_Data!AA687)</x:f>
      </x:c>
      <x:c r="O687" s="32" t="str">
        <x:f>IF(OR(M687="",N687=""),"",N687-M687)</x:f>
      </x:c>
      <x:c r="P687" t="str">
        <x:f>IF(Match_Data!J687="","",IF(Match_Data!J687="OVER",1,0))</x:f>
      </x:c>
    </x:row>
    <x:row r="688">
      <x:c r="A688" t="n">
        <x:f>Match_Data!A688</x:f>
        <x:v>0</x:v>
      </x:c>
      <x:c r="B688" s="28" t="n">
        <x:f>Match_Data!B688</x:f>
        <x:v>0</x:v>
      </x:c>
      <x:c r="C688" t="n">
        <x:f>Match_Data!C688</x:f>
        <x:v>0</x:v>
      </x:c>
      <x:c r="D688" t="n">
        <x:f>Match_Data!E688</x:f>
        <x:v>0</x:v>
      </x:c>
      <x:c r="E688" t="n">
        <x:f>Match_Data!F688</x:f>
        <x:v>0</x:v>
      </x:c>
      <x:c r="F688" t="n">
        <x:f>Match_Data!AC688</x:f>
        <x:v>0</x:v>
      </x:c>
      <x:c r="G688" t="str">
        <x:f>IF(OR(Match_Data!K688="",Match_Data!L688=""),"",AVERAGE(Match_Data!K688:L688))</x:f>
      </x:c>
      <x:c r="H688" t="str">
        <x:f>IF(OR(Match_Data!M688="",Match_Data!N688=""),"",AVERAGE(Match_Data!M688:N688))</x:f>
      </x:c>
      <x:c r="I688" t="str">
        <x:f>IF(OR(Match_Data!O688="",Match_Data!Q688=""),"",Match_Data!O688+Match_Data!Q688)</x:f>
      </x:c>
      <x:c r="J688" t="str">
        <x:f>IF(OR(Match_Data!P688="",Match_Data!R688=""),"",Match_Data!P688+Match_Data!R688)</x:f>
      </x:c>
      <x:c r="K688" t="str">
        <x:f>IF(OR(Match_Data!S688="",Match_Data!T688=""),"",Match_Data!S688+Match_Data!T688)</x:f>
      </x:c>
      <x:c r="L688" t="str">
        <x:f>IF(OR(Match_Data!U688="",Match_Data!V688=""),"",Match_Data!U688-Match_Data!V688)</x:f>
      </x:c>
      <x:c r="M688" s="32" t="str">
        <x:f>IF(Match_Data!Y688="","",1/Match_Data!Y688)</x:f>
      </x:c>
      <x:c r="N688" s="32" t="str">
        <x:f>IF(Match_Data!AA688="","",1/Match_Data!AA688)</x:f>
      </x:c>
      <x:c r="O688" s="32" t="str">
        <x:f>IF(OR(M688="",N688=""),"",N688-M688)</x:f>
      </x:c>
      <x:c r="P688" t="str">
        <x:f>IF(Match_Data!J688="","",IF(Match_Data!J688="OVER",1,0))</x:f>
      </x:c>
    </x:row>
    <x:row r="689">
      <x:c r="A689" t="n">
        <x:f>Match_Data!A689</x:f>
        <x:v>0</x:v>
      </x:c>
      <x:c r="B689" s="28" t="n">
        <x:f>Match_Data!B689</x:f>
        <x:v>0</x:v>
      </x:c>
      <x:c r="C689" t="n">
        <x:f>Match_Data!C689</x:f>
        <x:v>0</x:v>
      </x:c>
      <x:c r="D689" t="n">
        <x:f>Match_Data!E689</x:f>
        <x:v>0</x:v>
      </x:c>
      <x:c r="E689" t="n">
        <x:f>Match_Data!F689</x:f>
        <x:v>0</x:v>
      </x:c>
      <x:c r="F689" t="n">
        <x:f>Match_Data!AC689</x:f>
        <x:v>0</x:v>
      </x:c>
      <x:c r="G689" t="str">
        <x:f>IF(OR(Match_Data!K689="",Match_Data!L689=""),"",AVERAGE(Match_Data!K689:L689))</x:f>
      </x:c>
      <x:c r="H689" t="str">
        <x:f>IF(OR(Match_Data!M689="",Match_Data!N689=""),"",AVERAGE(Match_Data!M689:N689))</x:f>
      </x:c>
      <x:c r="I689" t="str">
        <x:f>IF(OR(Match_Data!O689="",Match_Data!Q689=""),"",Match_Data!O689+Match_Data!Q689)</x:f>
      </x:c>
      <x:c r="J689" t="str">
        <x:f>IF(OR(Match_Data!P689="",Match_Data!R689=""),"",Match_Data!P689+Match_Data!R689)</x:f>
      </x:c>
      <x:c r="K689" t="str">
        <x:f>IF(OR(Match_Data!S689="",Match_Data!T689=""),"",Match_Data!S689+Match_Data!T689)</x:f>
      </x:c>
      <x:c r="L689" t="str">
        <x:f>IF(OR(Match_Data!U689="",Match_Data!V689=""),"",Match_Data!U689-Match_Data!V689)</x:f>
      </x:c>
      <x:c r="M689" s="32" t="str">
        <x:f>IF(Match_Data!Y689="","",1/Match_Data!Y689)</x:f>
      </x:c>
      <x:c r="N689" s="32" t="str">
        <x:f>IF(Match_Data!AA689="","",1/Match_Data!AA689)</x:f>
      </x:c>
      <x:c r="O689" s="32" t="str">
        <x:f>IF(OR(M689="",N689=""),"",N689-M689)</x:f>
      </x:c>
      <x:c r="P689" t="str">
        <x:f>IF(Match_Data!J689="","",IF(Match_Data!J689="OVER",1,0))</x:f>
      </x:c>
    </x:row>
    <x:row r="690">
      <x:c r="A690" t="n">
        <x:f>Match_Data!A690</x:f>
        <x:v>0</x:v>
      </x:c>
      <x:c r="B690" s="28" t="n">
        <x:f>Match_Data!B690</x:f>
        <x:v>0</x:v>
      </x:c>
      <x:c r="C690" t="n">
        <x:f>Match_Data!C690</x:f>
        <x:v>0</x:v>
      </x:c>
      <x:c r="D690" t="n">
        <x:f>Match_Data!E690</x:f>
        <x:v>0</x:v>
      </x:c>
      <x:c r="E690" t="n">
        <x:f>Match_Data!F690</x:f>
        <x:v>0</x:v>
      </x:c>
      <x:c r="F690" t="n">
        <x:f>Match_Data!AC690</x:f>
        <x:v>0</x:v>
      </x:c>
      <x:c r="G690" t="str">
        <x:f>IF(OR(Match_Data!K690="",Match_Data!L690=""),"",AVERAGE(Match_Data!K690:L690))</x:f>
      </x:c>
      <x:c r="H690" t="str">
        <x:f>IF(OR(Match_Data!M690="",Match_Data!N690=""),"",AVERAGE(Match_Data!M690:N690))</x:f>
      </x:c>
      <x:c r="I690" t="str">
        <x:f>IF(OR(Match_Data!O690="",Match_Data!Q690=""),"",Match_Data!O690+Match_Data!Q690)</x:f>
      </x:c>
      <x:c r="J690" t="str">
        <x:f>IF(OR(Match_Data!P690="",Match_Data!R690=""),"",Match_Data!P690+Match_Data!R690)</x:f>
      </x:c>
      <x:c r="K690" t="str">
        <x:f>IF(OR(Match_Data!S690="",Match_Data!T690=""),"",Match_Data!S690+Match_Data!T690)</x:f>
      </x:c>
      <x:c r="L690" t="str">
        <x:f>IF(OR(Match_Data!U690="",Match_Data!V690=""),"",Match_Data!U690-Match_Data!V690)</x:f>
      </x:c>
      <x:c r="M690" s="32" t="str">
        <x:f>IF(Match_Data!Y690="","",1/Match_Data!Y690)</x:f>
      </x:c>
      <x:c r="N690" s="32" t="str">
        <x:f>IF(Match_Data!AA690="","",1/Match_Data!AA690)</x:f>
      </x:c>
      <x:c r="O690" s="32" t="str">
        <x:f>IF(OR(M690="",N690=""),"",N690-M690)</x:f>
      </x:c>
      <x:c r="P690" t="str">
        <x:f>IF(Match_Data!J690="","",IF(Match_Data!J690="OVER",1,0))</x:f>
      </x:c>
    </x:row>
    <x:row r="691">
      <x:c r="A691" t="n">
        <x:f>Match_Data!A691</x:f>
        <x:v>0</x:v>
      </x:c>
      <x:c r="B691" s="28" t="n">
        <x:f>Match_Data!B691</x:f>
        <x:v>0</x:v>
      </x:c>
      <x:c r="C691" t="n">
        <x:f>Match_Data!C691</x:f>
        <x:v>0</x:v>
      </x:c>
      <x:c r="D691" t="n">
        <x:f>Match_Data!E691</x:f>
        <x:v>0</x:v>
      </x:c>
      <x:c r="E691" t="n">
        <x:f>Match_Data!F691</x:f>
        <x:v>0</x:v>
      </x:c>
      <x:c r="F691" t="n">
        <x:f>Match_Data!AC691</x:f>
        <x:v>0</x:v>
      </x:c>
      <x:c r="G691" t="str">
        <x:f>IF(OR(Match_Data!K691="",Match_Data!L691=""),"",AVERAGE(Match_Data!K691:L691))</x:f>
      </x:c>
      <x:c r="H691" t="str">
        <x:f>IF(OR(Match_Data!M691="",Match_Data!N691=""),"",AVERAGE(Match_Data!M691:N691))</x:f>
      </x:c>
      <x:c r="I691" t="str">
        <x:f>IF(OR(Match_Data!O691="",Match_Data!Q691=""),"",Match_Data!O691+Match_Data!Q691)</x:f>
      </x:c>
      <x:c r="J691" t="str">
        <x:f>IF(OR(Match_Data!P691="",Match_Data!R691=""),"",Match_Data!P691+Match_Data!R691)</x:f>
      </x:c>
      <x:c r="K691" t="str">
        <x:f>IF(OR(Match_Data!S691="",Match_Data!T691=""),"",Match_Data!S691+Match_Data!T691)</x:f>
      </x:c>
      <x:c r="L691" t="str">
        <x:f>IF(OR(Match_Data!U691="",Match_Data!V691=""),"",Match_Data!U691-Match_Data!V691)</x:f>
      </x:c>
      <x:c r="M691" s="32" t="str">
        <x:f>IF(Match_Data!Y691="","",1/Match_Data!Y691)</x:f>
      </x:c>
      <x:c r="N691" s="32" t="str">
        <x:f>IF(Match_Data!AA691="","",1/Match_Data!AA691)</x:f>
      </x:c>
      <x:c r="O691" s="32" t="str">
        <x:f>IF(OR(M691="",N691=""),"",N691-M691)</x:f>
      </x:c>
      <x:c r="P691" t="str">
        <x:f>IF(Match_Data!J691="","",IF(Match_Data!J691="OVER",1,0))</x:f>
      </x:c>
    </x:row>
    <x:row r="692">
      <x:c r="A692" t="n">
        <x:f>Match_Data!A692</x:f>
        <x:v>0</x:v>
      </x:c>
      <x:c r="B692" s="28" t="n">
        <x:f>Match_Data!B692</x:f>
        <x:v>0</x:v>
      </x:c>
      <x:c r="C692" t="n">
        <x:f>Match_Data!C692</x:f>
        <x:v>0</x:v>
      </x:c>
      <x:c r="D692" t="n">
        <x:f>Match_Data!E692</x:f>
        <x:v>0</x:v>
      </x:c>
      <x:c r="E692" t="n">
        <x:f>Match_Data!F692</x:f>
        <x:v>0</x:v>
      </x:c>
      <x:c r="F692" t="n">
        <x:f>Match_Data!AC692</x:f>
        <x:v>0</x:v>
      </x:c>
      <x:c r="G692" t="str">
        <x:f>IF(OR(Match_Data!K692="",Match_Data!L692=""),"",AVERAGE(Match_Data!K692:L692))</x:f>
      </x:c>
      <x:c r="H692" t="str">
        <x:f>IF(OR(Match_Data!M692="",Match_Data!N692=""),"",AVERAGE(Match_Data!M692:N692))</x:f>
      </x:c>
      <x:c r="I692" t="str">
        <x:f>IF(OR(Match_Data!O692="",Match_Data!Q692=""),"",Match_Data!O692+Match_Data!Q692)</x:f>
      </x:c>
      <x:c r="J692" t="str">
        <x:f>IF(OR(Match_Data!P692="",Match_Data!R692=""),"",Match_Data!P692+Match_Data!R692)</x:f>
      </x:c>
      <x:c r="K692" t="str">
        <x:f>IF(OR(Match_Data!S692="",Match_Data!T692=""),"",Match_Data!S692+Match_Data!T692)</x:f>
      </x:c>
      <x:c r="L692" t="str">
        <x:f>IF(OR(Match_Data!U692="",Match_Data!V692=""),"",Match_Data!U692-Match_Data!V692)</x:f>
      </x:c>
      <x:c r="M692" s="32" t="str">
        <x:f>IF(Match_Data!Y692="","",1/Match_Data!Y692)</x:f>
      </x:c>
      <x:c r="N692" s="32" t="str">
        <x:f>IF(Match_Data!AA692="","",1/Match_Data!AA692)</x:f>
      </x:c>
      <x:c r="O692" s="32" t="str">
        <x:f>IF(OR(M692="",N692=""),"",N692-M692)</x:f>
      </x:c>
      <x:c r="P692" t="str">
        <x:f>IF(Match_Data!J692="","",IF(Match_Data!J692="OVER",1,0))</x:f>
      </x:c>
    </x:row>
    <x:row r="693">
      <x:c r="A693" t="n">
        <x:f>Match_Data!A693</x:f>
        <x:v>0</x:v>
      </x:c>
      <x:c r="B693" s="28" t="n">
        <x:f>Match_Data!B693</x:f>
        <x:v>0</x:v>
      </x:c>
      <x:c r="C693" t="n">
        <x:f>Match_Data!C693</x:f>
        <x:v>0</x:v>
      </x:c>
      <x:c r="D693" t="n">
        <x:f>Match_Data!E693</x:f>
        <x:v>0</x:v>
      </x:c>
      <x:c r="E693" t="n">
        <x:f>Match_Data!F693</x:f>
        <x:v>0</x:v>
      </x:c>
      <x:c r="F693" t="n">
        <x:f>Match_Data!AC693</x:f>
        <x:v>0</x:v>
      </x:c>
      <x:c r="G693" t="str">
        <x:f>IF(OR(Match_Data!K693="",Match_Data!L693=""),"",AVERAGE(Match_Data!K693:L693))</x:f>
      </x:c>
      <x:c r="H693" t="str">
        <x:f>IF(OR(Match_Data!M693="",Match_Data!N693=""),"",AVERAGE(Match_Data!M693:N693))</x:f>
      </x:c>
      <x:c r="I693" t="str">
        <x:f>IF(OR(Match_Data!O693="",Match_Data!Q693=""),"",Match_Data!O693+Match_Data!Q693)</x:f>
      </x:c>
      <x:c r="J693" t="str">
        <x:f>IF(OR(Match_Data!P693="",Match_Data!R693=""),"",Match_Data!P693+Match_Data!R693)</x:f>
      </x:c>
      <x:c r="K693" t="str">
        <x:f>IF(OR(Match_Data!S693="",Match_Data!T693=""),"",Match_Data!S693+Match_Data!T693)</x:f>
      </x:c>
      <x:c r="L693" t="str">
        <x:f>IF(OR(Match_Data!U693="",Match_Data!V693=""),"",Match_Data!U693-Match_Data!V693)</x:f>
      </x:c>
      <x:c r="M693" s="32" t="str">
        <x:f>IF(Match_Data!Y693="","",1/Match_Data!Y693)</x:f>
      </x:c>
      <x:c r="N693" s="32" t="str">
        <x:f>IF(Match_Data!AA693="","",1/Match_Data!AA693)</x:f>
      </x:c>
      <x:c r="O693" s="32" t="str">
        <x:f>IF(OR(M693="",N693=""),"",N693-M693)</x:f>
      </x:c>
      <x:c r="P693" t="str">
        <x:f>IF(Match_Data!J693="","",IF(Match_Data!J693="OVER",1,0))</x:f>
      </x:c>
    </x:row>
    <x:row r="694">
      <x:c r="A694" t="n">
        <x:f>Match_Data!A694</x:f>
        <x:v>0</x:v>
      </x:c>
      <x:c r="B694" s="28" t="n">
        <x:f>Match_Data!B694</x:f>
        <x:v>0</x:v>
      </x:c>
      <x:c r="C694" t="n">
        <x:f>Match_Data!C694</x:f>
        <x:v>0</x:v>
      </x:c>
      <x:c r="D694" t="n">
        <x:f>Match_Data!E694</x:f>
        <x:v>0</x:v>
      </x:c>
      <x:c r="E694" t="n">
        <x:f>Match_Data!F694</x:f>
        <x:v>0</x:v>
      </x:c>
      <x:c r="F694" t="n">
        <x:f>Match_Data!AC694</x:f>
        <x:v>0</x:v>
      </x:c>
      <x:c r="G694" t="str">
        <x:f>IF(OR(Match_Data!K694="",Match_Data!L694=""),"",AVERAGE(Match_Data!K694:L694))</x:f>
      </x:c>
      <x:c r="H694" t="str">
        <x:f>IF(OR(Match_Data!M694="",Match_Data!N694=""),"",AVERAGE(Match_Data!M694:N694))</x:f>
      </x:c>
      <x:c r="I694" t="str">
        <x:f>IF(OR(Match_Data!O694="",Match_Data!Q694=""),"",Match_Data!O694+Match_Data!Q694)</x:f>
      </x:c>
      <x:c r="J694" t="str">
        <x:f>IF(OR(Match_Data!P694="",Match_Data!R694=""),"",Match_Data!P694+Match_Data!R694)</x:f>
      </x:c>
      <x:c r="K694" t="str">
        <x:f>IF(OR(Match_Data!S694="",Match_Data!T694=""),"",Match_Data!S694+Match_Data!T694)</x:f>
      </x:c>
      <x:c r="L694" t="str">
        <x:f>IF(OR(Match_Data!U694="",Match_Data!V694=""),"",Match_Data!U694-Match_Data!V694)</x:f>
      </x:c>
      <x:c r="M694" s="32" t="str">
        <x:f>IF(Match_Data!Y694="","",1/Match_Data!Y694)</x:f>
      </x:c>
      <x:c r="N694" s="32" t="str">
        <x:f>IF(Match_Data!AA694="","",1/Match_Data!AA694)</x:f>
      </x:c>
      <x:c r="O694" s="32" t="str">
        <x:f>IF(OR(M694="",N694=""),"",N694-M694)</x:f>
      </x:c>
      <x:c r="P694" t="str">
        <x:f>IF(Match_Data!J694="","",IF(Match_Data!J694="OVER",1,0))</x:f>
      </x:c>
    </x:row>
    <x:row r="695">
      <x:c r="A695" t="n">
        <x:f>Match_Data!A695</x:f>
        <x:v>0</x:v>
      </x:c>
      <x:c r="B695" s="28" t="n">
        <x:f>Match_Data!B695</x:f>
        <x:v>0</x:v>
      </x:c>
      <x:c r="C695" t="n">
        <x:f>Match_Data!C695</x:f>
        <x:v>0</x:v>
      </x:c>
      <x:c r="D695" t="n">
        <x:f>Match_Data!E695</x:f>
        <x:v>0</x:v>
      </x:c>
      <x:c r="E695" t="n">
        <x:f>Match_Data!F695</x:f>
        <x:v>0</x:v>
      </x:c>
      <x:c r="F695" t="n">
        <x:f>Match_Data!AC695</x:f>
        <x:v>0</x:v>
      </x:c>
      <x:c r="G695" t="str">
        <x:f>IF(OR(Match_Data!K695="",Match_Data!L695=""),"",AVERAGE(Match_Data!K695:L695))</x:f>
      </x:c>
      <x:c r="H695" t="str">
        <x:f>IF(OR(Match_Data!M695="",Match_Data!N695=""),"",AVERAGE(Match_Data!M695:N695))</x:f>
      </x:c>
      <x:c r="I695" t="str">
        <x:f>IF(OR(Match_Data!O695="",Match_Data!Q695=""),"",Match_Data!O695+Match_Data!Q695)</x:f>
      </x:c>
      <x:c r="J695" t="str">
        <x:f>IF(OR(Match_Data!P695="",Match_Data!R695=""),"",Match_Data!P695+Match_Data!R695)</x:f>
      </x:c>
      <x:c r="K695" t="str">
        <x:f>IF(OR(Match_Data!S695="",Match_Data!T695=""),"",Match_Data!S695+Match_Data!T695)</x:f>
      </x:c>
      <x:c r="L695" t="str">
        <x:f>IF(OR(Match_Data!U695="",Match_Data!V695=""),"",Match_Data!U695-Match_Data!V695)</x:f>
      </x:c>
      <x:c r="M695" s="32" t="str">
        <x:f>IF(Match_Data!Y695="","",1/Match_Data!Y695)</x:f>
      </x:c>
      <x:c r="N695" s="32" t="str">
        <x:f>IF(Match_Data!AA695="","",1/Match_Data!AA695)</x:f>
      </x:c>
      <x:c r="O695" s="32" t="str">
        <x:f>IF(OR(M695="",N695=""),"",N695-M695)</x:f>
      </x:c>
      <x:c r="P695" t="str">
        <x:f>IF(Match_Data!J695="","",IF(Match_Data!J695="OVER",1,0))</x:f>
      </x:c>
    </x:row>
    <x:row r="696">
      <x:c r="A696" t="n">
        <x:f>Match_Data!A696</x:f>
        <x:v>0</x:v>
      </x:c>
      <x:c r="B696" s="28" t="n">
        <x:f>Match_Data!B696</x:f>
        <x:v>0</x:v>
      </x:c>
      <x:c r="C696" t="n">
        <x:f>Match_Data!C696</x:f>
        <x:v>0</x:v>
      </x:c>
      <x:c r="D696" t="n">
        <x:f>Match_Data!E696</x:f>
        <x:v>0</x:v>
      </x:c>
      <x:c r="E696" t="n">
        <x:f>Match_Data!F696</x:f>
        <x:v>0</x:v>
      </x:c>
      <x:c r="F696" t="n">
        <x:f>Match_Data!AC696</x:f>
        <x:v>0</x:v>
      </x:c>
      <x:c r="G696" t="str">
        <x:f>IF(OR(Match_Data!K696="",Match_Data!L696=""),"",AVERAGE(Match_Data!K696:L696))</x:f>
      </x:c>
      <x:c r="H696" t="str">
        <x:f>IF(OR(Match_Data!M696="",Match_Data!N696=""),"",AVERAGE(Match_Data!M696:N696))</x:f>
      </x:c>
      <x:c r="I696" t="str">
        <x:f>IF(OR(Match_Data!O696="",Match_Data!Q696=""),"",Match_Data!O696+Match_Data!Q696)</x:f>
      </x:c>
      <x:c r="J696" t="str">
        <x:f>IF(OR(Match_Data!P696="",Match_Data!R696=""),"",Match_Data!P696+Match_Data!R696)</x:f>
      </x:c>
      <x:c r="K696" t="str">
        <x:f>IF(OR(Match_Data!S696="",Match_Data!T696=""),"",Match_Data!S696+Match_Data!T696)</x:f>
      </x:c>
      <x:c r="L696" t="str">
        <x:f>IF(OR(Match_Data!U696="",Match_Data!V696=""),"",Match_Data!U696-Match_Data!V696)</x:f>
      </x:c>
      <x:c r="M696" s="32" t="str">
        <x:f>IF(Match_Data!Y696="","",1/Match_Data!Y696)</x:f>
      </x:c>
      <x:c r="N696" s="32" t="str">
        <x:f>IF(Match_Data!AA696="","",1/Match_Data!AA696)</x:f>
      </x:c>
      <x:c r="O696" s="32" t="str">
        <x:f>IF(OR(M696="",N696=""),"",N696-M696)</x:f>
      </x:c>
      <x:c r="P696" t="str">
        <x:f>IF(Match_Data!J696="","",IF(Match_Data!J696="OVER",1,0))</x:f>
      </x:c>
    </x:row>
    <x:row r="697">
      <x:c r="A697" t="n">
        <x:f>Match_Data!A697</x:f>
        <x:v>0</x:v>
      </x:c>
      <x:c r="B697" s="28" t="n">
        <x:f>Match_Data!B697</x:f>
        <x:v>0</x:v>
      </x:c>
      <x:c r="C697" t="n">
        <x:f>Match_Data!C697</x:f>
        <x:v>0</x:v>
      </x:c>
      <x:c r="D697" t="n">
        <x:f>Match_Data!E697</x:f>
        <x:v>0</x:v>
      </x:c>
      <x:c r="E697" t="n">
        <x:f>Match_Data!F697</x:f>
        <x:v>0</x:v>
      </x:c>
      <x:c r="F697" t="n">
        <x:f>Match_Data!AC697</x:f>
        <x:v>0</x:v>
      </x:c>
      <x:c r="G697" t="str">
        <x:f>IF(OR(Match_Data!K697="",Match_Data!L697=""),"",AVERAGE(Match_Data!K697:L697))</x:f>
      </x:c>
      <x:c r="H697" t="str">
        <x:f>IF(OR(Match_Data!M697="",Match_Data!N697=""),"",AVERAGE(Match_Data!M697:N697))</x:f>
      </x:c>
      <x:c r="I697" t="str">
        <x:f>IF(OR(Match_Data!O697="",Match_Data!Q697=""),"",Match_Data!O697+Match_Data!Q697)</x:f>
      </x:c>
      <x:c r="J697" t="str">
        <x:f>IF(OR(Match_Data!P697="",Match_Data!R697=""),"",Match_Data!P697+Match_Data!R697)</x:f>
      </x:c>
      <x:c r="K697" t="str">
        <x:f>IF(OR(Match_Data!S697="",Match_Data!T697=""),"",Match_Data!S697+Match_Data!T697)</x:f>
      </x:c>
      <x:c r="L697" t="str">
        <x:f>IF(OR(Match_Data!U697="",Match_Data!V697=""),"",Match_Data!U697-Match_Data!V697)</x:f>
      </x:c>
      <x:c r="M697" s="32" t="str">
        <x:f>IF(Match_Data!Y697="","",1/Match_Data!Y697)</x:f>
      </x:c>
      <x:c r="N697" s="32" t="str">
        <x:f>IF(Match_Data!AA697="","",1/Match_Data!AA697)</x:f>
      </x:c>
      <x:c r="O697" s="32" t="str">
        <x:f>IF(OR(M697="",N697=""),"",N697-M697)</x:f>
      </x:c>
      <x:c r="P697" t="str">
        <x:f>IF(Match_Data!J697="","",IF(Match_Data!J697="OVER",1,0))</x:f>
      </x:c>
    </x:row>
    <x:row r="698">
      <x:c r="A698" t="n">
        <x:f>Match_Data!A698</x:f>
        <x:v>0</x:v>
      </x:c>
      <x:c r="B698" s="28" t="n">
        <x:f>Match_Data!B698</x:f>
        <x:v>0</x:v>
      </x:c>
      <x:c r="C698" t="n">
        <x:f>Match_Data!C698</x:f>
        <x:v>0</x:v>
      </x:c>
      <x:c r="D698" t="n">
        <x:f>Match_Data!E698</x:f>
        <x:v>0</x:v>
      </x:c>
      <x:c r="E698" t="n">
        <x:f>Match_Data!F698</x:f>
        <x:v>0</x:v>
      </x:c>
      <x:c r="F698" t="n">
        <x:f>Match_Data!AC698</x:f>
        <x:v>0</x:v>
      </x:c>
      <x:c r="G698" t="str">
        <x:f>IF(OR(Match_Data!K698="",Match_Data!L698=""),"",AVERAGE(Match_Data!K698:L698))</x:f>
      </x:c>
      <x:c r="H698" t="str">
        <x:f>IF(OR(Match_Data!M698="",Match_Data!N698=""),"",AVERAGE(Match_Data!M698:N698))</x:f>
      </x:c>
      <x:c r="I698" t="str">
        <x:f>IF(OR(Match_Data!O698="",Match_Data!Q698=""),"",Match_Data!O698+Match_Data!Q698)</x:f>
      </x:c>
      <x:c r="J698" t="str">
        <x:f>IF(OR(Match_Data!P698="",Match_Data!R698=""),"",Match_Data!P698+Match_Data!R698)</x:f>
      </x:c>
      <x:c r="K698" t="str">
        <x:f>IF(OR(Match_Data!S698="",Match_Data!T698=""),"",Match_Data!S698+Match_Data!T698)</x:f>
      </x:c>
      <x:c r="L698" t="str">
        <x:f>IF(OR(Match_Data!U698="",Match_Data!V698=""),"",Match_Data!U698-Match_Data!V698)</x:f>
      </x:c>
      <x:c r="M698" s="32" t="str">
        <x:f>IF(Match_Data!Y698="","",1/Match_Data!Y698)</x:f>
      </x:c>
      <x:c r="N698" s="32" t="str">
        <x:f>IF(Match_Data!AA698="","",1/Match_Data!AA698)</x:f>
      </x:c>
      <x:c r="O698" s="32" t="str">
        <x:f>IF(OR(M698="",N698=""),"",N698-M698)</x:f>
      </x:c>
      <x:c r="P698" t="str">
        <x:f>IF(Match_Data!J698="","",IF(Match_Data!J698="OVER",1,0))</x:f>
      </x:c>
    </x:row>
    <x:row r="699">
      <x:c r="A699" t="n">
        <x:f>Match_Data!A699</x:f>
        <x:v>0</x:v>
      </x:c>
      <x:c r="B699" s="28" t="n">
        <x:f>Match_Data!B699</x:f>
        <x:v>0</x:v>
      </x:c>
      <x:c r="C699" t="n">
        <x:f>Match_Data!C699</x:f>
        <x:v>0</x:v>
      </x:c>
      <x:c r="D699" t="n">
        <x:f>Match_Data!E699</x:f>
        <x:v>0</x:v>
      </x:c>
      <x:c r="E699" t="n">
        <x:f>Match_Data!F699</x:f>
        <x:v>0</x:v>
      </x:c>
      <x:c r="F699" t="n">
        <x:f>Match_Data!AC699</x:f>
        <x:v>0</x:v>
      </x:c>
      <x:c r="G699" t="str">
        <x:f>IF(OR(Match_Data!K699="",Match_Data!L699=""),"",AVERAGE(Match_Data!K699:L699))</x:f>
      </x:c>
      <x:c r="H699" t="str">
        <x:f>IF(OR(Match_Data!M699="",Match_Data!N699=""),"",AVERAGE(Match_Data!M699:N699))</x:f>
      </x:c>
      <x:c r="I699" t="str">
        <x:f>IF(OR(Match_Data!O699="",Match_Data!Q699=""),"",Match_Data!O699+Match_Data!Q699)</x:f>
      </x:c>
      <x:c r="J699" t="str">
        <x:f>IF(OR(Match_Data!P699="",Match_Data!R699=""),"",Match_Data!P699+Match_Data!R699)</x:f>
      </x:c>
      <x:c r="K699" t="str">
        <x:f>IF(OR(Match_Data!S699="",Match_Data!T699=""),"",Match_Data!S699+Match_Data!T699)</x:f>
      </x:c>
      <x:c r="L699" t="str">
        <x:f>IF(OR(Match_Data!U699="",Match_Data!V699=""),"",Match_Data!U699-Match_Data!V699)</x:f>
      </x:c>
      <x:c r="M699" s="32" t="str">
        <x:f>IF(Match_Data!Y699="","",1/Match_Data!Y699)</x:f>
      </x:c>
      <x:c r="N699" s="32" t="str">
        <x:f>IF(Match_Data!AA699="","",1/Match_Data!AA699)</x:f>
      </x:c>
      <x:c r="O699" s="32" t="str">
        <x:f>IF(OR(M699="",N699=""),"",N699-M699)</x:f>
      </x:c>
      <x:c r="P699" t="str">
        <x:f>IF(Match_Data!J699="","",IF(Match_Data!J699="OVER",1,0))</x:f>
      </x:c>
    </x:row>
    <x:row r="700">
      <x:c r="A700" t="n">
        <x:f>Match_Data!A700</x:f>
        <x:v>0</x:v>
      </x:c>
      <x:c r="B700" s="28" t="n">
        <x:f>Match_Data!B700</x:f>
        <x:v>0</x:v>
      </x:c>
      <x:c r="C700" t="n">
        <x:f>Match_Data!C700</x:f>
        <x:v>0</x:v>
      </x:c>
      <x:c r="D700" t="n">
        <x:f>Match_Data!E700</x:f>
        <x:v>0</x:v>
      </x:c>
      <x:c r="E700" t="n">
        <x:f>Match_Data!F700</x:f>
        <x:v>0</x:v>
      </x:c>
      <x:c r="F700" t="n">
        <x:f>Match_Data!AC700</x:f>
        <x:v>0</x:v>
      </x:c>
      <x:c r="G700" t="str">
        <x:f>IF(OR(Match_Data!K700="",Match_Data!L700=""),"",AVERAGE(Match_Data!K700:L700))</x:f>
      </x:c>
      <x:c r="H700" t="str">
        <x:f>IF(OR(Match_Data!M700="",Match_Data!N700=""),"",AVERAGE(Match_Data!M700:N700))</x:f>
      </x:c>
      <x:c r="I700" t="str">
        <x:f>IF(OR(Match_Data!O700="",Match_Data!Q700=""),"",Match_Data!O700+Match_Data!Q700)</x:f>
      </x:c>
      <x:c r="J700" t="str">
        <x:f>IF(OR(Match_Data!P700="",Match_Data!R700=""),"",Match_Data!P700+Match_Data!R700)</x:f>
      </x:c>
      <x:c r="K700" t="str">
        <x:f>IF(OR(Match_Data!S700="",Match_Data!T700=""),"",Match_Data!S700+Match_Data!T700)</x:f>
      </x:c>
      <x:c r="L700" t="str">
        <x:f>IF(OR(Match_Data!U700="",Match_Data!V700=""),"",Match_Data!U700-Match_Data!V700)</x:f>
      </x:c>
      <x:c r="M700" s="32" t="str">
        <x:f>IF(Match_Data!Y700="","",1/Match_Data!Y700)</x:f>
      </x:c>
      <x:c r="N700" s="32" t="str">
        <x:f>IF(Match_Data!AA700="","",1/Match_Data!AA700)</x:f>
      </x:c>
      <x:c r="O700" s="32" t="str">
        <x:f>IF(OR(M700="",N700=""),"",N700-M700)</x:f>
      </x:c>
      <x:c r="P700" t="str">
        <x:f>IF(Match_Data!J700="","",IF(Match_Data!J700="OVER",1,0))</x:f>
      </x:c>
    </x:row>
    <x:row r="701">
      <x:c r="A701" t="n">
        <x:f>Match_Data!A701</x:f>
        <x:v>0</x:v>
      </x:c>
      <x:c r="B701" s="28" t="n">
        <x:f>Match_Data!B701</x:f>
        <x:v>0</x:v>
      </x:c>
      <x:c r="C701" t="n">
        <x:f>Match_Data!C701</x:f>
        <x:v>0</x:v>
      </x:c>
      <x:c r="D701" t="n">
        <x:f>Match_Data!E701</x:f>
        <x:v>0</x:v>
      </x:c>
      <x:c r="E701" t="n">
        <x:f>Match_Data!F701</x:f>
        <x:v>0</x:v>
      </x:c>
      <x:c r="F701" t="n">
        <x:f>Match_Data!AC701</x:f>
        <x:v>0</x:v>
      </x:c>
      <x:c r="G701" t="str">
        <x:f>IF(OR(Match_Data!K701="",Match_Data!L701=""),"",AVERAGE(Match_Data!K701:L701))</x:f>
      </x:c>
      <x:c r="H701" t="str">
        <x:f>IF(OR(Match_Data!M701="",Match_Data!N701=""),"",AVERAGE(Match_Data!M701:N701))</x:f>
      </x:c>
      <x:c r="I701" t="str">
        <x:f>IF(OR(Match_Data!O701="",Match_Data!Q701=""),"",Match_Data!O701+Match_Data!Q701)</x:f>
      </x:c>
      <x:c r="J701" t="str">
        <x:f>IF(OR(Match_Data!P701="",Match_Data!R701=""),"",Match_Data!P701+Match_Data!R701)</x:f>
      </x:c>
      <x:c r="K701" t="str">
        <x:f>IF(OR(Match_Data!S701="",Match_Data!T701=""),"",Match_Data!S701+Match_Data!T701)</x:f>
      </x:c>
      <x:c r="L701" t="str">
        <x:f>IF(OR(Match_Data!U701="",Match_Data!V701=""),"",Match_Data!U701-Match_Data!V701)</x:f>
      </x:c>
      <x:c r="M701" s="32" t="str">
        <x:f>IF(Match_Data!Y701="","",1/Match_Data!Y701)</x:f>
      </x:c>
      <x:c r="N701" s="32" t="str">
        <x:f>IF(Match_Data!AA701="","",1/Match_Data!AA701)</x:f>
      </x:c>
      <x:c r="O701" s="32" t="str">
        <x:f>IF(OR(M701="",N701=""),"",N701-M701)</x:f>
      </x:c>
      <x:c r="P701" t="str">
        <x:f>IF(Match_Data!J701="","",IF(Match_Data!J701="OVER",1,0))</x:f>
      </x:c>
    </x:row>
    <x:row r="702">
      <x:c r="A702" t="n">
        <x:f>Match_Data!A702</x:f>
        <x:v>0</x:v>
      </x:c>
      <x:c r="B702" s="28" t="n">
        <x:f>Match_Data!B702</x:f>
        <x:v>0</x:v>
      </x:c>
      <x:c r="C702" t="n">
        <x:f>Match_Data!C702</x:f>
        <x:v>0</x:v>
      </x:c>
      <x:c r="D702" t="n">
        <x:f>Match_Data!E702</x:f>
        <x:v>0</x:v>
      </x:c>
      <x:c r="E702" t="n">
        <x:f>Match_Data!F702</x:f>
        <x:v>0</x:v>
      </x:c>
      <x:c r="F702" t="n">
        <x:f>Match_Data!AC702</x:f>
        <x:v>0</x:v>
      </x:c>
      <x:c r="G702" t="str">
        <x:f>IF(OR(Match_Data!K702="",Match_Data!L702=""),"",AVERAGE(Match_Data!K702:L702))</x:f>
      </x:c>
      <x:c r="H702" t="str">
        <x:f>IF(OR(Match_Data!M702="",Match_Data!N702=""),"",AVERAGE(Match_Data!M702:N702))</x:f>
      </x:c>
      <x:c r="I702" t="str">
        <x:f>IF(OR(Match_Data!O702="",Match_Data!Q702=""),"",Match_Data!O702+Match_Data!Q702)</x:f>
      </x:c>
      <x:c r="J702" t="str">
        <x:f>IF(OR(Match_Data!P702="",Match_Data!R702=""),"",Match_Data!P702+Match_Data!R702)</x:f>
      </x:c>
      <x:c r="K702" t="str">
        <x:f>IF(OR(Match_Data!S702="",Match_Data!T702=""),"",Match_Data!S702+Match_Data!T702)</x:f>
      </x:c>
      <x:c r="L702" t="str">
        <x:f>IF(OR(Match_Data!U702="",Match_Data!V702=""),"",Match_Data!U702-Match_Data!V702)</x:f>
      </x:c>
      <x:c r="M702" s="32" t="str">
        <x:f>IF(Match_Data!Y702="","",1/Match_Data!Y702)</x:f>
      </x:c>
      <x:c r="N702" s="32" t="str">
        <x:f>IF(Match_Data!AA702="","",1/Match_Data!AA702)</x:f>
      </x:c>
      <x:c r="O702" s="32" t="str">
        <x:f>IF(OR(M702="",N702=""),"",N702-M702)</x:f>
      </x:c>
      <x:c r="P702" t="str">
        <x:f>IF(Match_Data!J702="","",IF(Match_Data!J702="OVER",1,0))</x:f>
      </x:c>
    </x:row>
    <x:row r="703">
      <x:c r="A703" t="n">
        <x:f>Match_Data!A703</x:f>
        <x:v>0</x:v>
      </x:c>
      <x:c r="B703" s="28" t="n">
        <x:f>Match_Data!B703</x:f>
        <x:v>0</x:v>
      </x:c>
      <x:c r="C703" t="n">
        <x:f>Match_Data!C703</x:f>
        <x:v>0</x:v>
      </x:c>
      <x:c r="D703" t="n">
        <x:f>Match_Data!E703</x:f>
        <x:v>0</x:v>
      </x:c>
      <x:c r="E703" t="n">
        <x:f>Match_Data!F703</x:f>
        <x:v>0</x:v>
      </x:c>
      <x:c r="F703" t="n">
        <x:f>Match_Data!AC703</x:f>
        <x:v>0</x:v>
      </x:c>
      <x:c r="G703" t="str">
        <x:f>IF(OR(Match_Data!K703="",Match_Data!L703=""),"",AVERAGE(Match_Data!K703:L703))</x:f>
      </x:c>
      <x:c r="H703" t="str">
        <x:f>IF(OR(Match_Data!M703="",Match_Data!N703=""),"",AVERAGE(Match_Data!M703:N703))</x:f>
      </x:c>
      <x:c r="I703" t="str">
        <x:f>IF(OR(Match_Data!O703="",Match_Data!Q703=""),"",Match_Data!O703+Match_Data!Q703)</x:f>
      </x:c>
      <x:c r="J703" t="str">
        <x:f>IF(OR(Match_Data!P703="",Match_Data!R703=""),"",Match_Data!P703+Match_Data!R703)</x:f>
      </x:c>
      <x:c r="K703" t="str">
        <x:f>IF(OR(Match_Data!S703="",Match_Data!T703=""),"",Match_Data!S703+Match_Data!T703)</x:f>
      </x:c>
      <x:c r="L703" t="str">
        <x:f>IF(OR(Match_Data!U703="",Match_Data!V703=""),"",Match_Data!U703-Match_Data!V703)</x:f>
      </x:c>
      <x:c r="M703" s="32" t="str">
        <x:f>IF(Match_Data!Y703="","",1/Match_Data!Y703)</x:f>
      </x:c>
      <x:c r="N703" s="32" t="str">
        <x:f>IF(Match_Data!AA703="","",1/Match_Data!AA703)</x:f>
      </x:c>
      <x:c r="O703" s="32" t="str">
        <x:f>IF(OR(M703="",N703=""),"",N703-M703)</x:f>
      </x:c>
      <x:c r="P703" t="str">
        <x:f>IF(Match_Data!J703="","",IF(Match_Data!J703="OVER",1,0))</x:f>
      </x:c>
    </x:row>
    <x:row r="704">
      <x:c r="A704" t="n">
        <x:f>Match_Data!A704</x:f>
        <x:v>0</x:v>
      </x:c>
      <x:c r="B704" s="28" t="n">
        <x:f>Match_Data!B704</x:f>
        <x:v>0</x:v>
      </x:c>
      <x:c r="C704" t="n">
        <x:f>Match_Data!C704</x:f>
        <x:v>0</x:v>
      </x:c>
      <x:c r="D704" t="n">
        <x:f>Match_Data!E704</x:f>
        <x:v>0</x:v>
      </x:c>
      <x:c r="E704" t="n">
        <x:f>Match_Data!F704</x:f>
        <x:v>0</x:v>
      </x:c>
      <x:c r="F704" t="n">
        <x:f>Match_Data!AC704</x:f>
        <x:v>0</x:v>
      </x:c>
      <x:c r="G704" t="str">
        <x:f>IF(OR(Match_Data!K704="",Match_Data!L704=""),"",AVERAGE(Match_Data!K704:L704))</x:f>
      </x:c>
      <x:c r="H704" t="str">
        <x:f>IF(OR(Match_Data!M704="",Match_Data!N704=""),"",AVERAGE(Match_Data!M704:N704))</x:f>
      </x:c>
      <x:c r="I704" t="str">
        <x:f>IF(OR(Match_Data!O704="",Match_Data!Q704=""),"",Match_Data!O704+Match_Data!Q704)</x:f>
      </x:c>
      <x:c r="J704" t="str">
        <x:f>IF(OR(Match_Data!P704="",Match_Data!R704=""),"",Match_Data!P704+Match_Data!R704)</x:f>
      </x:c>
      <x:c r="K704" t="str">
        <x:f>IF(OR(Match_Data!S704="",Match_Data!T704=""),"",Match_Data!S704+Match_Data!T704)</x:f>
      </x:c>
      <x:c r="L704" t="str">
        <x:f>IF(OR(Match_Data!U704="",Match_Data!V704=""),"",Match_Data!U704-Match_Data!V704)</x:f>
      </x:c>
      <x:c r="M704" s="32" t="str">
        <x:f>IF(Match_Data!Y704="","",1/Match_Data!Y704)</x:f>
      </x:c>
      <x:c r="N704" s="32" t="str">
        <x:f>IF(Match_Data!AA704="","",1/Match_Data!AA704)</x:f>
      </x:c>
      <x:c r="O704" s="32" t="str">
        <x:f>IF(OR(M704="",N704=""),"",N704-M704)</x:f>
      </x:c>
      <x:c r="P704" t="str">
        <x:f>IF(Match_Data!J704="","",IF(Match_Data!J704="OVER",1,0))</x:f>
      </x:c>
    </x:row>
    <x:row r="705">
      <x:c r="A705" t="n">
        <x:f>Match_Data!A705</x:f>
        <x:v>0</x:v>
      </x:c>
      <x:c r="B705" s="28" t="n">
        <x:f>Match_Data!B705</x:f>
        <x:v>0</x:v>
      </x:c>
      <x:c r="C705" t="n">
        <x:f>Match_Data!C705</x:f>
        <x:v>0</x:v>
      </x:c>
      <x:c r="D705" t="n">
        <x:f>Match_Data!E705</x:f>
        <x:v>0</x:v>
      </x:c>
      <x:c r="E705" t="n">
        <x:f>Match_Data!F705</x:f>
        <x:v>0</x:v>
      </x:c>
      <x:c r="F705" t="n">
        <x:f>Match_Data!AC705</x:f>
        <x:v>0</x:v>
      </x:c>
      <x:c r="G705" t="str">
        <x:f>IF(OR(Match_Data!K705="",Match_Data!L705=""),"",AVERAGE(Match_Data!K705:L705))</x:f>
      </x:c>
      <x:c r="H705" t="str">
        <x:f>IF(OR(Match_Data!M705="",Match_Data!N705=""),"",AVERAGE(Match_Data!M705:N705))</x:f>
      </x:c>
      <x:c r="I705" t="str">
        <x:f>IF(OR(Match_Data!O705="",Match_Data!Q705=""),"",Match_Data!O705+Match_Data!Q705)</x:f>
      </x:c>
      <x:c r="J705" t="str">
        <x:f>IF(OR(Match_Data!P705="",Match_Data!R705=""),"",Match_Data!P705+Match_Data!R705)</x:f>
      </x:c>
      <x:c r="K705" t="str">
        <x:f>IF(OR(Match_Data!S705="",Match_Data!T705=""),"",Match_Data!S705+Match_Data!T705)</x:f>
      </x:c>
      <x:c r="L705" t="str">
        <x:f>IF(OR(Match_Data!U705="",Match_Data!V705=""),"",Match_Data!U705-Match_Data!V705)</x:f>
      </x:c>
      <x:c r="M705" s="32" t="str">
        <x:f>IF(Match_Data!Y705="","",1/Match_Data!Y705)</x:f>
      </x:c>
      <x:c r="N705" s="32" t="str">
        <x:f>IF(Match_Data!AA705="","",1/Match_Data!AA705)</x:f>
      </x:c>
      <x:c r="O705" s="32" t="str">
        <x:f>IF(OR(M705="",N705=""),"",N705-M705)</x:f>
      </x:c>
      <x:c r="P705" t="str">
        <x:f>IF(Match_Data!J705="","",IF(Match_Data!J705="OVER",1,0))</x:f>
      </x:c>
    </x:row>
    <x:row r="706">
      <x:c r="A706" t="n">
        <x:f>Match_Data!A706</x:f>
        <x:v>0</x:v>
      </x:c>
      <x:c r="B706" s="28" t="n">
        <x:f>Match_Data!B706</x:f>
        <x:v>0</x:v>
      </x:c>
      <x:c r="C706" t="n">
        <x:f>Match_Data!C706</x:f>
        <x:v>0</x:v>
      </x:c>
      <x:c r="D706" t="n">
        <x:f>Match_Data!E706</x:f>
        <x:v>0</x:v>
      </x:c>
      <x:c r="E706" t="n">
        <x:f>Match_Data!F706</x:f>
        <x:v>0</x:v>
      </x:c>
      <x:c r="F706" t="n">
        <x:f>Match_Data!AC706</x:f>
        <x:v>0</x:v>
      </x:c>
      <x:c r="G706" t="str">
        <x:f>IF(OR(Match_Data!K706="",Match_Data!L706=""),"",AVERAGE(Match_Data!K706:L706))</x:f>
      </x:c>
      <x:c r="H706" t="str">
        <x:f>IF(OR(Match_Data!M706="",Match_Data!N706=""),"",AVERAGE(Match_Data!M706:N706))</x:f>
      </x:c>
      <x:c r="I706" t="str">
        <x:f>IF(OR(Match_Data!O706="",Match_Data!Q706=""),"",Match_Data!O706+Match_Data!Q706)</x:f>
      </x:c>
      <x:c r="J706" t="str">
        <x:f>IF(OR(Match_Data!P706="",Match_Data!R706=""),"",Match_Data!P706+Match_Data!R706)</x:f>
      </x:c>
      <x:c r="K706" t="str">
        <x:f>IF(OR(Match_Data!S706="",Match_Data!T706=""),"",Match_Data!S706+Match_Data!T706)</x:f>
      </x:c>
      <x:c r="L706" t="str">
        <x:f>IF(OR(Match_Data!U706="",Match_Data!V706=""),"",Match_Data!U706-Match_Data!V706)</x:f>
      </x:c>
      <x:c r="M706" s="32" t="str">
        <x:f>IF(Match_Data!Y706="","",1/Match_Data!Y706)</x:f>
      </x:c>
      <x:c r="N706" s="32" t="str">
        <x:f>IF(Match_Data!AA706="","",1/Match_Data!AA706)</x:f>
      </x:c>
      <x:c r="O706" s="32" t="str">
        <x:f>IF(OR(M706="",N706=""),"",N706-M706)</x:f>
      </x:c>
      <x:c r="P706" t="str">
        <x:f>IF(Match_Data!J706="","",IF(Match_Data!J706="OVER",1,0))</x:f>
      </x:c>
    </x:row>
    <x:row r="707">
      <x:c r="A707" t="n">
        <x:f>Match_Data!A707</x:f>
        <x:v>0</x:v>
      </x:c>
      <x:c r="B707" s="28" t="n">
        <x:f>Match_Data!B707</x:f>
        <x:v>0</x:v>
      </x:c>
      <x:c r="C707" t="n">
        <x:f>Match_Data!C707</x:f>
        <x:v>0</x:v>
      </x:c>
      <x:c r="D707" t="n">
        <x:f>Match_Data!E707</x:f>
        <x:v>0</x:v>
      </x:c>
      <x:c r="E707" t="n">
        <x:f>Match_Data!F707</x:f>
        <x:v>0</x:v>
      </x:c>
      <x:c r="F707" t="n">
        <x:f>Match_Data!AC707</x:f>
        <x:v>0</x:v>
      </x:c>
      <x:c r="G707" t="str">
        <x:f>IF(OR(Match_Data!K707="",Match_Data!L707=""),"",AVERAGE(Match_Data!K707:L707))</x:f>
      </x:c>
      <x:c r="H707" t="str">
        <x:f>IF(OR(Match_Data!M707="",Match_Data!N707=""),"",AVERAGE(Match_Data!M707:N707))</x:f>
      </x:c>
      <x:c r="I707" t="str">
        <x:f>IF(OR(Match_Data!O707="",Match_Data!Q707=""),"",Match_Data!O707+Match_Data!Q707)</x:f>
      </x:c>
      <x:c r="J707" t="str">
        <x:f>IF(OR(Match_Data!P707="",Match_Data!R707=""),"",Match_Data!P707+Match_Data!R707)</x:f>
      </x:c>
      <x:c r="K707" t="str">
        <x:f>IF(OR(Match_Data!S707="",Match_Data!T707=""),"",Match_Data!S707+Match_Data!T707)</x:f>
      </x:c>
      <x:c r="L707" t="str">
        <x:f>IF(OR(Match_Data!U707="",Match_Data!V707=""),"",Match_Data!U707-Match_Data!V707)</x:f>
      </x:c>
      <x:c r="M707" s="32" t="str">
        <x:f>IF(Match_Data!Y707="","",1/Match_Data!Y707)</x:f>
      </x:c>
      <x:c r="N707" s="32" t="str">
        <x:f>IF(Match_Data!AA707="","",1/Match_Data!AA707)</x:f>
      </x:c>
      <x:c r="O707" s="32" t="str">
        <x:f>IF(OR(M707="",N707=""),"",N707-M707)</x:f>
      </x:c>
      <x:c r="P707" t="str">
        <x:f>IF(Match_Data!J707="","",IF(Match_Data!J707="OVER",1,0))</x:f>
      </x:c>
    </x:row>
    <x:row r="708">
      <x:c r="A708" t="n">
        <x:f>Match_Data!A708</x:f>
        <x:v>0</x:v>
      </x:c>
      <x:c r="B708" s="28" t="n">
        <x:f>Match_Data!B708</x:f>
        <x:v>0</x:v>
      </x:c>
      <x:c r="C708" t="n">
        <x:f>Match_Data!C708</x:f>
        <x:v>0</x:v>
      </x:c>
      <x:c r="D708" t="n">
        <x:f>Match_Data!E708</x:f>
        <x:v>0</x:v>
      </x:c>
      <x:c r="E708" t="n">
        <x:f>Match_Data!F708</x:f>
        <x:v>0</x:v>
      </x:c>
      <x:c r="F708" t="n">
        <x:f>Match_Data!AC708</x:f>
        <x:v>0</x:v>
      </x:c>
      <x:c r="G708" t="str">
        <x:f>IF(OR(Match_Data!K708="",Match_Data!L708=""),"",AVERAGE(Match_Data!K708:L708))</x:f>
      </x:c>
      <x:c r="H708" t="str">
        <x:f>IF(OR(Match_Data!M708="",Match_Data!N708=""),"",AVERAGE(Match_Data!M708:N708))</x:f>
      </x:c>
      <x:c r="I708" t="str">
        <x:f>IF(OR(Match_Data!O708="",Match_Data!Q708=""),"",Match_Data!O708+Match_Data!Q708)</x:f>
      </x:c>
      <x:c r="J708" t="str">
        <x:f>IF(OR(Match_Data!P708="",Match_Data!R708=""),"",Match_Data!P708+Match_Data!R708)</x:f>
      </x:c>
      <x:c r="K708" t="str">
        <x:f>IF(OR(Match_Data!S708="",Match_Data!T708=""),"",Match_Data!S708+Match_Data!T708)</x:f>
      </x:c>
      <x:c r="L708" t="str">
        <x:f>IF(OR(Match_Data!U708="",Match_Data!V708=""),"",Match_Data!U708-Match_Data!V708)</x:f>
      </x:c>
      <x:c r="M708" s="32" t="str">
        <x:f>IF(Match_Data!Y708="","",1/Match_Data!Y708)</x:f>
      </x:c>
      <x:c r="N708" s="32" t="str">
        <x:f>IF(Match_Data!AA708="","",1/Match_Data!AA708)</x:f>
      </x:c>
      <x:c r="O708" s="32" t="str">
        <x:f>IF(OR(M708="",N708=""),"",N708-M708)</x:f>
      </x:c>
      <x:c r="P708" t="str">
        <x:f>IF(Match_Data!J708="","",IF(Match_Data!J708="OVER",1,0))</x:f>
      </x:c>
    </x:row>
    <x:row r="709">
      <x:c r="A709" t="n">
        <x:f>Match_Data!A709</x:f>
        <x:v>0</x:v>
      </x:c>
      <x:c r="B709" s="28" t="n">
        <x:f>Match_Data!B709</x:f>
        <x:v>0</x:v>
      </x:c>
      <x:c r="C709" t="n">
        <x:f>Match_Data!C709</x:f>
        <x:v>0</x:v>
      </x:c>
      <x:c r="D709" t="n">
        <x:f>Match_Data!E709</x:f>
        <x:v>0</x:v>
      </x:c>
      <x:c r="E709" t="n">
        <x:f>Match_Data!F709</x:f>
        <x:v>0</x:v>
      </x:c>
      <x:c r="F709" t="n">
        <x:f>Match_Data!AC709</x:f>
        <x:v>0</x:v>
      </x:c>
      <x:c r="G709" t="str">
        <x:f>IF(OR(Match_Data!K709="",Match_Data!L709=""),"",AVERAGE(Match_Data!K709:L709))</x:f>
      </x:c>
      <x:c r="H709" t="str">
        <x:f>IF(OR(Match_Data!M709="",Match_Data!N709=""),"",AVERAGE(Match_Data!M709:N709))</x:f>
      </x:c>
      <x:c r="I709" t="str">
        <x:f>IF(OR(Match_Data!O709="",Match_Data!Q709=""),"",Match_Data!O709+Match_Data!Q709)</x:f>
      </x:c>
      <x:c r="J709" t="str">
        <x:f>IF(OR(Match_Data!P709="",Match_Data!R709=""),"",Match_Data!P709+Match_Data!R709)</x:f>
      </x:c>
      <x:c r="K709" t="str">
        <x:f>IF(OR(Match_Data!S709="",Match_Data!T709=""),"",Match_Data!S709+Match_Data!T709)</x:f>
      </x:c>
      <x:c r="L709" t="str">
        <x:f>IF(OR(Match_Data!U709="",Match_Data!V709=""),"",Match_Data!U709-Match_Data!V709)</x:f>
      </x:c>
      <x:c r="M709" s="32" t="str">
        <x:f>IF(Match_Data!Y709="","",1/Match_Data!Y709)</x:f>
      </x:c>
      <x:c r="N709" s="32" t="str">
        <x:f>IF(Match_Data!AA709="","",1/Match_Data!AA709)</x:f>
      </x:c>
      <x:c r="O709" s="32" t="str">
        <x:f>IF(OR(M709="",N709=""),"",N709-M709)</x:f>
      </x:c>
      <x:c r="P709" t="str">
        <x:f>IF(Match_Data!J709="","",IF(Match_Data!J709="OVER",1,0))</x:f>
      </x:c>
    </x:row>
    <x:row r="710">
      <x:c r="A710" t="n">
        <x:f>Match_Data!A710</x:f>
        <x:v>0</x:v>
      </x:c>
      <x:c r="B710" s="28" t="n">
        <x:f>Match_Data!B710</x:f>
        <x:v>0</x:v>
      </x:c>
      <x:c r="C710" t="n">
        <x:f>Match_Data!C710</x:f>
        <x:v>0</x:v>
      </x:c>
      <x:c r="D710" t="n">
        <x:f>Match_Data!E710</x:f>
        <x:v>0</x:v>
      </x:c>
      <x:c r="E710" t="n">
        <x:f>Match_Data!F710</x:f>
        <x:v>0</x:v>
      </x:c>
      <x:c r="F710" t="n">
        <x:f>Match_Data!AC710</x:f>
        <x:v>0</x:v>
      </x:c>
      <x:c r="G710" t="str">
        <x:f>IF(OR(Match_Data!K710="",Match_Data!L710=""),"",AVERAGE(Match_Data!K710:L710))</x:f>
      </x:c>
      <x:c r="H710" t="str">
        <x:f>IF(OR(Match_Data!M710="",Match_Data!N710=""),"",AVERAGE(Match_Data!M710:N710))</x:f>
      </x:c>
      <x:c r="I710" t="str">
        <x:f>IF(OR(Match_Data!O710="",Match_Data!Q710=""),"",Match_Data!O710+Match_Data!Q710)</x:f>
      </x:c>
      <x:c r="J710" t="str">
        <x:f>IF(OR(Match_Data!P710="",Match_Data!R710=""),"",Match_Data!P710+Match_Data!R710)</x:f>
      </x:c>
      <x:c r="K710" t="str">
        <x:f>IF(OR(Match_Data!S710="",Match_Data!T710=""),"",Match_Data!S710+Match_Data!T710)</x:f>
      </x:c>
      <x:c r="L710" t="str">
        <x:f>IF(OR(Match_Data!U710="",Match_Data!V710=""),"",Match_Data!U710-Match_Data!V710)</x:f>
      </x:c>
      <x:c r="M710" s="32" t="str">
        <x:f>IF(Match_Data!Y710="","",1/Match_Data!Y710)</x:f>
      </x:c>
      <x:c r="N710" s="32" t="str">
        <x:f>IF(Match_Data!AA710="","",1/Match_Data!AA710)</x:f>
      </x:c>
      <x:c r="O710" s="32" t="str">
        <x:f>IF(OR(M710="",N710=""),"",N710-M710)</x:f>
      </x:c>
      <x:c r="P710" t="str">
        <x:f>IF(Match_Data!J710="","",IF(Match_Data!J710="OVER",1,0))</x:f>
      </x:c>
    </x:row>
    <x:row r="711">
      <x:c r="A711" t="n">
        <x:f>Match_Data!A711</x:f>
        <x:v>0</x:v>
      </x:c>
      <x:c r="B711" s="28" t="n">
        <x:f>Match_Data!B711</x:f>
        <x:v>0</x:v>
      </x:c>
      <x:c r="C711" t="n">
        <x:f>Match_Data!C711</x:f>
        <x:v>0</x:v>
      </x:c>
      <x:c r="D711" t="n">
        <x:f>Match_Data!E711</x:f>
        <x:v>0</x:v>
      </x:c>
      <x:c r="E711" t="n">
        <x:f>Match_Data!F711</x:f>
        <x:v>0</x:v>
      </x:c>
      <x:c r="F711" t="n">
        <x:f>Match_Data!AC711</x:f>
        <x:v>0</x:v>
      </x:c>
      <x:c r="G711" t="str">
        <x:f>IF(OR(Match_Data!K711="",Match_Data!L711=""),"",AVERAGE(Match_Data!K711:L711))</x:f>
      </x:c>
      <x:c r="H711" t="str">
        <x:f>IF(OR(Match_Data!M711="",Match_Data!N711=""),"",AVERAGE(Match_Data!M711:N711))</x:f>
      </x:c>
      <x:c r="I711" t="str">
        <x:f>IF(OR(Match_Data!O711="",Match_Data!Q711=""),"",Match_Data!O711+Match_Data!Q711)</x:f>
      </x:c>
      <x:c r="J711" t="str">
        <x:f>IF(OR(Match_Data!P711="",Match_Data!R711=""),"",Match_Data!P711+Match_Data!R711)</x:f>
      </x:c>
      <x:c r="K711" t="str">
        <x:f>IF(OR(Match_Data!S711="",Match_Data!T711=""),"",Match_Data!S711+Match_Data!T711)</x:f>
      </x:c>
      <x:c r="L711" t="str">
        <x:f>IF(OR(Match_Data!U711="",Match_Data!V711=""),"",Match_Data!U711-Match_Data!V711)</x:f>
      </x:c>
      <x:c r="M711" s="32" t="str">
        <x:f>IF(Match_Data!Y711="","",1/Match_Data!Y711)</x:f>
      </x:c>
      <x:c r="N711" s="32" t="str">
        <x:f>IF(Match_Data!AA711="","",1/Match_Data!AA711)</x:f>
      </x:c>
      <x:c r="O711" s="32" t="str">
        <x:f>IF(OR(M711="",N711=""),"",N711-M711)</x:f>
      </x:c>
      <x:c r="P711" t="str">
        <x:f>IF(Match_Data!J711="","",IF(Match_Data!J711="OVER",1,0))</x:f>
      </x:c>
    </x:row>
    <x:row r="712">
      <x:c r="A712" t="n">
        <x:f>Match_Data!A712</x:f>
        <x:v>0</x:v>
      </x:c>
      <x:c r="B712" s="28" t="n">
        <x:f>Match_Data!B712</x:f>
        <x:v>0</x:v>
      </x:c>
      <x:c r="C712" t="n">
        <x:f>Match_Data!C712</x:f>
        <x:v>0</x:v>
      </x:c>
      <x:c r="D712" t="n">
        <x:f>Match_Data!E712</x:f>
        <x:v>0</x:v>
      </x:c>
      <x:c r="E712" t="n">
        <x:f>Match_Data!F712</x:f>
        <x:v>0</x:v>
      </x:c>
      <x:c r="F712" t="n">
        <x:f>Match_Data!AC712</x:f>
        <x:v>0</x:v>
      </x:c>
      <x:c r="G712" t="str">
        <x:f>IF(OR(Match_Data!K712="",Match_Data!L712=""),"",AVERAGE(Match_Data!K712:L712))</x:f>
      </x:c>
      <x:c r="H712" t="str">
        <x:f>IF(OR(Match_Data!M712="",Match_Data!N712=""),"",AVERAGE(Match_Data!M712:N712))</x:f>
      </x:c>
      <x:c r="I712" t="str">
        <x:f>IF(OR(Match_Data!O712="",Match_Data!Q712=""),"",Match_Data!O712+Match_Data!Q712)</x:f>
      </x:c>
      <x:c r="J712" t="str">
        <x:f>IF(OR(Match_Data!P712="",Match_Data!R712=""),"",Match_Data!P712+Match_Data!R712)</x:f>
      </x:c>
      <x:c r="K712" t="str">
        <x:f>IF(OR(Match_Data!S712="",Match_Data!T712=""),"",Match_Data!S712+Match_Data!T712)</x:f>
      </x:c>
      <x:c r="L712" t="str">
        <x:f>IF(OR(Match_Data!U712="",Match_Data!V712=""),"",Match_Data!U712-Match_Data!V712)</x:f>
      </x:c>
      <x:c r="M712" s="32" t="str">
        <x:f>IF(Match_Data!Y712="","",1/Match_Data!Y712)</x:f>
      </x:c>
      <x:c r="N712" s="32" t="str">
        <x:f>IF(Match_Data!AA712="","",1/Match_Data!AA712)</x:f>
      </x:c>
      <x:c r="O712" s="32" t="str">
        <x:f>IF(OR(M712="",N712=""),"",N712-M712)</x:f>
      </x:c>
      <x:c r="P712" t="str">
        <x:f>IF(Match_Data!J712="","",IF(Match_Data!J712="OVER",1,0))</x:f>
      </x:c>
    </x:row>
    <x:row r="713">
      <x:c r="A713" t="n">
        <x:f>Match_Data!A713</x:f>
        <x:v>0</x:v>
      </x:c>
      <x:c r="B713" s="28" t="n">
        <x:f>Match_Data!B713</x:f>
        <x:v>0</x:v>
      </x:c>
      <x:c r="C713" t="n">
        <x:f>Match_Data!C713</x:f>
        <x:v>0</x:v>
      </x:c>
      <x:c r="D713" t="n">
        <x:f>Match_Data!E713</x:f>
        <x:v>0</x:v>
      </x:c>
      <x:c r="E713" t="n">
        <x:f>Match_Data!F713</x:f>
        <x:v>0</x:v>
      </x:c>
      <x:c r="F713" t="n">
        <x:f>Match_Data!AC713</x:f>
        <x:v>0</x:v>
      </x:c>
      <x:c r="G713" t="str">
        <x:f>IF(OR(Match_Data!K713="",Match_Data!L713=""),"",AVERAGE(Match_Data!K713:L713))</x:f>
      </x:c>
      <x:c r="H713" t="str">
        <x:f>IF(OR(Match_Data!M713="",Match_Data!N713=""),"",AVERAGE(Match_Data!M713:N713))</x:f>
      </x:c>
      <x:c r="I713" t="str">
        <x:f>IF(OR(Match_Data!O713="",Match_Data!Q713=""),"",Match_Data!O713+Match_Data!Q713)</x:f>
      </x:c>
      <x:c r="J713" t="str">
        <x:f>IF(OR(Match_Data!P713="",Match_Data!R713=""),"",Match_Data!P713+Match_Data!R713)</x:f>
      </x:c>
      <x:c r="K713" t="str">
        <x:f>IF(OR(Match_Data!S713="",Match_Data!T713=""),"",Match_Data!S713+Match_Data!T713)</x:f>
      </x:c>
      <x:c r="L713" t="str">
        <x:f>IF(OR(Match_Data!U713="",Match_Data!V713=""),"",Match_Data!U713-Match_Data!V713)</x:f>
      </x:c>
      <x:c r="M713" s="32" t="str">
        <x:f>IF(Match_Data!Y713="","",1/Match_Data!Y713)</x:f>
      </x:c>
      <x:c r="N713" s="32" t="str">
        <x:f>IF(Match_Data!AA713="","",1/Match_Data!AA713)</x:f>
      </x:c>
      <x:c r="O713" s="32" t="str">
        <x:f>IF(OR(M713="",N713=""),"",N713-M713)</x:f>
      </x:c>
      <x:c r="P713" t="str">
        <x:f>IF(Match_Data!J713="","",IF(Match_Data!J713="OVER",1,0))</x:f>
      </x:c>
    </x:row>
    <x:row r="714">
      <x:c r="A714" t="n">
        <x:f>Match_Data!A714</x:f>
        <x:v>0</x:v>
      </x:c>
      <x:c r="B714" s="28" t="n">
        <x:f>Match_Data!B714</x:f>
        <x:v>0</x:v>
      </x:c>
      <x:c r="C714" t="n">
        <x:f>Match_Data!C714</x:f>
        <x:v>0</x:v>
      </x:c>
      <x:c r="D714" t="n">
        <x:f>Match_Data!E714</x:f>
        <x:v>0</x:v>
      </x:c>
      <x:c r="E714" t="n">
        <x:f>Match_Data!F714</x:f>
        <x:v>0</x:v>
      </x:c>
      <x:c r="F714" t="n">
        <x:f>Match_Data!AC714</x:f>
        <x:v>0</x:v>
      </x:c>
      <x:c r="G714" t="str">
        <x:f>IF(OR(Match_Data!K714="",Match_Data!L714=""),"",AVERAGE(Match_Data!K714:L714))</x:f>
      </x:c>
      <x:c r="H714" t="str">
        <x:f>IF(OR(Match_Data!M714="",Match_Data!N714=""),"",AVERAGE(Match_Data!M714:N714))</x:f>
      </x:c>
      <x:c r="I714" t="str">
        <x:f>IF(OR(Match_Data!O714="",Match_Data!Q714=""),"",Match_Data!O714+Match_Data!Q714)</x:f>
      </x:c>
      <x:c r="J714" t="str">
        <x:f>IF(OR(Match_Data!P714="",Match_Data!R714=""),"",Match_Data!P714+Match_Data!R714)</x:f>
      </x:c>
      <x:c r="K714" t="str">
        <x:f>IF(OR(Match_Data!S714="",Match_Data!T714=""),"",Match_Data!S714+Match_Data!T714)</x:f>
      </x:c>
      <x:c r="L714" t="str">
        <x:f>IF(OR(Match_Data!U714="",Match_Data!V714=""),"",Match_Data!U714-Match_Data!V714)</x:f>
      </x:c>
      <x:c r="M714" s="32" t="str">
        <x:f>IF(Match_Data!Y714="","",1/Match_Data!Y714)</x:f>
      </x:c>
      <x:c r="N714" s="32" t="str">
        <x:f>IF(Match_Data!AA714="","",1/Match_Data!AA714)</x:f>
      </x:c>
      <x:c r="O714" s="32" t="str">
        <x:f>IF(OR(M714="",N714=""),"",N714-M714)</x:f>
      </x:c>
      <x:c r="P714" t="str">
        <x:f>IF(Match_Data!J714="","",IF(Match_Data!J714="OVER",1,0))</x:f>
      </x:c>
    </x:row>
    <x:row r="715">
      <x:c r="A715" t="n">
        <x:f>Match_Data!A715</x:f>
        <x:v>0</x:v>
      </x:c>
      <x:c r="B715" s="28" t="n">
        <x:f>Match_Data!B715</x:f>
        <x:v>0</x:v>
      </x:c>
      <x:c r="C715" t="n">
        <x:f>Match_Data!C715</x:f>
        <x:v>0</x:v>
      </x:c>
      <x:c r="D715" t="n">
        <x:f>Match_Data!E715</x:f>
        <x:v>0</x:v>
      </x:c>
      <x:c r="E715" t="n">
        <x:f>Match_Data!F715</x:f>
        <x:v>0</x:v>
      </x:c>
      <x:c r="F715" t="n">
        <x:f>Match_Data!AC715</x:f>
        <x:v>0</x:v>
      </x:c>
      <x:c r="G715" t="str">
        <x:f>IF(OR(Match_Data!K715="",Match_Data!L715=""),"",AVERAGE(Match_Data!K715:L715))</x:f>
      </x:c>
      <x:c r="H715" t="str">
        <x:f>IF(OR(Match_Data!M715="",Match_Data!N715=""),"",AVERAGE(Match_Data!M715:N715))</x:f>
      </x:c>
      <x:c r="I715" t="str">
        <x:f>IF(OR(Match_Data!O715="",Match_Data!Q715=""),"",Match_Data!O715+Match_Data!Q715)</x:f>
      </x:c>
      <x:c r="J715" t="str">
        <x:f>IF(OR(Match_Data!P715="",Match_Data!R715=""),"",Match_Data!P715+Match_Data!R715)</x:f>
      </x:c>
      <x:c r="K715" t="str">
        <x:f>IF(OR(Match_Data!S715="",Match_Data!T715=""),"",Match_Data!S715+Match_Data!T715)</x:f>
      </x:c>
      <x:c r="L715" t="str">
        <x:f>IF(OR(Match_Data!U715="",Match_Data!V715=""),"",Match_Data!U715-Match_Data!V715)</x:f>
      </x:c>
      <x:c r="M715" s="32" t="str">
        <x:f>IF(Match_Data!Y715="","",1/Match_Data!Y715)</x:f>
      </x:c>
      <x:c r="N715" s="32" t="str">
        <x:f>IF(Match_Data!AA715="","",1/Match_Data!AA715)</x:f>
      </x:c>
      <x:c r="O715" s="32" t="str">
        <x:f>IF(OR(M715="",N715=""),"",N715-M715)</x:f>
      </x:c>
      <x:c r="P715" t="str">
        <x:f>IF(Match_Data!J715="","",IF(Match_Data!J715="OVER",1,0))</x:f>
      </x:c>
    </x:row>
    <x:row r="716">
      <x:c r="A716" t="n">
        <x:f>Match_Data!A716</x:f>
        <x:v>0</x:v>
      </x:c>
      <x:c r="B716" s="28" t="n">
        <x:f>Match_Data!B716</x:f>
        <x:v>0</x:v>
      </x:c>
      <x:c r="C716" t="n">
        <x:f>Match_Data!C716</x:f>
        <x:v>0</x:v>
      </x:c>
      <x:c r="D716" t="n">
        <x:f>Match_Data!E716</x:f>
        <x:v>0</x:v>
      </x:c>
      <x:c r="E716" t="n">
        <x:f>Match_Data!F716</x:f>
        <x:v>0</x:v>
      </x:c>
      <x:c r="F716" t="n">
        <x:f>Match_Data!AC716</x:f>
        <x:v>0</x:v>
      </x:c>
      <x:c r="G716" t="str">
        <x:f>IF(OR(Match_Data!K716="",Match_Data!L716=""),"",AVERAGE(Match_Data!K716:L716))</x:f>
      </x:c>
      <x:c r="H716" t="str">
        <x:f>IF(OR(Match_Data!M716="",Match_Data!N716=""),"",AVERAGE(Match_Data!M716:N716))</x:f>
      </x:c>
      <x:c r="I716" t="str">
        <x:f>IF(OR(Match_Data!O716="",Match_Data!Q716=""),"",Match_Data!O716+Match_Data!Q716)</x:f>
      </x:c>
      <x:c r="J716" t="str">
        <x:f>IF(OR(Match_Data!P716="",Match_Data!R716=""),"",Match_Data!P716+Match_Data!R716)</x:f>
      </x:c>
      <x:c r="K716" t="str">
        <x:f>IF(OR(Match_Data!S716="",Match_Data!T716=""),"",Match_Data!S716+Match_Data!T716)</x:f>
      </x:c>
      <x:c r="L716" t="str">
        <x:f>IF(OR(Match_Data!U716="",Match_Data!V716=""),"",Match_Data!U716-Match_Data!V716)</x:f>
      </x:c>
      <x:c r="M716" s="32" t="str">
        <x:f>IF(Match_Data!Y716="","",1/Match_Data!Y716)</x:f>
      </x:c>
      <x:c r="N716" s="32" t="str">
        <x:f>IF(Match_Data!AA716="","",1/Match_Data!AA716)</x:f>
      </x:c>
      <x:c r="O716" s="32" t="str">
        <x:f>IF(OR(M716="",N716=""),"",N716-M716)</x:f>
      </x:c>
      <x:c r="P716" t="str">
        <x:f>IF(Match_Data!J716="","",IF(Match_Data!J716="OVER",1,0))</x:f>
      </x:c>
    </x:row>
    <x:row r="717">
      <x:c r="A717" t="n">
        <x:f>Match_Data!A717</x:f>
        <x:v>0</x:v>
      </x:c>
      <x:c r="B717" s="28" t="n">
        <x:f>Match_Data!B717</x:f>
        <x:v>0</x:v>
      </x:c>
      <x:c r="C717" t="n">
        <x:f>Match_Data!C717</x:f>
        <x:v>0</x:v>
      </x:c>
      <x:c r="D717" t="n">
        <x:f>Match_Data!E717</x:f>
        <x:v>0</x:v>
      </x:c>
      <x:c r="E717" t="n">
        <x:f>Match_Data!F717</x:f>
        <x:v>0</x:v>
      </x:c>
      <x:c r="F717" t="n">
        <x:f>Match_Data!AC717</x:f>
        <x:v>0</x:v>
      </x:c>
      <x:c r="G717" t="str">
        <x:f>IF(OR(Match_Data!K717="",Match_Data!L717=""),"",AVERAGE(Match_Data!K717:L717))</x:f>
      </x:c>
      <x:c r="H717" t="str">
        <x:f>IF(OR(Match_Data!M717="",Match_Data!N717=""),"",AVERAGE(Match_Data!M717:N717))</x:f>
      </x:c>
      <x:c r="I717" t="str">
        <x:f>IF(OR(Match_Data!O717="",Match_Data!Q717=""),"",Match_Data!O717+Match_Data!Q717)</x:f>
      </x:c>
      <x:c r="J717" t="str">
        <x:f>IF(OR(Match_Data!P717="",Match_Data!R717=""),"",Match_Data!P717+Match_Data!R717)</x:f>
      </x:c>
      <x:c r="K717" t="str">
        <x:f>IF(OR(Match_Data!S717="",Match_Data!T717=""),"",Match_Data!S717+Match_Data!T717)</x:f>
      </x:c>
      <x:c r="L717" t="str">
        <x:f>IF(OR(Match_Data!U717="",Match_Data!V717=""),"",Match_Data!U717-Match_Data!V717)</x:f>
      </x:c>
      <x:c r="M717" s="32" t="str">
        <x:f>IF(Match_Data!Y717="","",1/Match_Data!Y717)</x:f>
      </x:c>
      <x:c r="N717" s="32" t="str">
        <x:f>IF(Match_Data!AA717="","",1/Match_Data!AA717)</x:f>
      </x:c>
      <x:c r="O717" s="32" t="str">
        <x:f>IF(OR(M717="",N717=""),"",N717-M717)</x:f>
      </x:c>
      <x:c r="P717" t="str">
        <x:f>IF(Match_Data!J717="","",IF(Match_Data!J717="OVER",1,0))</x:f>
      </x:c>
    </x:row>
    <x:row r="718">
      <x:c r="A718" t="n">
        <x:f>Match_Data!A718</x:f>
        <x:v>0</x:v>
      </x:c>
      <x:c r="B718" s="28" t="n">
        <x:f>Match_Data!B718</x:f>
        <x:v>0</x:v>
      </x:c>
      <x:c r="C718" t="n">
        <x:f>Match_Data!C718</x:f>
        <x:v>0</x:v>
      </x:c>
      <x:c r="D718" t="n">
        <x:f>Match_Data!E718</x:f>
        <x:v>0</x:v>
      </x:c>
      <x:c r="E718" t="n">
        <x:f>Match_Data!F718</x:f>
        <x:v>0</x:v>
      </x:c>
      <x:c r="F718" t="n">
        <x:f>Match_Data!AC718</x:f>
        <x:v>0</x:v>
      </x:c>
      <x:c r="G718" t="str">
        <x:f>IF(OR(Match_Data!K718="",Match_Data!L718=""),"",AVERAGE(Match_Data!K718:L718))</x:f>
      </x:c>
      <x:c r="H718" t="str">
        <x:f>IF(OR(Match_Data!M718="",Match_Data!N718=""),"",AVERAGE(Match_Data!M718:N718))</x:f>
      </x:c>
      <x:c r="I718" t="str">
        <x:f>IF(OR(Match_Data!O718="",Match_Data!Q718=""),"",Match_Data!O718+Match_Data!Q718)</x:f>
      </x:c>
      <x:c r="J718" t="str">
        <x:f>IF(OR(Match_Data!P718="",Match_Data!R718=""),"",Match_Data!P718+Match_Data!R718)</x:f>
      </x:c>
      <x:c r="K718" t="str">
        <x:f>IF(OR(Match_Data!S718="",Match_Data!T718=""),"",Match_Data!S718+Match_Data!T718)</x:f>
      </x:c>
      <x:c r="L718" t="str">
        <x:f>IF(OR(Match_Data!U718="",Match_Data!V718=""),"",Match_Data!U718-Match_Data!V718)</x:f>
      </x:c>
      <x:c r="M718" s="32" t="str">
        <x:f>IF(Match_Data!Y718="","",1/Match_Data!Y718)</x:f>
      </x:c>
      <x:c r="N718" s="32" t="str">
        <x:f>IF(Match_Data!AA718="","",1/Match_Data!AA718)</x:f>
      </x:c>
      <x:c r="O718" s="32" t="str">
        <x:f>IF(OR(M718="",N718=""),"",N718-M718)</x:f>
      </x:c>
      <x:c r="P718" t="str">
        <x:f>IF(Match_Data!J718="","",IF(Match_Data!J718="OVER",1,0))</x:f>
      </x:c>
    </x:row>
    <x:row r="719">
      <x:c r="A719" t="n">
        <x:f>Match_Data!A719</x:f>
        <x:v>0</x:v>
      </x:c>
      <x:c r="B719" s="28" t="n">
        <x:f>Match_Data!B719</x:f>
        <x:v>0</x:v>
      </x:c>
      <x:c r="C719" t="n">
        <x:f>Match_Data!C719</x:f>
        <x:v>0</x:v>
      </x:c>
      <x:c r="D719" t="n">
        <x:f>Match_Data!E719</x:f>
        <x:v>0</x:v>
      </x:c>
      <x:c r="E719" t="n">
        <x:f>Match_Data!F719</x:f>
        <x:v>0</x:v>
      </x:c>
      <x:c r="F719" t="n">
        <x:f>Match_Data!AC719</x:f>
        <x:v>0</x:v>
      </x:c>
      <x:c r="G719" t="str">
        <x:f>IF(OR(Match_Data!K719="",Match_Data!L719=""),"",AVERAGE(Match_Data!K719:L719))</x:f>
      </x:c>
      <x:c r="H719" t="str">
        <x:f>IF(OR(Match_Data!M719="",Match_Data!N719=""),"",AVERAGE(Match_Data!M719:N719))</x:f>
      </x:c>
      <x:c r="I719" t="str">
        <x:f>IF(OR(Match_Data!O719="",Match_Data!Q719=""),"",Match_Data!O719+Match_Data!Q719)</x:f>
      </x:c>
      <x:c r="J719" t="str">
        <x:f>IF(OR(Match_Data!P719="",Match_Data!R719=""),"",Match_Data!P719+Match_Data!R719)</x:f>
      </x:c>
      <x:c r="K719" t="str">
        <x:f>IF(OR(Match_Data!S719="",Match_Data!T719=""),"",Match_Data!S719+Match_Data!T719)</x:f>
      </x:c>
      <x:c r="L719" t="str">
        <x:f>IF(OR(Match_Data!U719="",Match_Data!V719=""),"",Match_Data!U719-Match_Data!V719)</x:f>
      </x:c>
      <x:c r="M719" s="32" t="str">
        <x:f>IF(Match_Data!Y719="","",1/Match_Data!Y719)</x:f>
      </x:c>
      <x:c r="N719" s="32" t="str">
        <x:f>IF(Match_Data!AA719="","",1/Match_Data!AA719)</x:f>
      </x:c>
      <x:c r="O719" s="32" t="str">
        <x:f>IF(OR(M719="",N719=""),"",N719-M719)</x:f>
      </x:c>
      <x:c r="P719" t="str">
        <x:f>IF(Match_Data!J719="","",IF(Match_Data!J719="OVER",1,0))</x:f>
      </x:c>
    </x:row>
    <x:row r="720">
      <x:c r="A720" t="n">
        <x:f>Match_Data!A720</x:f>
        <x:v>0</x:v>
      </x:c>
      <x:c r="B720" s="28" t="n">
        <x:f>Match_Data!B720</x:f>
        <x:v>0</x:v>
      </x:c>
      <x:c r="C720" t="n">
        <x:f>Match_Data!C720</x:f>
        <x:v>0</x:v>
      </x:c>
      <x:c r="D720" t="n">
        <x:f>Match_Data!E720</x:f>
        <x:v>0</x:v>
      </x:c>
      <x:c r="E720" t="n">
        <x:f>Match_Data!F720</x:f>
        <x:v>0</x:v>
      </x:c>
      <x:c r="F720" t="n">
        <x:f>Match_Data!AC720</x:f>
        <x:v>0</x:v>
      </x:c>
      <x:c r="G720" t="str">
        <x:f>IF(OR(Match_Data!K720="",Match_Data!L720=""),"",AVERAGE(Match_Data!K720:L720))</x:f>
      </x:c>
      <x:c r="H720" t="str">
        <x:f>IF(OR(Match_Data!M720="",Match_Data!N720=""),"",AVERAGE(Match_Data!M720:N720))</x:f>
      </x:c>
      <x:c r="I720" t="str">
        <x:f>IF(OR(Match_Data!O720="",Match_Data!Q720=""),"",Match_Data!O720+Match_Data!Q720)</x:f>
      </x:c>
      <x:c r="J720" t="str">
        <x:f>IF(OR(Match_Data!P720="",Match_Data!R720=""),"",Match_Data!P720+Match_Data!R720)</x:f>
      </x:c>
      <x:c r="K720" t="str">
        <x:f>IF(OR(Match_Data!S720="",Match_Data!T720=""),"",Match_Data!S720+Match_Data!T720)</x:f>
      </x:c>
      <x:c r="L720" t="str">
        <x:f>IF(OR(Match_Data!U720="",Match_Data!V720=""),"",Match_Data!U720-Match_Data!V720)</x:f>
      </x:c>
      <x:c r="M720" s="32" t="str">
        <x:f>IF(Match_Data!Y720="","",1/Match_Data!Y720)</x:f>
      </x:c>
      <x:c r="N720" s="32" t="str">
        <x:f>IF(Match_Data!AA720="","",1/Match_Data!AA720)</x:f>
      </x:c>
      <x:c r="O720" s="32" t="str">
        <x:f>IF(OR(M720="",N720=""),"",N720-M720)</x:f>
      </x:c>
      <x:c r="P720" t="str">
        <x:f>IF(Match_Data!J720="","",IF(Match_Data!J720="OVER",1,0))</x:f>
      </x:c>
    </x:row>
    <x:row r="721">
      <x:c r="A721" t="n">
        <x:f>Match_Data!A721</x:f>
        <x:v>0</x:v>
      </x:c>
      <x:c r="B721" s="28" t="n">
        <x:f>Match_Data!B721</x:f>
        <x:v>0</x:v>
      </x:c>
      <x:c r="C721" t="n">
        <x:f>Match_Data!C721</x:f>
        <x:v>0</x:v>
      </x:c>
      <x:c r="D721" t="n">
        <x:f>Match_Data!E721</x:f>
        <x:v>0</x:v>
      </x:c>
      <x:c r="E721" t="n">
        <x:f>Match_Data!F721</x:f>
        <x:v>0</x:v>
      </x:c>
      <x:c r="F721" t="n">
        <x:f>Match_Data!AC721</x:f>
        <x:v>0</x:v>
      </x:c>
      <x:c r="G721" t="str">
        <x:f>IF(OR(Match_Data!K721="",Match_Data!L721=""),"",AVERAGE(Match_Data!K721:L721))</x:f>
      </x:c>
      <x:c r="H721" t="str">
        <x:f>IF(OR(Match_Data!M721="",Match_Data!N721=""),"",AVERAGE(Match_Data!M721:N721))</x:f>
      </x:c>
      <x:c r="I721" t="str">
        <x:f>IF(OR(Match_Data!O721="",Match_Data!Q721=""),"",Match_Data!O721+Match_Data!Q721)</x:f>
      </x:c>
      <x:c r="J721" t="str">
        <x:f>IF(OR(Match_Data!P721="",Match_Data!R721=""),"",Match_Data!P721+Match_Data!R721)</x:f>
      </x:c>
      <x:c r="K721" t="str">
        <x:f>IF(OR(Match_Data!S721="",Match_Data!T721=""),"",Match_Data!S721+Match_Data!T721)</x:f>
      </x:c>
      <x:c r="L721" t="str">
        <x:f>IF(OR(Match_Data!U721="",Match_Data!V721=""),"",Match_Data!U721-Match_Data!V721)</x:f>
      </x:c>
      <x:c r="M721" s="32" t="str">
        <x:f>IF(Match_Data!Y721="","",1/Match_Data!Y721)</x:f>
      </x:c>
      <x:c r="N721" s="32" t="str">
        <x:f>IF(Match_Data!AA721="","",1/Match_Data!AA721)</x:f>
      </x:c>
      <x:c r="O721" s="32" t="str">
        <x:f>IF(OR(M721="",N721=""),"",N721-M721)</x:f>
      </x:c>
      <x:c r="P721" t="str">
        <x:f>IF(Match_Data!J721="","",IF(Match_Data!J721="OVER",1,0))</x:f>
      </x:c>
    </x:row>
    <x:row r="722">
      <x:c r="A722" t="n">
        <x:f>Match_Data!A722</x:f>
        <x:v>0</x:v>
      </x:c>
      <x:c r="B722" s="28" t="n">
        <x:f>Match_Data!B722</x:f>
        <x:v>0</x:v>
      </x:c>
      <x:c r="C722" t="n">
        <x:f>Match_Data!C722</x:f>
        <x:v>0</x:v>
      </x:c>
      <x:c r="D722" t="n">
        <x:f>Match_Data!E722</x:f>
        <x:v>0</x:v>
      </x:c>
      <x:c r="E722" t="n">
        <x:f>Match_Data!F722</x:f>
        <x:v>0</x:v>
      </x:c>
      <x:c r="F722" t="n">
        <x:f>Match_Data!AC722</x:f>
        <x:v>0</x:v>
      </x:c>
      <x:c r="G722" t="str">
        <x:f>IF(OR(Match_Data!K722="",Match_Data!L722=""),"",AVERAGE(Match_Data!K722:L722))</x:f>
      </x:c>
      <x:c r="H722" t="str">
        <x:f>IF(OR(Match_Data!M722="",Match_Data!N722=""),"",AVERAGE(Match_Data!M722:N722))</x:f>
      </x:c>
      <x:c r="I722" t="str">
        <x:f>IF(OR(Match_Data!O722="",Match_Data!Q722=""),"",Match_Data!O722+Match_Data!Q722)</x:f>
      </x:c>
      <x:c r="J722" t="str">
        <x:f>IF(OR(Match_Data!P722="",Match_Data!R722=""),"",Match_Data!P722+Match_Data!R722)</x:f>
      </x:c>
      <x:c r="K722" t="str">
        <x:f>IF(OR(Match_Data!S722="",Match_Data!T722=""),"",Match_Data!S722+Match_Data!T722)</x:f>
      </x:c>
      <x:c r="L722" t="str">
        <x:f>IF(OR(Match_Data!U722="",Match_Data!V722=""),"",Match_Data!U722-Match_Data!V722)</x:f>
      </x:c>
      <x:c r="M722" s="32" t="str">
        <x:f>IF(Match_Data!Y722="","",1/Match_Data!Y722)</x:f>
      </x:c>
      <x:c r="N722" s="32" t="str">
        <x:f>IF(Match_Data!AA722="","",1/Match_Data!AA722)</x:f>
      </x:c>
      <x:c r="O722" s="32" t="str">
        <x:f>IF(OR(M722="",N722=""),"",N722-M722)</x:f>
      </x:c>
      <x:c r="P722" t="str">
        <x:f>IF(Match_Data!J722="","",IF(Match_Data!J722="OVER",1,0))</x:f>
      </x:c>
    </x:row>
    <x:row r="723">
      <x:c r="A723" t="n">
        <x:f>Match_Data!A723</x:f>
        <x:v>0</x:v>
      </x:c>
      <x:c r="B723" s="28" t="n">
        <x:f>Match_Data!B723</x:f>
        <x:v>0</x:v>
      </x:c>
      <x:c r="C723" t="n">
        <x:f>Match_Data!C723</x:f>
        <x:v>0</x:v>
      </x:c>
      <x:c r="D723" t="n">
        <x:f>Match_Data!E723</x:f>
        <x:v>0</x:v>
      </x:c>
      <x:c r="E723" t="n">
        <x:f>Match_Data!F723</x:f>
        <x:v>0</x:v>
      </x:c>
      <x:c r="F723" t="n">
        <x:f>Match_Data!AC723</x:f>
        <x:v>0</x:v>
      </x:c>
      <x:c r="G723" t="str">
        <x:f>IF(OR(Match_Data!K723="",Match_Data!L723=""),"",AVERAGE(Match_Data!K723:L723))</x:f>
      </x:c>
      <x:c r="H723" t="str">
        <x:f>IF(OR(Match_Data!M723="",Match_Data!N723=""),"",AVERAGE(Match_Data!M723:N723))</x:f>
      </x:c>
      <x:c r="I723" t="str">
        <x:f>IF(OR(Match_Data!O723="",Match_Data!Q723=""),"",Match_Data!O723+Match_Data!Q723)</x:f>
      </x:c>
      <x:c r="J723" t="str">
        <x:f>IF(OR(Match_Data!P723="",Match_Data!R723=""),"",Match_Data!P723+Match_Data!R723)</x:f>
      </x:c>
      <x:c r="K723" t="str">
        <x:f>IF(OR(Match_Data!S723="",Match_Data!T723=""),"",Match_Data!S723+Match_Data!T723)</x:f>
      </x:c>
      <x:c r="L723" t="str">
        <x:f>IF(OR(Match_Data!U723="",Match_Data!V723=""),"",Match_Data!U723-Match_Data!V723)</x:f>
      </x:c>
      <x:c r="M723" s="32" t="str">
        <x:f>IF(Match_Data!Y723="","",1/Match_Data!Y723)</x:f>
      </x:c>
      <x:c r="N723" s="32" t="str">
        <x:f>IF(Match_Data!AA723="","",1/Match_Data!AA723)</x:f>
      </x:c>
      <x:c r="O723" s="32" t="str">
        <x:f>IF(OR(M723="",N723=""),"",N723-M723)</x:f>
      </x:c>
      <x:c r="P723" t="str">
        <x:f>IF(Match_Data!J723="","",IF(Match_Data!J723="OVER",1,0))</x:f>
      </x:c>
    </x:row>
    <x:row r="724">
      <x:c r="A724" t="n">
        <x:f>Match_Data!A724</x:f>
        <x:v>0</x:v>
      </x:c>
      <x:c r="B724" s="28" t="n">
        <x:f>Match_Data!B724</x:f>
        <x:v>0</x:v>
      </x:c>
      <x:c r="C724" t="n">
        <x:f>Match_Data!C724</x:f>
        <x:v>0</x:v>
      </x:c>
      <x:c r="D724" t="n">
        <x:f>Match_Data!E724</x:f>
        <x:v>0</x:v>
      </x:c>
      <x:c r="E724" t="n">
        <x:f>Match_Data!F724</x:f>
        <x:v>0</x:v>
      </x:c>
      <x:c r="F724" t="n">
        <x:f>Match_Data!AC724</x:f>
        <x:v>0</x:v>
      </x:c>
      <x:c r="G724" t="str">
        <x:f>IF(OR(Match_Data!K724="",Match_Data!L724=""),"",AVERAGE(Match_Data!K724:L724))</x:f>
      </x:c>
      <x:c r="H724" t="str">
        <x:f>IF(OR(Match_Data!M724="",Match_Data!N724=""),"",AVERAGE(Match_Data!M724:N724))</x:f>
      </x:c>
      <x:c r="I724" t="str">
        <x:f>IF(OR(Match_Data!O724="",Match_Data!Q724=""),"",Match_Data!O724+Match_Data!Q724)</x:f>
      </x:c>
      <x:c r="J724" t="str">
        <x:f>IF(OR(Match_Data!P724="",Match_Data!R724=""),"",Match_Data!P724+Match_Data!R724)</x:f>
      </x:c>
      <x:c r="K724" t="str">
        <x:f>IF(OR(Match_Data!S724="",Match_Data!T724=""),"",Match_Data!S724+Match_Data!T724)</x:f>
      </x:c>
      <x:c r="L724" t="str">
        <x:f>IF(OR(Match_Data!U724="",Match_Data!V724=""),"",Match_Data!U724-Match_Data!V724)</x:f>
      </x:c>
      <x:c r="M724" s="32" t="str">
        <x:f>IF(Match_Data!Y724="","",1/Match_Data!Y724)</x:f>
      </x:c>
      <x:c r="N724" s="32" t="str">
        <x:f>IF(Match_Data!AA724="","",1/Match_Data!AA724)</x:f>
      </x:c>
      <x:c r="O724" s="32" t="str">
        <x:f>IF(OR(M724="",N724=""),"",N724-M724)</x:f>
      </x:c>
      <x:c r="P724" t="str">
        <x:f>IF(Match_Data!J724="","",IF(Match_Data!J724="OVER",1,0))</x:f>
      </x:c>
    </x:row>
    <x:row r="725">
      <x:c r="A725" t="n">
        <x:f>Match_Data!A725</x:f>
        <x:v>0</x:v>
      </x:c>
      <x:c r="B725" s="28" t="n">
        <x:f>Match_Data!B725</x:f>
        <x:v>0</x:v>
      </x:c>
      <x:c r="C725" t="n">
        <x:f>Match_Data!C725</x:f>
        <x:v>0</x:v>
      </x:c>
      <x:c r="D725" t="n">
        <x:f>Match_Data!E725</x:f>
        <x:v>0</x:v>
      </x:c>
      <x:c r="E725" t="n">
        <x:f>Match_Data!F725</x:f>
        <x:v>0</x:v>
      </x:c>
      <x:c r="F725" t="n">
        <x:f>Match_Data!AC725</x:f>
        <x:v>0</x:v>
      </x:c>
      <x:c r="G725" t="str">
        <x:f>IF(OR(Match_Data!K725="",Match_Data!L725=""),"",AVERAGE(Match_Data!K725:L725))</x:f>
      </x:c>
      <x:c r="H725" t="str">
        <x:f>IF(OR(Match_Data!M725="",Match_Data!N725=""),"",AVERAGE(Match_Data!M725:N725))</x:f>
      </x:c>
      <x:c r="I725" t="str">
        <x:f>IF(OR(Match_Data!O725="",Match_Data!Q725=""),"",Match_Data!O725+Match_Data!Q725)</x:f>
      </x:c>
      <x:c r="J725" t="str">
        <x:f>IF(OR(Match_Data!P725="",Match_Data!R725=""),"",Match_Data!P725+Match_Data!R725)</x:f>
      </x:c>
      <x:c r="K725" t="str">
        <x:f>IF(OR(Match_Data!S725="",Match_Data!T725=""),"",Match_Data!S725+Match_Data!T725)</x:f>
      </x:c>
      <x:c r="L725" t="str">
        <x:f>IF(OR(Match_Data!U725="",Match_Data!V725=""),"",Match_Data!U725-Match_Data!V725)</x:f>
      </x:c>
      <x:c r="M725" s="32" t="str">
        <x:f>IF(Match_Data!Y725="","",1/Match_Data!Y725)</x:f>
      </x:c>
      <x:c r="N725" s="32" t="str">
        <x:f>IF(Match_Data!AA725="","",1/Match_Data!AA725)</x:f>
      </x:c>
      <x:c r="O725" s="32" t="str">
        <x:f>IF(OR(M725="",N725=""),"",N725-M725)</x:f>
      </x:c>
      <x:c r="P725" t="str">
        <x:f>IF(Match_Data!J725="","",IF(Match_Data!J725="OVER",1,0))</x:f>
      </x:c>
    </x:row>
    <x:row r="726">
      <x:c r="A726" t="n">
        <x:f>Match_Data!A726</x:f>
        <x:v>0</x:v>
      </x:c>
      <x:c r="B726" s="28" t="n">
        <x:f>Match_Data!B726</x:f>
        <x:v>0</x:v>
      </x:c>
      <x:c r="C726" t="n">
        <x:f>Match_Data!C726</x:f>
        <x:v>0</x:v>
      </x:c>
      <x:c r="D726" t="n">
        <x:f>Match_Data!E726</x:f>
        <x:v>0</x:v>
      </x:c>
      <x:c r="E726" t="n">
        <x:f>Match_Data!F726</x:f>
        <x:v>0</x:v>
      </x:c>
      <x:c r="F726" t="n">
        <x:f>Match_Data!AC726</x:f>
        <x:v>0</x:v>
      </x:c>
      <x:c r="G726" t="str">
        <x:f>IF(OR(Match_Data!K726="",Match_Data!L726=""),"",AVERAGE(Match_Data!K726:L726))</x:f>
      </x:c>
      <x:c r="H726" t="str">
        <x:f>IF(OR(Match_Data!M726="",Match_Data!N726=""),"",AVERAGE(Match_Data!M726:N726))</x:f>
      </x:c>
      <x:c r="I726" t="str">
        <x:f>IF(OR(Match_Data!O726="",Match_Data!Q726=""),"",Match_Data!O726+Match_Data!Q726)</x:f>
      </x:c>
      <x:c r="J726" t="str">
        <x:f>IF(OR(Match_Data!P726="",Match_Data!R726=""),"",Match_Data!P726+Match_Data!R726)</x:f>
      </x:c>
      <x:c r="K726" t="str">
        <x:f>IF(OR(Match_Data!S726="",Match_Data!T726=""),"",Match_Data!S726+Match_Data!T726)</x:f>
      </x:c>
      <x:c r="L726" t="str">
        <x:f>IF(OR(Match_Data!U726="",Match_Data!V726=""),"",Match_Data!U726-Match_Data!V726)</x:f>
      </x:c>
      <x:c r="M726" s="32" t="str">
        <x:f>IF(Match_Data!Y726="","",1/Match_Data!Y726)</x:f>
      </x:c>
      <x:c r="N726" s="32" t="str">
        <x:f>IF(Match_Data!AA726="","",1/Match_Data!AA726)</x:f>
      </x:c>
      <x:c r="O726" s="32" t="str">
        <x:f>IF(OR(M726="",N726=""),"",N726-M726)</x:f>
      </x:c>
      <x:c r="P726" t="str">
        <x:f>IF(Match_Data!J726="","",IF(Match_Data!J726="OVER",1,0))</x:f>
      </x:c>
    </x:row>
    <x:row r="727">
      <x:c r="A727" t="n">
        <x:f>Match_Data!A727</x:f>
        <x:v>0</x:v>
      </x:c>
      <x:c r="B727" s="28" t="n">
        <x:f>Match_Data!B727</x:f>
        <x:v>0</x:v>
      </x:c>
      <x:c r="C727" t="n">
        <x:f>Match_Data!C727</x:f>
        <x:v>0</x:v>
      </x:c>
      <x:c r="D727" t="n">
        <x:f>Match_Data!E727</x:f>
        <x:v>0</x:v>
      </x:c>
      <x:c r="E727" t="n">
        <x:f>Match_Data!F727</x:f>
        <x:v>0</x:v>
      </x:c>
      <x:c r="F727" t="n">
        <x:f>Match_Data!AC727</x:f>
        <x:v>0</x:v>
      </x:c>
      <x:c r="G727" t="str">
        <x:f>IF(OR(Match_Data!K727="",Match_Data!L727=""),"",AVERAGE(Match_Data!K727:L727))</x:f>
      </x:c>
      <x:c r="H727" t="str">
        <x:f>IF(OR(Match_Data!M727="",Match_Data!N727=""),"",AVERAGE(Match_Data!M727:N727))</x:f>
      </x:c>
      <x:c r="I727" t="str">
        <x:f>IF(OR(Match_Data!O727="",Match_Data!Q727=""),"",Match_Data!O727+Match_Data!Q727)</x:f>
      </x:c>
      <x:c r="J727" t="str">
        <x:f>IF(OR(Match_Data!P727="",Match_Data!R727=""),"",Match_Data!P727+Match_Data!R727)</x:f>
      </x:c>
      <x:c r="K727" t="str">
        <x:f>IF(OR(Match_Data!S727="",Match_Data!T727=""),"",Match_Data!S727+Match_Data!T727)</x:f>
      </x:c>
      <x:c r="L727" t="str">
        <x:f>IF(OR(Match_Data!U727="",Match_Data!V727=""),"",Match_Data!U727-Match_Data!V727)</x:f>
      </x:c>
      <x:c r="M727" s="32" t="str">
        <x:f>IF(Match_Data!Y727="","",1/Match_Data!Y727)</x:f>
      </x:c>
      <x:c r="N727" s="32" t="str">
        <x:f>IF(Match_Data!AA727="","",1/Match_Data!AA727)</x:f>
      </x:c>
      <x:c r="O727" s="32" t="str">
        <x:f>IF(OR(M727="",N727=""),"",N727-M727)</x:f>
      </x:c>
      <x:c r="P727" t="str">
        <x:f>IF(Match_Data!J727="","",IF(Match_Data!J727="OVER",1,0))</x:f>
      </x:c>
    </x:row>
    <x:row r="728">
      <x:c r="A728" t="n">
        <x:f>Match_Data!A728</x:f>
        <x:v>0</x:v>
      </x:c>
      <x:c r="B728" s="28" t="n">
        <x:f>Match_Data!B728</x:f>
        <x:v>0</x:v>
      </x:c>
      <x:c r="C728" t="n">
        <x:f>Match_Data!C728</x:f>
        <x:v>0</x:v>
      </x:c>
      <x:c r="D728" t="n">
        <x:f>Match_Data!E728</x:f>
        <x:v>0</x:v>
      </x:c>
      <x:c r="E728" t="n">
        <x:f>Match_Data!F728</x:f>
        <x:v>0</x:v>
      </x:c>
      <x:c r="F728" t="n">
        <x:f>Match_Data!AC728</x:f>
        <x:v>0</x:v>
      </x:c>
      <x:c r="G728" t="str">
        <x:f>IF(OR(Match_Data!K728="",Match_Data!L728=""),"",AVERAGE(Match_Data!K728:L728))</x:f>
      </x:c>
      <x:c r="H728" t="str">
        <x:f>IF(OR(Match_Data!M728="",Match_Data!N728=""),"",AVERAGE(Match_Data!M728:N728))</x:f>
      </x:c>
      <x:c r="I728" t="str">
        <x:f>IF(OR(Match_Data!O728="",Match_Data!Q728=""),"",Match_Data!O728+Match_Data!Q728)</x:f>
      </x:c>
      <x:c r="J728" t="str">
        <x:f>IF(OR(Match_Data!P728="",Match_Data!R728=""),"",Match_Data!P728+Match_Data!R728)</x:f>
      </x:c>
      <x:c r="K728" t="str">
        <x:f>IF(OR(Match_Data!S728="",Match_Data!T728=""),"",Match_Data!S728+Match_Data!T728)</x:f>
      </x:c>
      <x:c r="L728" t="str">
        <x:f>IF(OR(Match_Data!U728="",Match_Data!V728=""),"",Match_Data!U728-Match_Data!V728)</x:f>
      </x:c>
      <x:c r="M728" s="32" t="str">
        <x:f>IF(Match_Data!Y728="","",1/Match_Data!Y728)</x:f>
      </x:c>
      <x:c r="N728" s="32" t="str">
        <x:f>IF(Match_Data!AA728="","",1/Match_Data!AA728)</x:f>
      </x:c>
      <x:c r="O728" s="32" t="str">
        <x:f>IF(OR(M728="",N728=""),"",N728-M728)</x:f>
      </x:c>
      <x:c r="P728" t="str">
        <x:f>IF(Match_Data!J728="","",IF(Match_Data!J728="OVER",1,0))</x:f>
      </x:c>
    </x:row>
    <x:row r="729">
      <x:c r="A729" t="n">
        <x:f>Match_Data!A729</x:f>
        <x:v>0</x:v>
      </x:c>
      <x:c r="B729" s="28" t="n">
        <x:f>Match_Data!B729</x:f>
        <x:v>0</x:v>
      </x:c>
      <x:c r="C729" t="n">
        <x:f>Match_Data!C729</x:f>
        <x:v>0</x:v>
      </x:c>
      <x:c r="D729" t="n">
        <x:f>Match_Data!E729</x:f>
        <x:v>0</x:v>
      </x:c>
      <x:c r="E729" t="n">
        <x:f>Match_Data!F729</x:f>
        <x:v>0</x:v>
      </x:c>
      <x:c r="F729" t="n">
        <x:f>Match_Data!AC729</x:f>
        <x:v>0</x:v>
      </x:c>
      <x:c r="G729" t="str">
        <x:f>IF(OR(Match_Data!K729="",Match_Data!L729=""),"",AVERAGE(Match_Data!K729:L729))</x:f>
      </x:c>
      <x:c r="H729" t="str">
        <x:f>IF(OR(Match_Data!M729="",Match_Data!N729=""),"",AVERAGE(Match_Data!M729:N729))</x:f>
      </x:c>
      <x:c r="I729" t="str">
        <x:f>IF(OR(Match_Data!O729="",Match_Data!Q729=""),"",Match_Data!O729+Match_Data!Q729)</x:f>
      </x:c>
      <x:c r="J729" t="str">
        <x:f>IF(OR(Match_Data!P729="",Match_Data!R729=""),"",Match_Data!P729+Match_Data!R729)</x:f>
      </x:c>
      <x:c r="K729" t="str">
        <x:f>IF(OR(Match_Data!S729="",Match_Data!T729=""),"",Match_Data!S729+Match_Data!T729)</x:f>
      </x:c>
      <x:c r="L729" t="str">
        <x:f>IF(OR(Match_Data!U729="",Match_Data!V729=""),"",Match_Data!U729-Match_Data!V729)</x:f>
      </x:c>
      <x:c r="M729" s="32" t="str">
        <x:f>IF(Match_Data!Y729="","",1/Match_Data!Y729)</x:f>
      </x:c>
      <x:c r="N729" s="32" t="str">
        <x:f>IF(Match_Data!AA729="","",1/Match_Data!AA729)</x:f>
      </x:c>
      <x:c r="O729" s="32" t="str">
        <x:f>IF(OR(M729="",N729=""),"",N729-M729)</x:f>
      </x:c>
      <x:c r="P729" t="str">
        <x:f>IF(Match_Data!J729="","",IF(Match_Data!J729="OVER",1,0))</x:f>
      </x:c>
    </x:row>
    <x:row r="730">
      <x:c r="A730" t="n">
        <x:f>Match_Data!A730</x:f>
        <x:v>0</x:v>
      </x:c>
      <x:c r="B730" s="28" t="n">
        <x:f>Match_Data!B730</x:f>
        <x:v>0</x:v>
      </x:c>
      <x:c r="C730" t="n">
        <x:f>Match_Data!C730</x:f>
        <x:v>0</x:v>
      </x:c>
      <x:c r="D730" t="n">
        <x:f>Match_Data!E730</x:f>
        <x:v>0</x:v>
      </x:c>
      <x:c r="E730" t="n">
        <x:f>Match_Data!F730</x:f>
        <x:v>0</x:v>
      </x:c>
      <x:c r="F730" t="n">
        <x:f>Match_Data!AC730</x:f>
        <x:v>0</x:v>
      </x:c>
      <x:c r="G730" t="str">
        <x:f>IF(OR(Match_Data!K730="",Match_Data!L730=""),"",AVERAGE(Match_Data!K730:L730))</x:f>
      </x:c>
      <x:c r="H730" t="str">
        <x:f>IF(OR(Match_Data!M730="",Match_Data!N730=""),"",AVERAGE(Match_Data!M730:N730))</x:f>
      </x:c>
      <x:c r="I730" t="str">
        <x:f>IF(OR(Match_Data!O730="",Match_Data!Q730=""),"",Match_Data!O730+Match_Data!Q730)</x:f>
      </x:c>
      <x:c r="J730" t="str">
        <x:f>IF(OR(Match_Data!P730="",Match_Data!R730=""),"",Match_Data!P730+Match_Data!R730)</x:f>
      </x:c>
      <x:c r="K730" t="str">
        <x:f>IF(OR(Match_Data!S730="",Match_Data!T730=""),"",Match_Data!S730+Match_Data!T730)</x:f>
      </x:c>
      <x:c r="L730" t="str">
        <x:f>IF(OR(Match_Data!U730="",Match_Data!V730=""),"",Match_Data!U730-Match_Data!V730)</x:f>
      </x:c>
      <x:c r="M730" s="32" t="str">
        <x:f>IF(Match_Data!Y730="","",1/Match_Data!Y730)</x:f>
      </x:c>
      <x:c r="N730" s="32" t="str">
        <x:f>IF(Match_Data!AA730="","",1/Match_Data!AA730)</x:f>
      </x:c>
      <x:c r="O730" s="32" t="str">
        <x:f>IF(OR(M730="",N730=""),"",N730-M730)</x:f>
      </x:c>
      <x:c r="P730" t="str">
        <x:f>IF(Match_Data!J730="","",IF(Match_Data!J730="OVER",1,0))</x:f>
      </x:c>
    </x:row>
    <x:row r="731">
      <x:c r="A731" t="n">
        <x:f>Match_Data!A731</x:f>
        <x:v>0</x:v>
      </x:c>
      <x:c r="B731" s="28" t="n">
        <x:f>Match_Data!B731</x:f>
        <x:v>0</x:v>
      </x:c>
      <x:c r="C731" t="n">
        <x:f>Match_Data!C731</x:f>
        <x:v>0</x:v>
      </x:c>
      <x:c r="D731" t="n">
        <x:f>Match_Data!E731</x:f>
        <x:v>0</x:v>
      </x:c>
      <x:c r="E731" t="n">
        <x:f>Match_Data!F731</x:f>
        <x:v>0</x:v>
      </x:c>
      <x:c r="F731" t="n">
        <x:f>Match_Data!AC731</x:f>
        <x:v>0</x:v>
      </x:c>
      <x:c r="G731" t="str">
        <x:f>IF(OR(Match_Data!K731="",Match_Data!L731=""),"",AVERAGE(Match_Data!K731:L731))</x:f>
      </x:c>
      <x:c r="H731" t="str">
        <x:f>IF(OR(Match_Data!M731="",Match_Data!N731=""),"",AVERAGE(Match_Data!M731:N731))</x:f>
      </x:c>
      <x:c r="I731" t="str">
        <x:f>IF(OR(Match_Data!O731="",Match_Data!Q731=""),"",Match_Data!O731+Match_Data!Q731)</x:f>
      </x:c>
      <x:c r="J731" t="str">
        <x:f>IF(OR(Match_Data!P731="",Match_Data!R731=""),"",Match_Data!P731+Match_Data!R731)</x:f>
      </x:c>
      <x:c r="K731" t="str">
        <x:f>IF(OR(Match_Data!S731="",Match_Data!T731=""),"",Match_Data!S731+Match_Data!T731)</x:f>
      </x:c>
      <x:c r="L731" t="str">
        <x:f>IF(OR(Match_Data!U731="",Match_Data!V731=""),"",Match_Data!U731-Match_Data!V731)</x:f>
      </x:c>
      <x:c r="M731" s="32" t="str">
        <x:f>IF(Match_Data!Y731="","",1/Match_Data!Y731)</x:f>
      </x:c>
      <x:c r="N731" s="32" t="str">
        <x:f>IF(Match_Data!AA731="","",1/Match_Data!AA731)</x:f>
      </x:c>
      <x:c r="O731" s="32" t="str">
        <x:f>IF(OR(M731="",N731=""),"",N731-M731)</x:f>
      </x:c>
      <x:c r="P731" t="str">
        <x:f>IF(Match_Data!J731="","",IF(Match_Data!J731="OVER",1,0))</x:f>
      </x:c>
    </x:row>
    <x:row r="732">
      <x:c r="A732" t="n">
        <x:f>Match_Data!A732</x:f>
        <x:v>0</x:v>
      </x:c>
      <x:c r="B732" s="28" t="n">
        <x:f>Match_Data!B732</x:f>
        <x:v>0</x:v>
      </x:c>
      <x:c r="C732" t="n">
        <x:f>Match_Data!C732</x:f>
        <x:v>0</x:v>
      </x:c>
      <x:c r="D732" t="n">
        <x:f>Match_Data!E732</x:f>
        <x:v>0</x:v>
      </x:c>
      <x:c r="E732" t="n">
        <x:f>Match_Data!F732</x:f>
        <x:v>0</x:v>
      </x:c>
      <x:c r="F732" t="n">
        <x:f>Match_Data!AC732</x:f>
        <x:v>0</x:v>
      </x:c>
      <x:c r="G732" t="str">
        <x:f>IF(OR(Match_Data!K732="",Match_Data!L732=""),"",AVERAGE(Match_Data!K732:L732))</x:f>
      </x:c>
      <x:c r="H732" t="str">
        <x:f>IF(OR(Match_Data!M732="",Match_Data!N732=""),"",AVERAGE(Match_Data!M732:N732))</x:f>
      </x:c>
      <x:c r="I732" t="str">
        <x:f>IF(OR(Match_Data!O732="",Match_Data!Q732=""),"",Match_Data!O732+Match_Data!Q732)</x:f>
      </x:c>
      <x:c r="J732" t="str">
        <x:f>IF(OR(Match_Data!P732="",Match_Data!R732=""),"",Match_Data!P732+Match_Data!R732)</x:f>
      </x:c>
      <x:c r="K732" t="str">
        <x:f>IF(OR(Match_Data!S732="",Match_Data!T732=""),"",Match_Data!S732+Match_Data!T732)</x:f>
      </x:c>
      <x:c r="L732" t="str">
        <x:f>IF(OR(Match_Data!U732="",Match_Data!V732=""),"",Match_Data!U732-Match_Data!V732)</x:f>
      </x:c>
      <x:c r="M732" s="32" t="str">
        <x:f>IF(Match_Data!Y732="","",1/Match_Data!Y732)</x:f>
      </x:c>
      <x:c r="N732" s="32" t="str">
        <x:f>IF(Match_Data!AA732="","",1/Match_Data!AA732)</x:f>
      </x:c>
      <x:c r="O732" s="32" t="str">
        <x:f>IF(OR(M732="",N732=""),"",N732-M732)</x:f>
      </x:c>
      <x:c r="P732" t="str">
        <x:f>IF(Match_Data!J732="","",IF(Match_Data!J732="OVER",1,0))</x:f>
      </x:c>
    </x:row>
    <x:row r="733">
      <x:c r="A733" t="n">
        <x:f>Match_Data!A733</x:f>
        <x:v>0</x:v>
      </x:c>
      <x:c r="B733" s="28" t="n">
        <x:f>Match_Data!B733</x:f>
        <x:v>0</x:v>
      </x:c>
      <x:c r="C733" t="n">
        <x:f>Match_Data!C733</x:f>
        <x:v>0</x:v>
      </x:c>
      <x:c r="D733" t="n">
        <x:f>Match_Data!E733</x:f>
        <x:v>0</x:v>
      </x:c>
      <x:c r="E733" t="n">
        <x:f>Match_Data!F733</x:f>
        <x:v>0</x:v>
      </x:c>
      <x:c r="F733" t="n">
        <x:f>Match_Data!AC733</x:f>
        <x:v>0</x:v>
      </x:c>
      <x:c r="G733" t="str">
        <x:f>IF(OR(Match_Data!K733="",Match_Data!L733=""),"",AVERAGE(Match_Data!K733:L733))</x:f>
      </x:c>
      <x:c r="H733" t="str">
        <x:f>IF(OR(Match_Data!M733="",Match_Data!N733=""),"",AVERAGE(Match_Data!M733:N733))</x:f>
      </x:c>
      <x:c r="I733" t="str">
        <x:f>IF(OR(Match_Data!O733="",Match_Data!Q733=""),"",Match_Data!O733+Match_Data!Q733)</x:f>
      </x:c>
      <x:c r="J733" t="str">
        <x:f>IF(OR(Match_Data!P733="",Match_Data!R733=""),"",Match_Data!P733+Match_Data!R733)</x:f>
      </x:c>
      <x:c r="K733" t="str">
        <x:f>IF(OR(Match_Data!S733="",Match_Data!T733=""),"",Match_Data!S733+Match_Data!T733)</x:f>
      </x:c>
      <x:c r="L733" t="str">
        <x:f>IF(OR(Match_Data!U733="",Match_Data!V733=""),"",Match_Data!U733-Match_Data!V733)</x:f>
      </x:c>
      <x:c r="M733" s="32" t="str">
        <x:f>IF(Match_Data!Y733="","",1/Match_Data!Y733)</x:f>
      </x:c>
      <x:c r="N733" s="32" t="str">
        <x:f>IF(Match_Data!AA733="","",1/Match_Data!AA733)</x:f>
      </x:c>
      <x:c r="O733" s="32" t="str">
        <x:f>IF(OR(M733="",N733=""),"",N733-M733)</x:f>
      </x:c>
      <x:c r="P733" t="str">
        <x:f>IF(Match_Data!J733="","",IF(Match_Data!J733="OVER",1,0))</x:f>
      </x:c>
    </x:row>
    <x:row r="734">
      <x:c r="A734" t="n">
        <x:f>Match_Data!A734</x:f>
        <x:v>0</x:v>
      </x:c>
      <x:c r="B734" s="28" t="n">
        <x:f>Match_Data!B734</x:f>
        <x:v>0</x:v>
      </x:c>
      <x:c r="C734" t="n">
        <x:f>Match_Data!C734</x:f>
        <x:v>0</x:v>
      </x:c>
      <x:c r="D734" t="n">
        <x:f>Match_Data!E734</x:f>
        <x:v>0</x:v>
      </x:c>
      <x:c r="E734" t="n">
        <x:f>Match_Data!F734</x:f>
        <x:v>0</x:v>
      </x:c>
      <x:c r="F734" t="n">
        <x:f>Match_Data!AC734</x:f>
        <x:v>0</x:v>
      </x:c>
      <x:c r="G734" t="str">
        <x:f>IF(OR(Match_Data!K734="",Match_Data!L734=""),"",AVERAGE(Match_Data!K734:L734))</x:f>
      </x:c>
      <x:c r="H734" t="str">
        <x:f>IF(OR(Match_Data!M734="",Match_Data!N734=""),"",AVERAGE(Match_Data!M734:N734))</x:f>
      </x:c>
      <x:c r="I734" t="str">
        <x:f>IF(OR(Match_Data!O734="",Match_Data!Q734=""),"",Match_Data!O734+Match_Data!Q734)</x:f>
      </x:c>
      <x:c r="J734" t="str">
        <x:f>IF(OR(Match_Data!P734="",Match_Data!R734=""),"",Match_Data!P734+Match_Data!R734)</x:f>
      </x:c>
      <x:c r="K734" t="str">
        <x:f>IF(OR(Match_Data!S734="",Match_Data!T734=""),"",Match_Data!S734+Match_Data!T734)</x:f>
      </x:c>
      <x:c r="L734" t="str">
        <x:f>IF(OR(Match_Data!U734="",Match_Data!V734=""),"",Match_Data!U734-Match_Data!V734)</x:f>
      </x:c>
      <x:c r="M734" s="32" t="str">
        <x:f>IF(Match_Data!Y734="","",1/Match_Data!Y734)</x:f>
      </x:c>
      <x:c r="N734" s="32" t="str">
        <x:f>IF(Match_Data!AA734="","",1/Match_Data!AA734)</x:f>
      </x:c>
      <x:c r="O734" s="32" t="str">
        <x:f>IF(OR(M734="",N734=""),"",N734-M734)</x:f>
      </x:c>
      <x:c r="P734" t="str">
        <x:f>IF(Match_Data!J734="","",IF(Match_Data!J734="OVER",1,0))</x:f>
      </x:c>
    </x:row>
    <x:row r="735">
      <x:c r="A735" t="n">
        <x:f>Match_Data!A735</x:f>
        <x:v>0</x:v>
      </x:c>
      <x:c r="B735" s="28" t="n">
        <x:f>Match_Data!B735</x:f>
        <x:v>0</x:v>
      </x:c>
      <x:c r="C735" t="n">
        <x:f>Match_Data!C735</x:f>
        <x:v>0</x:v>
      </x:c>
      <x:c r="D735" t="n">
        <x:f>Match_Data!E735</x:f>
        <x:v>0</x:v>
      </x:c>
      <x:c r="E735" t="n">
        <x:f>Match_Data!F735</x:f>
        <x:v>0</x:v>
      </x:c>
      <x:c r="F735" t="n">
        <x:f>Match_Data!AC735</x:f>
        <x:v>0</x:v>
      </x:c>
      <x:c r="G735" t="str">
        <x:f>IF(OR(Match_Data!K735="",Match_Data!L735=""),"",AVERAGE(Match_Data!K735:L735))</x:f>
      </x:c>
      <x:c r="H735" t="str">
        <x:f>IF(OR(Match_Data!M735="",Match_Data!N735=""),"",AVERAGE(Match_Data!M735:N735))</x:f>
      </x:c>
      <x:c r="I735" t="str">
        <x:f>IF(OR(Match_Data!O735="",Match_Data!Q735=""),"",Match_Data!O735+Match_Data!Q735)</x:f>
      </x:c>
      <x:c r="J735" t="str">
        <x:f>IF(OR(Match_Data!P735="",Match_Data!R735=""),"",Match_Data!P735+Match_Data!R735)</x:f>
      </x:c>
      <x:c r="K735" t="str">
        <x:f>IF(OR(Match_Data!S735="",Match_Data!T735=""),"",Match_Data!S735+Match_Data!T735)</x:f>
      </x:c>
      <x:c r="L735" t="str">
        <x:f>IF(OR(Match_Data!U735="",Match_Data!V735=""),"",Match_Data!U735-Match_Data!V735)</x:f>
      </x:c>
      <x:c r="M735" s="32" t="str">
        <x:f>IF(Match_Data!Y735="","",1/Match_Data!Y735)</x:f>
      </x:c>
      <x:c r="N735" s="32" t="str">
        <x:f>IF(Match_Data!AA735="","",1/Match_Data!AA735)</x:f>
      </x:c>
      <x:c r="O735" s="32" t="str">
        <x:f>IF(OR(M735="",N735=""),"",N735-M735)</x:f>
      </x:c>
      <x:c r="P735" t="str">
        <x:f>IF(Match_Data!J735="","",IF(Match_Data!J735="OVER",1,0))</x:f>
      </x:c>
    </x:row>
    <x:row r="736">
      <x:c r="A736" t="n">
        <x:f>Match_Data!A736</x:f>
        <x:v>0</x:v>
      </x:c>
      <x:c r="B736" s="28" t="n">
        <x:f>Match_Data!B736</x:f>
        <x:v>0</x:v>
      </x:c>
      <x:c r="C736" t="n">
        <x:f>Match_Data!C736</x:f>
        <x:v>0</x:v>
      </x:c>
      <x:c r="D736" t="n">
        <x:f>Match_Data!E736</x:f>
        <x:v>0</x:v>
      </x:c>
      <x:c r="E736" t="n">
        <x:f>Match_Data!F736</x:f>
        <x:v>0</x:v>
      </x:c>
      <x:c r="F736" t="n">
        <x:f>Match_Data!AC736</x:f>
        <x:v>0</x:v>
      </x:c>
      <x:c r="G736" t="str">
        <x:f>IF(OR(Match_Data!K736="",Match_Data!L736=""),"",AVERAGE(Match_Data!K736:L736))</x:f>
      </x:c>
      <x:c r="H736" t="str">
        <x:f>IF(OR(Match_Data!M736="",Match_Data!N736=""),"",AVERAGE(Match_Data!M736:N736))</x:f>
      </x:c>
      <x:c r="I736" t="str">
        <x:f>IF(OR(Match_Data!O736="",Match_Data!Q736=""),"",Match_Data!O736+Match_Data!Q736)</x:f>
      </x:c>
      <x:c r="J736" t="str">
        <x:f>IF(OR(Match_Data!P736="",Match_Data!R736=""),"",Match_Data!P736+Match_Data!R736)</x:f>
      </x:c>
      <x:c r="K736" t="str">
        <x:f>IF(OR(Match_Data!S736="",Match_Data!T736=""),"",Match_Data!S736+Match_Data!T736)</x:f>
      </x:c>
      <x:c r="L736" t="str">
        <x:f>IF(OR(Match_Data!U736="",Match_Data!V736=""),"",Match_Data!U736-Match_Data!V736)</x:f>
      </x:c>
      <x:c r="M736" s="32" t="str">
        <x:f>IF(Match_Data!Y736="","",1/Match_Data!Y736)</x:f>
      </x:c>
      <x:c r="N736" s="32" t="str">
        <x:f>IF(Match_Data!AA736="","",1/Match_Data!AA736)</x:f>
      </x:c>
      <x:c r="O736" s="32" t="str">
        <x:f>IF(OR(M736="",N736=""),"",N736-M736)</x:f>
      </x:c>
      <x:c r="P736" t="str">
        <x:f>IF(Match_Data!J736="","",IF(Match_Data!J736="OVER",1,0))</x:f>
      </x:c>
    </x:row>
    <x:row r="737">
      <x:c r="A737" t="n">
        <x:f>Match_Data!A737</x:f>
        <x:v>0</x:v>
      </x:c>
      <x:c r="B737" s="28" t="n">
        <x:f>Match_Data!B737</x:f>
        <x:v>0</x:v>
      </x:c>
      <x:c r="C737" t="n">
        <x:f>Match_Data!C737</x:f>
        <x:v>0</x:v>
      </x:c>
      <x:c r="D737" t="n">
        <x:f>Match_Data!E737</x:f>
        <x:v>0</x:v>
      </x:c>
      <x:c r="E737" t="n">
        <x:f>Match_Data!F737</x:f>
        <x:v>0</x:v>
      </x:c>
      <x:c r="F737" t="n">
        <x:f>Match_Data!AC737</x:f>
        <x:v>0</x:v>
      </x:c>
      <x:c r="G737" t="str">
        <x:f>IF(OR(Match_Data!K737="",Match_Data!L737=""),"",AVERAGE(Match_Data!K737:L737))</x:f>
      </x:c>
      <x:c r="H737" t="str">
        <x:f>IF(OR(Match_Data!M737="",Match_Data!N737=""),"",AVERAGE(Match_Data!M737:N737))</x:f>
      </x:c>
      <x:c r="I737" t="str">
        <x:f>IF(OR(Match_Data!O737="",Match_Data!Q737=""),"",Match_Data!O737+Match_Data!Q737)</x:f>
      </x:c>
      <x:c r="J737" t="str">
        <x:f>IF(OR(Match_Data!P737="",Match_Data!R737=""),"",Match_Data!P737+Match_Data!R737)</x:f>
      </x:c>
      <x:c r="K737" t="str">
        <x:f>IF(OR(Match_Data!S737="",Match_Data!T737=""),"",Match_Data!S737+Match_Data!T737)</x:f>
      </x:c>
      <x:c r="L737" t="str">
        <x:f>IF(OR(Match_Data!U737="",Match_Data!V737=""),"",Match_Data!U737-Match_Data!V737)</x:f>
      </x:c>
      <x:c r="M737" s="32" t="str">
        <x:f>IF(Match_Data!Y737="","",1/Match_Data!Y737)</x:f>
      </x:c>
      <x:c r="N737" s="32" t="str">
        <x:f>IF(Match_Data!AA737="","",1/Match_Data!AA737)</x:f>
      </x:c>
      <x:c r="O737" s="32" t="str">
        <x:f>IF(OR(M737="",N737=""),"",N737-M737)</x:f>
      </x:c>
      <x:c r="P737" t="str">
        <x:f>IF(Match_Data!J737="","",IF(Match_Data!J737="OVER",1,0))</x:f>
      </x:c>
    </x:row>
    <x:row r="738">
      <x:c r="A738" t="n">
        <x:f>Match_Data!A738</x:f>
        <x:v>0</x:v>
      </x:c>
      <x:c r="B738" s="28" t="n">
        <x:f>Match_Data!B738</x:f>
        <x:v>0</x:v>
      </x:c>
      <x:c r="C738" t="n">
        <x:f>Match_Data!C738</x:f>
        <x:v>0</x:v>
      </x:c>
      <x:c r="D738" t="n">
        <x:f>Match_Data!E738</x:f>
        <x:v>0</x:v>
      </x:c>
      <x:c r="E738" t="n">
        <x:f>Match_Data!F738</x:f>
        <x:v>0</x:v>
      </x:c>
      <x:c r="F738" t="n">
        <x:f>Match_Data!AC738</x:f>
        <x:v>0</x:v>
      </x:c>
      <x:c r="G738" t="str">
        <x:f>IF(OR(Match_Data!K738="",Match_Data!L738=""),"",AVERAGE(Match_Data!K738:L738))</x:f>
      </x:c>
      <x:c r="H738" t="str">
        <x:f>IF(OR(Match_Data!M738="",Match_Data!N738=""),"",AVERAGE(Match_Data!M738:N738))</x:f>
      </x:c>
      <x:c r="I738" t="str">
        <x:f>IF(OR(Match_Data!O738="",Match_Data!Q738=""),"",Match_Data!O738+Match_Data!Q738)</x:f>
      </x:c>
      <x:c r="J738" t="str">
        <x:f>IF(OR(Match_Data!P738="",Match_Data!R738=""),"",Match_Data!P738+Match_Data!R738)</x:f>
      </x:c>
      <x:c r="K738" t="str">
        <x:f>IF(OR(Match_Data!S738="",Match_Data!T738=""),"",Match_Data!S738+Match_Data!T738)</x:f>
      </x:c>
      <x:c r="L738" t="str">
        <x:f>IF(OR(Match_Data!U738="",Match_Data!V738=""),"",Match_Data!U738-Match_Data!V738)</x:f>
      </x:c>
      <x:c r="M738" s="32" t="str">
        <x:f>IF(Match_Data!Y738="","",1/Match_Data!Y738)</x:f>
      </x:c>
      <x:c r="N738" s="32" t="str">
        <x:f>IF(Match_Data!AA738="","",1/Match_Data!AA738)</x:f>
      </x:c>
      <x:c r="O738" s="32" t="str">
        <x:f>IF(OR(M738="",N738=""),"",N738-M738)</x:f>
      </x:c>
      <x:c r="P738" t="str">
        <x:f>IF(Match_Data!J738="","",IF(Match_Data!J738="OVER",1,0))</x:f>
      </x:c>
    </x:row>
    <x:row r="739">
      <x:c r="A739" t="n">
        <x:f>Match_Data!A739</x:f>
        <x:v>0</x:v>
      </x:c>
      <x:c r="B739" s="28" t="n">
        <x:f>Match_Data!B739</x:f>
        <x:v>0</x:v>
      </x:c>
      <x:c r="C739" t="n">
        <x:f>Match_Data!C739</x:f>
        <x:v>0</x:v>
      </x:c>
      <x:c r="D739" t="n">
        <x:f>Match_Data!E739</x:f>
        <x:v>0</x:v>
      </x:c>
      <x:c r="E739" t="n">
        <x:f>Match_Data!F739</x:f>
        <x:v>0</x:v>
      </x:c>
      <x:c r="F739" t="n">
        <x:f>Match_Data!AC739</x:f>
        <x:v>0</x:v>
      </x:c>
      <x:c r="G739" t="str">
        <x:f>IF(OR(Match_Data!K739="",Match_Data!L739=""),"",AVERAGE(Match_Data!K739:L739))</x:f>
      </x:c>
      <x:c r="H739" t="str">
        <x:f>IF(OR(Match_Data!M739="",Match_Data!N739=""),"",AVERAGE(Match_Data!M739:N739))</x:f>
      </x:c>
      <x:c r="I739" t="str">
        <x:f>IF(OR(Match_Data!O739="",Match_Data!Q739=""),"",Match_Data!O739+Match_Data!Q739)</x:f>
      </x:c>
      <x:c r="J739" t="str">
        <x:f>IF(OR(Match_Data!P739="",Match_Data!R739=""),"",Match_Data!P739+Match_Data!R739)</x:f>
      </x:c>
      <x:c r="K739" t="str">
        <x:f>IF(OR(Match_Data!S739="",Match_Data!T739=""),"",Match_Data!S739+Match_Data!T739)</x:f>
      </x:c>
      <x:c r="L739" t="str">
        <x:f>IF(OR(Match_Data!U739="",Match_Data!V739=""),"",Match_Data!U739-Match_Data!V739)</x:f>
      </x:c>
      <x:c r="M739" s="32" t="str">
        <x:f>IF(Match_Data!Y739="","",1/Match_Data!Y739)</x:f>
      </x:c>
      <x:c r="N739" s="32" t="str">
        <x:f>IF(Match_Data!AA739="","",1/Match_Data!AA739)</x:f>
      </x:c>
      <x:c r="O739" s="32" t="str">
        <x:f>IF(OR(M739="",N739=""),"",N739-M739)</x:f>
      </x:c>
      <x:c r="P739" t="str">
        <x:f>IF(Match_Data!J739="","",IF(Match_Data!J739="OVER",1,0))</x:f>
      </x:c>
    </x:row>
    <x:row r="740">
      <x:c r="A740" t="n">
        <x:f>Match_Data!A740</x:f>
        <x:v>0</x:v>
      </x:c>
      <x:c r="B740" s="28" t="n">
        <x:f>Match_Data!B740</x:f>
        <x:v>0</x:v>
      </x:c>
      <x:c r="C740" t="n">
        <x:f>Match_Data!C740</x:f>
        <x:v>0</x:v>
      </x:c>
      <x:c r="D740" t="n">
        <x:f>Match_Data!E740</x:f>
        <x:v>0</x:v>
      </x:c>
      <x:c r="E740" t="n">
        <x:f>Match_Data!F740</x:f>
        <x:v>0</x:v>
      </x:c>
      <x:c r="F740" t="n">
        <x:f>Match_Data!AC740</x:f>
        <x:v>0</x:v>
      </x:c>
      <x:c r="G740" t="str">
        <x:f>IF(OR(Match_Data!K740="",Match_Data!L740=""),"",AVERAGE(Match_Data!K740:L740))</x:f>
      </x:c>
      <x:c r="H740" t="str">
        <x:f>IF(OR(Match_Data!M740="",Match_Data!N740=""),"",AVERAGE(Match_Data!M740:N740))</x:f>
      </x:c>
      <x:c r="I740" t="str">
        <x:f>IF(OR(Match_Data!O740="",Match_Data!Q740=""),"",Match_Data!O740+Match_Data!Q740)</x:f>
      </x:c>
      <x:c r="J740" t="str">
        <x:f>IF(OR(Match_Data!P740="",Match_Data!R740=""),"",Match_Data!P740+Match_Data!R740)</x:f>
      </x:c>
      <x:c r="K740" t="str">
        <x:f>IF(OR(Match_Data!S740="",Match_Data!T740=""),"",Match_Data!S740+Match_Data!T740)</x:f>
      </x:c>
      <x:c r="L740" t="str">
        <x:f>IF(OR(Match_Data!U740="",Match_Data!V740=""),"",Match_Data!U740-Match_Data!V740)</x:f>
      </x:c>
      <x:c r="M740" s="32" t="str">
        <x:f>IF(Match_Data!Y740="","",1/Match_Data!Y740)</x:f>
      </x:c>
      <x:c r="N740" s="32" t="str">
        <x:f>IF(Match_Data!AA740="","",1/Match_Data!AA740)</x:f>
      </x:c>
      <x:c r="O740" s="32" t="str">
        <x:f>IF(OR(M740="",N740=""),"",N740-M740)</x:f>
      </x:c>
      <x:c r="P740" t="str">
        <x:f>IF(Match_Data!J740="","",IF(Match_Data!J740="OVER",1,0))</x:f>
      </x:c>
    </x:row>
    <x:row r="741">
      <x:c r="A741" t="n">
        <x:f>Match_Data!A741</x:f>
        <x:v>0</x:v>
      </x:c>
      <x:c r="B741" s="28" t="n">
        <x:f>Match_Data!B741</x:f>
        <x:v>0</x:v>
      </x:c>
      <x:c r="C741" t="n">
        <x:f>Match_Data!C741</x:f>
        <x:v>0</x:v>
      </x:c>
      <x:c r="D741" t="n">
        <x:f>Match_Data!E741</x:f>
        <x:v>0</x:v>
      </x:c>
      <x:c r="E741" t="n">
        <x:f>Match_Data!F741</x:f>
        <x:v>0</x:v>
      </x:c>
      <x:c r="F741" t="n">
        <x:f>Match_Data!AC741</x:f>
        <x:v>0</x:v>
      </x:c>
      <x:c r="G741" t="str">
        <x:f>IF(OR(Match_Data!K741="",Match_Data!L741=""),"",AVERAGE(Match_Data!K741:L741))</x:f>
      </x:c>
      <x:c r="H741" t="str">
        <x:f>IF(OR(Match_Data!M741="",Match_Data!N741=""),"",AVERAGE(Match_Data!M741:N741))</x:f>
      </x:c>
      <x:c r="I741" t="str">
        <x:f>IF(OR(Match_Data!O741="",Match_Data!Q741=""),"",Match_Data!O741+Match_Data!Q741)</x:f>
      </x:c>
      <x:c r="J741" t="str">
        <x:f>IF(OR(Match_Data!P741="",Match_Data!R741=""),"",Match_Data!P741+Match_Data!R741)</x:f>
      </x:c>
      <x:c r="K741" t="str">
        <x:f>IF(OR(Match_Data!S741="",Match_Data!T741=""),"",Match_Data!S741+Match_Data!T741)</x:f>
      </x:c>
      <x:c r="L741" t="str">
        <x:f>IF(OR(Match_Data!U741="",Match_Data!V741=""),"",Match_Data!U741-Match_Data!V741)</x:f>
      </x:c>
      <x:c r="M741" s="32" t="str">
        <x:f>IF(Match_Data!Y741="","",1/Match_Data!Y741)</x:f>
      </x:c>
      <x:c r="N741" s="32" t="str">
        <x:f>IF(Match_Data!AA741="","",1/Match_Data!AA741)</x:f>
      </x:c>
      <x:c r="O741" s="32" t="str">
        <x:f>IF(OR(M741="",N741=""),"",N741-M741)</x:f>
      </x:c>
      <x:c r="P741" t="str">
        <x:f>IF(Match_Data!J741="","",IF(Match_Data!J741="OVER",1,0))</x:f>
      </x:c>
    </x:row>
    <x:row r="742">
      <x:c r="A742" t="n">
        <x:f>Match_Data!A742</x:f>
        <x:v>0</x:v>
      </x:c>
      <x:c r="B742" s="28" t="n">
        <x:f>Match_Data!B742</x:f>
        <x:v>0</x:v>
      </x:c>
      <x:c r="C742" t="n">
        <x:f>Match_Data!C742</x:f>
        <x:v>0</x:v>
      </x:c>
      <x:c r="D742" t="n">
        <x:f>Match_Data!E742</x:f>
        <x:v>0</x:v>
      </x:c>
      <x:c r="E742" t="n">
        <x:f>Match_Data!F742</x:f>
        <x:v>0</x:v>
      </x:c>
      <x:c r="F742" t="n">
        <x:f>Match_Data!AC742</x:f>
        <x:v>0</x:v>
      </x:c>
      <x:c r="G742" t="str">
        <x:f>IF(OR(Match_Data!K742="",Match_Data!L742=""),"",AVERAGE(Match_Data!K742:L742))</x:f>
      </x:c>
      <x:c r="H742" t="str">
        <x:f>IF(OR(Match_Data!M742="",Match_Data!N742=""),"",AVERAGE(Match_Data!M742:N742))</x:f>
      </x:c>
      <x:c r="I742" t="str">
        <x:f>IF(OR(Match_Data!O742="",Match_Data!Q742=""),"",Match_Data!O742+Match_Data!Q742)</x:f>
      </x:c>
      <x:c r="J742" t="str">
        <x:f>IF(OR(Match_Data!P742="",Match_Data!R742=""),"",Match_Data!P742+Match_Data!R742)</x:f>
      </x:c>
      <x:c r="K742" t="str">
        <x:f>IF(OR(Match_Data!S742="",Match_Data!T742=""),"",Match_Data!S742+Match_Data!T742)</x:f>
      </x:c>
      <x:c r="L742" t="str">
        <x:f>IF(OR(Match_Data!U742="",Match_Data!V742=""),"",Match_Data!U742-Match_Data!V742)</x:f>
      </x:c>
      <x:c r="M742" s="32" t="str">
        <x:f>IF(Match_Data!Y742="","",1/Match_Data!Y742)</x:f>
      </x:c>
      <x:c r="N742" s="32" t="str">
        <x:f>IF(Match_Data!AA742="","",1/Match_Data!AA742)</x:f>
      </x:c>
      <x:c r="O742" s="32" t="str">
        <x:f>IF(OR(M742="",N742=""),"",N742-M742)</x:f>
      </x:c>
      <x:c r="P742" t="str">
        <x:f>IF(Match_Data!J742="","",IF(Match_Data!J742="OVER",1,0))</x:f>
      </x:c>
    </x:row>
    <x:row r="743">
      <x:c r="A743" t="n">
        <x:f>Match_Data!A743</x:f>
        <x:v>0</x:v>
      </x:c>
      <x:c r="B743" s="28" t="n">
        <x:f>Match_Data!B743</x:f>
        <x:v>0</x:v>
      </x:c>
      <x:c r="C743" t="n">
        <x:f>Match_Data!C743</x:f>
        <x:v>0</x:v>
      </x:c>
      <x:c r="D743" t="n">
        <x:f>Match_Data!E743</x:f>
        <x:v>0</x:v>
      </x:c>
      <x:c r="E743" t="n">
        <x:f>Match_Data!F743</x:f>
        <x:v>0</x:v>
      </x:c>
      <x:c r="F743" t="n">
        <x:f>Match_Data!AC743</x:f>
        <x:v>0</x:v>
      </x:c>
      <x:c r="G743" t="str">
        <x:f>IF(OR(Match_Data!K743="",Match_Data!L743=""),"",AVERAGE(Match_Data!K743:L743))</x:f>
      </x:c>
      <x:c r="H743" t="str">
        <x:f>IF(OR(Match_Data!M743="",Match_Data!N743=""),"",AVERAGE(Match_Data!M743:N743))</x:f>
      </x:c>
      <x:c r="I743" t="str">
        <x:f>IF(OR(Match_Data!O743="",Match_Data!Q743=""),"",Match_Data!O743+Match_Data!Q743)</x:f>
      </x:c>
      <x:c r="J743" t="str">
        <x:f>IF(OR(Match_Data!P743="",Match_Data!R743=""),"",Match_Data!P743+Match_Data!R743)</x:f>
      </x:c>
      <x:c r="K743" t="str">
        <x:f>IF(OR(Match_Data!S743="",Match_Data!T743=""),"",Match_Data!S743+Match_Data!T743)</x:f>
      </x:c>
      <x:c r="L743" t="str">
        <x:f>IF(OR(Match_Data!U743="",Match_Data!V743=""),"",Match_Data!U743-Match_Data!V743)</x:f>
      </x:c>
      <x:c r="M743" s="32" t="str">
        <x:f>IF(Match_Data!Y743="","",1/Match_Data!Y743)</x:f>
      </x:c>
      <x:c r="N743" s="32" t="str">
        <x:f>IF(Match_Data!AA743="","",1/Match_Data!AA743)</x:f>
      </x:c>
      <x:c r="O743" s="32" t="str">
        <x:f>IF(OR(M743="",N743=""),"",N743-M743)</x:f>
      </x:c>
      <x:c r="P743" t="str">
        <x:f>IF(Match_Data!J743="","",IF(Match_Data!J743="OVER",1,0))</x:f>
      </x:c>
    </x:row>
    <x:row r="744">
      <x:c r="A744" t="n">
        <x:f>Match_Data!A744</x:f>
        <x:v>0</x:v>
      </x:c>
      <x:c r="B744" s="28" t="n">
        <x:f>Match_Data!B744</x:f>
        <x:v>0</x:v>
      </x:c>
      <x:c r="C744" t="n">
        <x:f>Match_Data!C744</x:f>
        <x:v>0</x:v>
      </x:c>
      <x:c r="D744" t="n">
        <x:f>Match_Data!E744</x:f>
        <x:v>0</x:v>
      </x:c>
      <x:c r="E744" t="n">
        <x:f>Match_Data!F744</x:f>
        <x:v>0</x:v>
      </x:c>
      <x:c r="F744" t="n">
        <x:f>Match_Data!AC744</x:f>
        <x:v>0</x:v>
      </x:c>
      <x:c r="G744" t="str">
        <x:f>IF(OR(Match_Data!K744="",Match_Data!L744=""),"",AVERAGE(Match_Data!K744:L744))</x:f>
      </x:c>
      <x:c r="H744" t="str">
        <x:f>IF(OR(Match_Data!M744="",Match_Data!N744=""),"",AVERAGE(Match_Data!M744:N744))</x:f>
      </x:c>
      <x:c r="I744" t="str">
        <x:f>IF(OR(Match_Data!O744="",Match_Data!Q744=""),"",Match_Data!O744+Match_Data!Q744)</x:f>
      </x:c>
      <x:c r="J744" t="str">
        <x:f>IF(OR(Match_Data!P744="",Match_Data!R744=""),"",Match_Data!P744+Match_Data!R744)</x:f>
      </x:c>
      <x:c r="K744" t="str">
        <x:f>IF(OR(Match_Data!S744="",Match_Data!T744=""),"",Match_Data!S744+Match_Data!T744)</x:f>
      </x:c>
      <x:c r="L744" t="str">
        <x:f>IF(OR(Match_Data!U744="",Match_Data!V744=""),"",Match_Data!U744-Match_Data!V744)</x:f>
      </x:c>
      <x:c r="M744" s="32" t="str">
        <x:f>IF(Match_Data!Y744="","",1/Match_Data!Y744)</x:f>
      </x:c>
      <x:c r="N744" s="32" t="str">
        <x:f>IF(Match_Data!AA744="","",1/Match_Data!AA744)</x:f>
      </x:c>
      <x:c r="O744" s="32" t="str">
        <x:f>IF(OR(M744="",N744=""),"",N744-M744)</x:f>
      </x:c>
      <x:c r="P744" t="str">
        <x:f>IF(Match_Data!J744="","",IF(Match_Data!J744="OVER",1,0))</x:f>
      </x:c>
    </x:row>
    <x:row r="745">
      <x:c r="A745" t="n">
        <x:f>Match_Data!A745</x:f>
        <x:v>0</x:v>
      </x:c>
      <x:c r="B745" s="28" t="n">
        <x:f>Match_Data!B745</x:f>
        <x:v>0</x:v>
      </x:c>
      <x:c r="C745" t="n">
        <x:f>Match_Data!C745</x:f>
        <x:v>0</x:v>
      </x:c>
      <x:c r="D745" t="n">
        <x:f>Match_Data!E745</x:f>
        <x:v>0</x:v>
      </x:c>
      <x:c r="E745" t="n">
        <x:f>Match_Data!F745</x:f>
        <x:v>0</x:v>
      </x:c>
      <x:c r="F745" t="n">
        <x:f>Match_Data!AC745</x:f>
        <x:v>0</x:v>
      </x:c>
      <x:c r="G745" t="str">
        <x:f>IF(OR(Match_Data!K745="",Match_Data!L745=""),"",AVERAGE(Match_Data!K745:L745))</x:f>
      </x:c>
      <x:c r="H745" t="str">
        <x:f>IF(OR(Match_Data!M745="",Match_Data!N745=""),"",AVERAGE(Match_Data!M745:N745))</x:f>
      </x:c>
      <x:c r="I745" t="str">
        <x:f>IF(OR(Match_Data!O745="",Match_Data!Q745=""),"",Match_Data!O745+Match_Data!Q745)</x:f>
      </x:c>
      <x:c r="J745" t="str">
        <x:f>IF(OR(Match_Data!P745="",Match_Data!R745=""),"",Match_Data!P745+Match_Data!R745)</x:f>
      </x:c>
      <x:c r="K745" t="str">
        <x:f>IF(OR(Match_Data!S745="",Match_Data!T745=""),"",Match_Data!S745+Match_Data!T745)</x:f>
      </x:c>
      <x:c r="L745" t="str">
        <x:f>IF(OR(Match_Data!U745="",Match_Data!V745=""),"",Match_Data!U745-Match_Data!V745)</x:f>
      </x:c>
      <x:c r="M745" s="32" t="str">
        <x:f>IF(Match_Data!Y745="","",1/Match_Data!Y745)</x:f>
      </x:c>
      <x:c r="N745" s="32" t="str">
        <x:f>IF(Match_Data!AA745="","",1/Match_Data!AA745)</x:f>
      </x:c>
      <x:c r="O745" s="32" t="str">
        <x:f>IF(OR(M745="",N745=""),"",N745-M745)</x:f>
      </x:c>
      <x:c r="P745" t="str">
        <x:f>IF(Match_Data!J745="","",IF(Match_Data!J745="OVER",1,0))</x:f>
      </x:c>
    </x:row>
    <x:row r="746">
      <x:c r="A746" t="n">
        <x:f>Match_Data!A746</x:f>
        <x:v>0</x:v>
      </x:c>
      <x:c r="B746" s="28" t="n">
        <x:f>Match_Data!B746</x:f>
        <x:v>0</x:v>
      </x:c>
      <x:c r="C746" t="n">
        <x:f>Match_Data!C746</x:f>
        <x:v>0</x:v>
      </x:c>
      <x:c r="D746" t="n">
        <x:f>Match_Data!E746</x:f>
        <x:v>0</x:v>
      </x:c>
      <x:c r="E746" t="n">
        <x:f>Match_Data!F746</x:f>
        <x:v>0</x:v>
      </x:c>
      <x:c r="F746" t="n">
        <x:f>Match_Data!AC746</x:f>
        <x:v>0</x:v>
      </x:c>
      <x:c r="G746" t="str">
        <x:f>IF(OR(Match_Data!K746="",Match_Data!L746=""),"",AVERAGE(Match_Data!K746:L746))</x:f>
      </x:c>
      <x:c r="H746" t="str">
        <x:f>IF(OR(Match_Data!M746="",Match_Data!N746=""),"",AVERAGE(Match_Data!M746:N746))</x:f>
      </x:c>
      <x:c r="I746" t="str">
        <x:f>IF(OR(Match_Data!O746="",Match_Data!Q746=""),"",Match_Data!O746+Match_Data!Q746)</x:f>
      </x:c>
      <x:c r="J746" t="str">
        <x:f>IF(OR(Match_Data!P746="",Match_Data!R746=""),"",Match_Data!P746+Match_Data!R746)</x:f>
      </x:c>
      <x:c r="K746" t="str">
        <x:f>IF(OR(Match_Data!S746="",Match_Data!T746=""),"",Match_Data!S746+Match_Data!T746)</x:f>
      </x:c>
      <x:c r="L746" t="str">
        <x:f>IF(OR(Match_Data!U746="",Match_Data!V746=""),"",Match_Data!U746-Match_Data!V746)</x:f>
      </x:c>
      <x:c r="M746" s="32" t="str">
        <x:f>IF(Match_Data!Y746="","",1/Match_Data!Y746)</x:f>
      </x:c>
      <x:c r="N746" s="32" t="str">
        <x:f>IF(Match_Data!AA746="","",1/Match_Data!AA746)</x:f>
      </x:c>
      <x:c r="O746" s="32" t="str">
        <x:f>IF(OR(M746="",N746=""),"",N746-M746)</x:f>
      </x:c>
      <x:c r="P746" t="str">
        <x:f>IF(Match_Data!J746="","",IF(Match_Data!J746="OVER",1,0))</x:f>
      </x:c>
    </x:row>
    <x:row r="747">
      <x:c r="A747" t="n">
        <x:f>Match_Data!A747</x:f>
        <x:v>0</x:v>
      </x:c>
      <x:c r="B747" s="28" t="n">
        <x:f>Match_Data!B747</x:f>
        <x:v>0</x:v>
      </x:c>
      <x:c r="C747" t="n">
        <x:f>Match_Data!C747</x:f>
        <x:v>0</x:v>
      </x:c>
      <x:c r="D747" t="n">
        <x:f>Match_Data!E747</x:f>
        <x:v>0</x:v>
      </x:c>
      <x:c r="E747" t="n">
        <x:f>Match_Data!F747</x:f>
        <x:v>0</x:v>
      </x:c>
      <x:c r="F747" t="n">
        <x:f>Match_Data!AC747</x:f>
        <x:v>0</x:v>
      </x:c>
      <x:c r="G747" t="str">
        <x:f>IF(OR(Match_Data!K747="",Match_Data!L747=""),"",AVERAGE(Match_Data!K747:L747))</x:f>
      </x:c>
      <x:c r="H747" t="str">
        <x:f>IF(OR(Match_Data!M747="",Match_Data!N747=""),"",AVERAGE(Match_Data!M747:N747))</x:f>
      </x:c>
      <x:c r="I747" t="str">
        <x:f>IF(OR(Match_Data!O747="",Match_Data!Q747=""),"",Match_Data!O747+Match_Data!Q747)</x:f>
      </x:c>
      <x:c r="J747" t="str">
        <x:f>IF(OR(Match_Data!P747="",Match_Data!R747=""),"",Match_Data!P747+Match_Data!R747)</x:f>
      </x:c>
      <x:c r="K747" t="str">
        <x:f>IF(OR(Match_Data!S747="",Match_Data!T747=""),"",Match_Data!S747+Match_Data!T747)</x:f>
      </x:c>
      <x:c r="L747" t="str">
        <x:f>IF(OR(Match_Data!U747="",Match_Data!V747=""),"",Match_Data!U747-Match_Data!V747)</x:f>
      </x:c>
      <x:c r="M747" s="32" t="str">
        <x:f>IF(Match_Data!Y747="","",1/Match_Data!Y747)</x:f>
      </x:c>
      <x:c r="N747" s="32" t="str">
        <x:f>IF(Match_Data!AA747="","",1/Match_Data!AA747)</x:f>
      </x:c>
      <x:c r="O747" s="32" t="str">
        <x:f>IF(OR(M747="",N747=""),"",N747-M747)</x:f>
      </x:c>
      <x:c r="P747" t="str">
        <x:f>IF(Match_Data!J747="","",IF(Match_Data!J747="OVER",1,0))</x:f>
      </x:c>
    </x:row>
    <x:row r="748">
      <x:c r="A748" t="n">
        <x:f>Match_Data!A748</x:f>
        <x:v>0</x:v>
      </x:c>
      <x:c r="B748" s="28" t="n">
        <x:f>Match_Data!B748</x:f>
        <x:v>0</x:v>
      </x:c>
      <x:c r="C748" t="n">
        <x:f>Match_Data!C748</x:f>
        <x:v>0</x:v>
      </x:c>
      <x:c r="D748" t="n">
        <x:f>Match_Data!E748</x:f>
        <x:v>0</x:v>
      </x:c>
      <x:c r="E748" t="n">
        <x:f>Match_Data!F748</x:f>
        <x:v>0</x:v>
      </x:c>
      <x:c r="F748" t="n">
        <x:f>Match_Data!AC748</x:f>
        <x:v>0</x:v>
      </x:c>
      <x:c r="G748" t="str">
        <x:f>IF(OR(Match_Data!K748="",Match_Data!L748=""),"",AVERAGE(Match_Data!K748:L748))</x:f>
      </x:c>
      <x:c r="H748" t="str">
        <x:f>IF(OR(Match_Data!M748="",Match_Data!N748=""),"",AVERAGE(Match_Data!M748:N748))</x:f>
      </x:c>
      <x:c r="I748" t="str">
        <x:f>IF(OR(Match_Data!O748="",Match_Data!Q748=""),"",Match_Data!O748+Match_Data!Q748)</x:f>
      </x:c>
      <x:c r="J748" t="str">
        <x:f>IF(OR(Match_Data!P748="",Match_Data!R748=""),"",Match_Data!P748+Match_Data!R748)</x:f>
      </x:c>
      <x:c r="K748" t="str">
        <x:f>IF(OR(Match_Data!S748="",Match_Data!T748=""),"",Match_Data!S748+Match_Data!T748)</x:f>
      </x:c>
      <x:c r="L748" t="str">
        <x:f>IF(OR(Match_Data!U748="",Match_Data!V748=""),"",Match_Data!U748-Match_Data!V748)</x:f>
      </x:c>
      <x:c r="M748" s="32" t="str">
        <x:f>IF(Match_Data!Y748="","",1/Match_Data!Y748)</x:f>
      </x:c>
      <x:c r="N748" s="32" t="str">
        <x:f>IF(Match_Data!AA748="","",1/Match_Data!AA748)</x:f>
      </x:c>
      <x:c r="O748" s="32" t="str">
        <x:f>IF(OR(M748="",N748=""),"",N748-M748)</x:f>
      </x:c>
      <x:c r="P748" t="str">
        <x:f>IF(Match_Data!J748="","",IF(Match_Data!J748="OVER",1,0))</x:f>
      </x:c>
    </x:row>
    <x:row r="749">
      <x:c r="A749" t="n">
        <x:f>Match_Data!A749</x:f>
        <x:v>0</x:v>
      </x:c>
      <x:c r="B749" s="28" t="n">
        <x:f>Match_Data!B749</x:f>
        <x:v>0</x:v>
      </x:c>
      <x:c r="C749" t="n">
        <x:f>Match_Data!C749</x:f>
        <x:v>0</x:v>
      </x:c>
      <x:c r="D749" t="n">
        <x:f>Match_Data!E749</x:f>
        <x:v>0</x:v>
      </x:c>
      <x:c r="E749" t="n">
        <x:f>Match_Data!F749</x:f>
        <x:v>0</x:v>
      </x:c>
      <x:c r="F749" t="n">
        <x:f>Match_Data!AC749</x:f>
        <x:v>0</x:v>
      </x:c>
      <x:c r="G749" t="str">
        <x:f>IF(OR(Match_Data!K749="",Match_Data!L749=""),"",AVERAGE(Match_Data!K749:L749))</x:f>
      </x:c>
      <x:c r="H749" t="str">
        <x:f>IF(OR(Match_Data!M749="",Match_Data!N749=""),"",AVERAGE(Match_Data!M749:N749))</x:f>
      </x:c>
      <x:c r="I749" t="str">
        <x:f>IF(OR(Match_Data!O749="",Match_Data!Q749=""),"",Match_Data!O749+Match_Data!Q749)</x:f>
      </x:c>
      <x:c r="J749" t="str">
        <x:f>IF(OR(Match_Data!P749="",Match_Data!R749=""),"",Match_Data!P749+Match_Data!R749)</x:f>
      </x:c>
      <x:c r="K749" t="str">
        <x:f>IF(OR(Match_Data!S749="",Match_Data!T749=""),"",Match_Data!S749+Match_Data!T749)</x:f>
      </x:c>
      <x:c r="L749" t="str">
        <x:f>IF(OR(Match_Data!U749="",Match_Data!V749=""),"",Match_Data!U749-Match_Data!V749)</x:f>
      </x:c>
      <x:c r="M749" s="32" t="str">
        <x:f>IF(Match_Data!Y749="","",1/Match_Data!Y749)</x:f>
      </x:c>
      <x:c r="N749" s="32" t="str">
        <x:f>IF(Match_Data!AA749="","",1/Match_Data!AA749)</x:f>
      </x:c>
      <x:c r="O749" s="32" t="str">
        <x:f>IF(OR(M749="",N749=""),"",N749-M749)</x:f>
      </x:c>
      <x:c r="P749" t="str">
        <x:f>IF(Match_Data!J749="","",IF(Match_Data!J749="OVER",1,0))</x:f>
      </x:c>
    </x:row>
    <x:row r="750">
      <x:c r="A750" t="n">
        <x:f>Match_Data!A750</x:f>
        <x:v>0</x:v>
      </x:c>
      <x:c r="B750" s="28" t="n">
        <x:f>Match_Data!B750</x:f>
        <x:v>0</x:v>
      </x:c>
      <x:c r="C750" t="n">
        <x:f>Match_Data!C750</x:f>
        <x:v>0</x:v>
      </x:c>
      <x:c r="D750" t="n">
        <x:f>Match_Data!E750</x:f>
        <x:v>0</x:v>
      </x:c>
      <x:c r="E750" t="n">
        <x:f>Match_Data!F750</x:f>
        <x:v>0</x:v>
      </x:c>
      <x:c r="F750" t="n">
        <x:f>Match_Data!AC750</x:f>
        <x:v>0</x:v>
      </x:c>
      <x:c r="G750" t="str">
        <x:f>IF(OR(Match_Data!K750="",Match_Data!L750=""),"",AVERAGE(Match_Data!K750:L750))</x:f>
      </x:c>
      <x:c r="H750" t="str">
        <x:f>IF(OR(Match_Data!M750="",Match_Data!N750=""),"",AVERAGE(Match_Data!M750:N750))</x:f>
      </x:c>
      <x:c r="I750" t="str">
        <x:f>IF(OR(Match_Data!O750="",Match_Data!Q750=""),"",Match_Data!O750+Match_Data!Q750)</x:f>
      </x:c>
      <x:c r="J750" t="str">
        <x:f>IF(OR(Match_Data!P750="",Match_Data!R750=""),"",Match_Data!P750+Match_Data!R750)</x:f>
      </x:c>
      <x:c r="K750" t="str">
        <x:f>IF(OR(Match_Data!S750="",Match_Data!T750=""),"",Match_Data!S750+Match_Data!T750)</x:f>
      </x:c>
      <x:c r="L750" t="str">
        <x:f>IF(OR(Match_Data!U750="",Match_Data!V750=""),"",Match_Data!U750-Match_Data!V750)</x:f>
      </x:c>
      <x:c r="M750" s="32" t="str">
        <x:f>IF(Match_Data!Y750="","",1/Match_Data!Y750)</x:f>
      </x:c>
      <x:c r="N750" s="32" t="str">
        <x:f>IF(Match_Data!AA750="","",1/Match_Data!AA750)</x:f>
      </x:c>
      <x:c r="O750" s="32" t="str">
        <x:f>IF(OR(M750="",N750=""),"",N750-M750)</x:f>
      </x:c>
      <x:c r="P750" t="str">
        <x:f>IF(Match_Data!J750="","",IF(Match_Data!J750="OVER",1,0))</x:f>
      </x:c>
    </x:row>
    <x:row r="751">
      <x:c r="A751" t="n">
        <x:f>Match_Data!A751</x:f>
        <x:v>0</x:v>
      </x:c>
      <x:c r="B751" s="28" t="n">
        <x:f>Match_Data!B751</x:f>
        <x:v>0</x:v>
      </x:c>
      <x:c r="C751" t="n">
        <x:f>Match_Data!C751</x:f>
        <x:v>0</x:v>
      </x:c>
      <x:c r="D751" t="n">
        <x:f>Match_Data!E751</x:f>
        <x:v>0</x:v>
      </x:c>
      <x:c r="E751" t="n">
        <x:f>Match_Data!F751</x:f>
        <x:v>0</x:v>
      </x:c>
      <x:c r="F751" t="n">
        <x:f>Match_Data!AC751</x:f>
        <x:v>0</x:v>
      </x:c>
      <x:c r="G751" t="str">
        <x:f>IF(OR(Match_Data!K751="",Match_Data!L751=""),"",AVERAGE(Match_Data!K751:L751))</x:f>
      </x:c>
      <x:c r="H751" t="str">
        <x:f>IF(OR(Match_Data!M751="",Match_Data!N751=""),"",AVERAGE(Match_Data!M751:N751))</x:f>
      </x:c>
      <x:c r="I751" t="str">
        <x:f>IF(OR(Match_Data!O751="",Match_Data!Q751=""),"",Match_Data!O751+Match_Data!Q751)</x:f>
      </x:c>
      <x:c r="J751" t="str">
        <x:f>IF(OR(Match_Data!P751="",Match_Data!R751=""),"",Match_Data!P751+Match_Data!R751)</x:f>
      </x:c>
      <x:c r="K751" t="str">
        <x:f>IF(OR(Match_Data!S751="",Match_Data!T751=""),"",Match_Data!S751+Match_Data!T751)</x:f>
      </x:c>
      <x:c r="L751" t="str">
        <x:f>IF(OR(Match_Data!U751="",Match_Data!V751=""),"",Match_Data!U751-Match_Data!V751)</x:f>
      </x:c>
      <x:c r="M751" s="32" t="str">
        <x:f>IF(Match_Data!Y751="","",1/Match_Data!Y751)</x:f>
      </x:c>
      <x:c r="N751" s="32" t="str">
        <x:f>IF(Match_Data!AA751="","",1/Match_Data!AA751)</x:f>
      </x:c>
      <x:c r="O751" s="32" t="str">
        <x:f>IF(OR(M751="",N751=""),"",N751-M751)</x:f>
      </x:c>
      <x:c r="P751" t="str">
        <x:f>IF(Match_Data!J751="","",IF(Match_Data!J751="OVER",1,0))</x:f>
      </x:c>
    </x:row>
    <x:row r="752">
      <x:c r="A752" t="n">
        <x:f>Match_Data!A752</x:f>
        <x:v>0</x:v>
      </x:c>
      <x:c r="B752" s="28" t="n">
        <x:f>Match_Data!B752</x:f>
        <x:v>0</x:v>
      </x:c>
      <x:c r="C752" t="n">
        <x:f>Match_Data!C752</x:f>
        <x:v>0</x:v>
      </x:c>
      <x:c r="D752" t="n">
        <x:f>Match_Data!E752</x:f>
        <x:v>0</x:v>
      </x:c>
      <x:c r="E752" t="n">
        <x:f>Match_Data!F752</x:f>
        <x:v>0</x:v>
      </x:c>
      <x:c r="F752" t="n">
        <x:f>Match_Data!AC752</x:f>
        <x:v>0</x:v>
      </x:c>
      <x:c r="G752" t="str">
        <x:f>IF(OR(Match_Data!K752="",Match_Data!L752=""),"",AVERAGE(Match_Data!K752:L752))</x:f>
      </x:c>
      <x:c r="H752" t="str">
        <x:f>IF(OR(Match_Data!M752="",Match_Data!N752=""),"",AVERAGE(Match_Data!M752:N752))</x:f>
      </x:c>
      <x:c r="I752" t="str">
        <x:f>IF(OR(Match_Data!O752="",Match_Data!Q752=""),"",Match_Data!O752+Match_Data!Q752)</x:f>
      </x:c>
      <x:c r="J752" t="str">
        <x:f>IF(OR(Match_Data!P752="",Match_Data!R752=""),"",Match_Data!P752+Match_Data!R752)</x:f>
      </x:c>
      <x:c r="K752" t="str">
        <x:f>IF(OR(Match_Data!S752="",Match_Data!T752=""),"",Match_Data!S752+Match_Data!T752)</x:f>
      </x:c>
      <x:c r="L752" t="str">
        <x:f>IF(OR(Match_Data!U752="",Match_Data!V752=""),"",Match_Data!U752-Match_Data!V752)</x:f>
      </x:c>
      <x:c r="M752" s="32" t="str">
        <x:f>IF(Match_Data!Y752="","",1/Match_Data!Y752)</x:f>
      </x:c>
      <x:c r="N752" s="32" t="str">
        <x:f>IF(Match_Data!AA752="","",1/Match_Data!AA752)</x:f>
      </x:c>
      <x:c r="O752" s="32" t="str">
        <x:f>IF(OR(M752="",N752=""),"",N752-M752)</x:f>
      </x:c>
      <x:c r="P752" t="str">
        <x:f>IF(Match_Data!J752="","",IF(Match_Data!J752="OVER",1,0))</x:f>
      </x:c>
    </x:row>
    <x:row r="753">
      <x:c r="A753" t="n">
        <x:f>Match_Data!A753</x:f>
        <x:v>0</x:v>
      </x:c>
      <x:c r="B753" s="28" t="n">
        <x:f>Match_Data!B753</x:f>
        <x:v>0</x:v>
      </x:c>
      <x:c r="C753" t="n">
        <x:f>Match_Data!C753</x:f>
        <x:v>0</x:v>
      </x:c>
      <x:c r="D753" t="n">
        <x:f>Match_Data!E753</x:f>
        <x:v>0</x:v>
      </x:c>
      <x:c r="E753" t="n">
        <x:f>Match_Data!F753</x:f>
        <x:v>0</x:v>
      </x:c>
      <x:c r="F753" t="n">
        <x:f>Match_Data!AC753</x:f>
        <x:v>0</x:v>
      </x:c>
      <x:c r="G753" t="str">
        <x:f>IF(OR(Match_Data!K753="",Match_Data!L753=""),"",AVERAGE(Match_Data!K753:L753))</x:f>
      </x:c>
      <x:c r="H753" t="str">
        <x:f>IF(OR(Match_Data!M753="",Match_Data!N753=""),"",AVERAGE(Match_Data!M753:N753))</x:f>
      </x:c>
      <x:c r="I753" t="str">
        <x:f>IF(OR(Match_Data!O753="",Match_Data!Q753=""),"",Match_Data!O753+Match_Data!Q753)</x:f>
      </x:c>
      <x:c r="J753" t="str">
        <x:f>IF(OR(Match_Data!P753="",Match_Data!R753=""),"",Match_Data!P753+Match_Data!R753)</x:f>
      </x:c>
      <x:c r="K753" t="str">
        <x:f>IF(OR(Match_Data!S753="",Match_Data!T753=""),"",Match_Data!S753+Match_Data!T753)</x:f>
      </x:c>
      <x:c r="L753" t="str">
        <x:f>IF(OR(Match_Data!U753="",Match_Data!V753=""),"",Match_Data!U753-Match_Data!V753)</x:f>
      </x:c>
      <x:c r="M753" s="32" t="str">
        <x:f>IF(Match_Data!Y753="","",1/Match_Data!Y753)</x:f>
      </x:c>
      <x:c r="N753" s="32" t="str">
        <x:f>IF(Match_Data!AA753="","",1/Match_Data!AA753)</x:f>
      </x:c>
      <x:c r="O753" s="32" t="str">
        <x:f>IF(OR(M753="",N753=""),"",N753-M753)</x:f>
      </x:c>
      <x:c r="P753" t="str">
        <x:f>IF(Match_Data!J753="","",IF(Match_Data!J753="OVER",1,0))</x:f>
      </x:c>
    </x:row>
    <x:row r="754">
      <x:c r="A754" t="n">
        <x:f>Match_Data!A754</x:f>
        <x:v>0</x:v>
      </x:c>
      <x:c r="B754" s="28" t="n">
        <x:f>Match_Data!B754</x:f>
        <x:v>0</x:v>
      </x:c>
      <x:c r="C754" t="n">
        <x:f>Match_Data!C754</x:f>
        <x:v>0</x:v>
      </x:c>
      <x:c r="D754" t="n">
        <x:f>Match_Data!E754</x:f>
        <x:v>0</x:v>
      </x:c>
      <x:c r="E754" t="n">
        <x:f>Match_Data!F754</x:f>
        <x:v>0</x:v>
      </x:c>
      <x:c r="F754" t="n">
        <x:f>Match_Data!AC754</x:f>
        <x:v>0</x:v>
      </x:c>
      <x:c r="G754" t="str">
        <x:f>IF(OR(Match_Data!K754="",Match_Data!L754=""),"",AVERAGE(Match_Data!K754:L754))</x:f>
      </x:c>
      <x:c r="H754" t="str">
        <x:f>IF(OR(Match_Data!M754="",Match_Data!N754=""),"",AVERAGE(Match_Data!M754:N754))</x:f>
      </x:c>
      <x:c r="I754" t="str">
        <x:f>IF(OR(Match_Data!O754="",Match_Data!Q754=""),"",Match_Data!O754+Match_Data!Q754)</x:f>
      </x:c>
      <x:c r="J754" t="str">
        <x:f>IF(OR(Match_Data!P754="",Match_Data!R754=""),"",Match_Data!P754+Match_Data!R754)</x:f>
      </x:c>
      <x:c r="K754" t="str">
        <x:f>IF(OR(Match_Data!S754="",Match_Data!T754=""),"",Match_Data!S754+Match_Data!T754)</x:f>
      </x:c>
      <x:c r="L754" t="str">
        <x:f>IF(OR(Match_Data!U754="",Match_Data!V754=""),"",Match_Data!U754-Match_Data!V754)</x:f>
      </x:c>
      <x:c r="M754" s="32" t="str">
        <x:f>IF(Match_Data!Y754="","",1/Match_Data!Y754)</x:f>
      </x:c>
      <x:c r="N754" s="32" t="str">
        <x:f>IF(Match_Data!AA754="","",1/Match_Data!AA754)</x:f>
      </x:c>
      <x:c r="O754" s="32" t="str">
        <x:f>IF(OR(M754="",N754=""),"",N754-M754)</x:f>
      </x:c>
      <x:c r="P754" t="str">
        <x:f>IF(Match_Data!J754="","",IF(Match_Data!J754="OVER",1,0))</x:f>
      </x:c>
    </x:row>
    <x:row r="755">
      <x:c r="A755" t="n">
        <x:f>Match_Data!A755</x:f>
        <x:v>0</x:v>
      </x:c>
      <x:c r="B755" s="28" t="n">
        <x:f>Match_Data!B755</x:f>
        <x:v>0</x:v>
      </x:c>
      <x:c r="C755" t="n">
        <x:f>Match_Data!C755</x:f>
        <x:v>0</x:v>
      </x:c>
      <x:c r="D755" t="n">
        <x:f>Match_Data!E755</x:f>
        <x:v>0</x:v>
      </x:c>
      <x:c r="E755" t="n">
        <x:f>Match_Data!F755</x:f>
        <x:v>0</x:v>
      </x:c>
      <x:c r="F755" t="n">
        <x:f>Match_Data!AC755</x:f>
        <x:v>0</x:v>
      </x:c>
      <x:c r="G755" t="str">
        <x:f>IF(OR(Match_Data!K755="",Match_Data!L755=""),"",AVERAGE(Match_Data!K755:L755))</x:f>
      </x:c>
      <x:c r="H755" t="str">
        <x:f>IF(OR(Match_Data!M755="",Match_Data!N755=""),"",AVERAGE(Match_Data!M755:N755))</x:f>
      </x:c>
      <x:c r="I755" t="str">
        <x:f>IF(OR(Match_Data!O755="",Match_Data!Q755=""),"",Match_Data!O755+Match_Data!Q755)</x:f>
      </x:c>
      <x:c r="J755" t="str">
        <x:f>IF(OR(Match_Data!P755="",Match_Data!R755=""),"",Match_Data!P755+Match_Data!R755)</x:f>
      </x:c>
      <x:c r="K755" t="str">
        <x:f>IF(OR(Match_Data!S755="",Match_Data!T755=""),"",Match_Data!S755+Match_Data!T755)</x:f>
      </x:c>
      <x:c r="L755" t="str">
        <x:f>IF(OR(Match_Data!U755="",Match_Data!V755=""),"",Match_Data!U755-Match_Data!V755)</x:f>
      </x:c>
      <x:c r="M755" s="32" t="str">
        <x:f>IF(Match_Data!Y755="","",1/Match_Data!Y755)</x:f>
      </x:c>
      <x:c r="N755" s="32" t="str">
        <x:f>IF(Match_Data!AA755="","",1/Match_Data!AA755)</x:f>
      </x:c>
      <x:c r="O755" s="32" t="str">
        <x:f>IF(OR(M755="",N755=""),"",N755-M755)</x:f>
      </x:c>
      <x:c r="P755" t="str">
        <x:f>IF(Match_Data!J755="","",IF(Match_Data!J755="OVER",1,0))</x:f>
      </x:c>
    </x:row>
    <x:row r="756">
      <x:c r="A756" t="n">
        <x:f>Match_Data!A756</x:f>
        <x:v>0</x:v>
      </x:c>
      <x:c r="B756" s="28" t="n">
        <x:f>Match_Data!B756</x:f>
        <x:v>0</x:v>
      </x:c>
      <x:c r="C756" t="n">
        <x:f>Match_Data!C756</x:f>
        <x:v>0</x:v>
      </x:c>
      <x:c r="D756" t="n">
        <x:f>Match_Data!E756</x:f>
        <x:v>0</x:v>
      </x:c>
      <x:c r="E756" t="n">
        <x:f>Match_Data!F756</x:f>
        <x:v>0</x:v>
      </x:c>
      <x:c r="F756" t="n">
        <x:f>Match_Data!AC756</x:f>
        <x:v>0</x:v>
      </x:c>
      <x:c r="G756" t="str">
        <x:f>IF(OR(Match_Data!K756="",Match_Data!L756=""),"",AVERAGE(Match_Data!K756:L756))</x:f>
      </x:c>
      <x:c r="H756" t="str">
        <x:f>IF(OR(Match_Data!M756="",Match_Data!N756=""),"",AVERAGE(Match_Data!M756:N756))</x:f>
      </x:c>
      <x:c r="I756" t="str">
        <x:f>IF(OR(Match_Data!O756="",Match_Data!Q756=""),"",Match_Data!O756+Match_Data!Q756)</x:f>
      </x:c>
      <x:c r="J756" t="str">
        <x:f>IF(OR(Match_Data!P756="",Match_Data!R756=""),"",Match_Data!P756+Match_Data!R756)</x:f>
      </x:c>
      <x:c r="K756" t="str">
        <x:f>IF(OR(Match_Data!S756="",Match_Data!T756=""),"",Match_Data!S756+Match_Data!T756)</x:f>
      </x:c>
      <x:c r="L756" t="str">
        <x:f>IF(OR(Match_Data!U756="",Match_Data!V756=""),"",Match_Data!U756-Match_Data!V756)</x:f>
      </x:c>
      <x:c r="M756" s="32" t="str">
        <x:f>IF(Match_Data!Y756="","",1/Match_Data!Y756)</x:f>
      </x:c>
      <x:c r="N756" s="32" t="str">
        <x:f>IF(Match_Data!AA756="","",1/Match_Data!AA756)</x:f>
      </x:c>
      <x:c r="O756" s="32" t="str">
        <x:f>IF(OR(M756="",N756=""),"",N756-M756)</x:f>
      </x:c>
      <x:c r="P756" t="str">
        <x:f>IF(Match_Data!J756="","",IF(Match_Data!J756="OVER",1,0))</x:f>
      </x:c>
    </x:row>
    <x:row r="757">
      <x:c r="A757" t="n">
        <x:f>Match_Data!A757</x:f>
        <x:v>0</x:v>
      </x:c>
      <x:c r="B757" s="28" t="n">
        <x:f>Match_Data!B757</x:f>
        <x:v>0</x:v>
      </x:c>
      <x:c r="C757" t="n">
        <x:f>Match_Data!C757</x:f>
        <x:v>0</x:v>
      </x:c>
      <x:c r="D757" t="n">
        <x:f>Match_Data!E757</x:f>
        <x:v>0</x:v>
      </x:c>
      <x:c r="E757" t="n">
        <x:f>Match_Data!F757</x:f>
        <x:v>0</x:v>
      </x:c>
      <x:c r="F757" t="n">
        <x:f>Match_Data!AC757</x:f>
        <x:v>0</x:v>
      </x:c>
      <x:c r="G757" t="str">
        <x:f>IF(OR(Match_Data!K757="",Match_Data!L757=""),"",AVERAGE(Match_Data!K757:L757))</x:f>
      </x:c>
      <x:c r="H757" t="str">
        <x:f>IF(OR(Match_Data!M757="",Match_Data!N757=""),"",AVERAGE(Match_Data!M757:N757))</x:f>
      </x:c>
      <x:c r="I757" t="str">
        <x:f>IF(OR(Match_Data!O757="",Match_Data!Q757=""),"",Match_Data!O757+Match_Data!Q757)</x:f>
      </x:c>
      <x:c r="J757" t="str">
        <x:f>IF(OR(Match_Data!P757="",Match_Data!R757=""),"",Match_Data!P757+Match_Data!R757)</x:f>
      </x:c>
      <x:c r="K757" t="str">
        <x:f>IF(OR(Match_Data!S757="",Match_Data!T757=""),"",Match_Data!S757+Match_Data!T757)</x:f>
      </x:c>
      <x:c r="L757" t="str">
        <x:f>IF(OR(Match_Data!U757="",Match_Data!V757=""),"",Match_Data!U757-Match_Data!V757)</x:f>
      </x:c>
      <x:c r="M757" s="32" t="str">
        <x:f>IF(Match_Data!Y757="","",1/Match_Data!Y757)</x:f>
      </x:c>
      <x:c r="N757" s="32" t="str">
        <x:f>IF(Match_Data!AA757="","",1/Match_Data!AA757)</x:f>
      </x:c>
      <x:c r="O757" s="32" t="str">
        <x:f>IF(OR(M757="",N757=""),"",N757-M757)</x:f>
      </x:c>
      <x:c r="P757" t="str">
        <x:f>IF(Match_Data!J757="","",IF(Match_Data!J757="OVER",1,0))</x:f>
      </x:c>
    </x:row>
    <x:row r="758">
      <x:c r="A758" t="n">
        <x:f>Match_Data!A758</x:f>
        <x:v>0</x:v>
      </x:c>
      <x:c r="B758" s="28" t="n">
        <x:f>Match_Data!B758</x:f>
        <x:v>0</x:v>
      </x:c>
      <x:c r="C758" t="n">
        <x:f>Match_Data!C758</x:f>
        <x:v>0</x:v>
      </x:c>
      <x:c r="D758" t="n">
        <x:f>Match_Data!E758</x:f>
        <x:v>0</x:v>
      </x:c>
      <x:c r="E758" t="n">
        <x:f>Match_Data!F758</x:f>
        <x:v>0</x:v>
      </x:c>
      <x:c r="F758" t="n">
        <x:f>Match_Data!AC758</x:f>
        <x:v>0</x:v>
      </x:c>
      <x:c r="G758" t="str">
        <x:f>IF(OR(Match_Data!K758="",Match_Data!L758=""),"",AVERAGE(Match_Data!K758:L758))</x:f>
      </x:c>
      <x:c r="H758" t="str">
        <x:f>IF(OR(Match_Data!M758="",Match_Data!N758=""),"",AVERAGE(Match_Data!M758:N758))</x:f>
      </x:c>
      <x:c r="I758" t="str">
        <x:f>IF(OR(Match_Data!O758="",Match_Data!Q758=""),"",Match_Data!O758+Match_Data!Q758)</x:f>
      </x:c>
      <x:c r="J758" t="str">
        <x:f>IF(OR(Match_Data!P758="",Match_Data!R758=""),"",Match_Data!P758+Match_Data!R758)</x:f>
      </x:c>
      <x:c r="K758" t="str">
        <x:f>IF(OR(Match_Data!S758="",Match_Data!T758=""),"",Match_Data!S758+Match_Data!T758)</x:f>
      </x:c>
      <x:c r="L758" t="str">
        <x:f>IF(OR(Match_Data!U758="",Match_Data!V758=""),"",Match_Data!U758-Match_Data!V758)</x:f>
      </x:c>
      <x:c r="M758" s="32" t="str">
        <x:f>IF(Match_Data!Y758="","",1/Match_Data!Y758)</x:f>
      </x:c>
      <x:c r="N758" s="32" t="str">
        <x:f>IF(Match_Data!AA758="","",1/Match_Data!AA758)</x:f>
      </x:c>
      <x:c r="O758" s="32" t="str">
        <x:f>IF(OR(M758="",N758=""),"",N758-M758)</x:f>
      </x:c>
      <x:c r="P758" t="str">
        <x:f>IF(Match_Data!J758="","",IF(Match_Data!J758="OVER",1,0))</x:f>
      </x:c>
    </x:row>
    <x:row r="759">
      <x:c r="A759" t="n">
        <x:f>Match_Data!A759</x:f>
        <x:v>0</x:v>
      </x:c>
      <x:c r="B759" s="28" t="n">
        <x:f>Match_Data!B759</x:f>
        <x:v>0</x:v>
      </x:c>
      <x:c r="C759" t="n">
        <x:f>Match_Data!C759</x:f>
        <x:v>0</x:v>
      </x:c>
      <x:c r="D759" t="n">
        <x:f>Match_Data!E759</x:f>
        <x:v>0</x:v>
      </x:c>
      <x:c r="E759" t="n">
        <x:f>Match_Data!F759</x:f>
        <x:v>0</x:v>
      </x:c>
      <x:c r="F759" t="n">
        <x:f>Match_Data!AC759</x:f>
        <x:v>0</x:v>
      </x:c>
      <x:c r="G759" t="str">
        <x:f>IF(OR(Match_Data!K759="",Match_Data!L759=""),"",AVERAGE(Match_Data!K759:L759))</x:f>
      </x:c>
      <x:c r="H759" t="str">
        <x:f>IF(OR(Match_Data!M759="",Match_Data!N759=""),"",AVERAGE(Match_Data!M759:N759))</x:f>
      </x:c>
      <x:c r="I759" t="str">
        <x:f>IF(OR(Match_Data!O759="",Match_Data!Q759=""),"",Match_Data!O759+Match_Data!Q759)</x:f>
      </x:c>
      <x:c r="J759" t="str">
        <x:f>IF(OR(Match_Data!P759="",Match_Data!R759=""),"",Match_Data!P759+Match_Data!R759)</x:f>
      </x:c>
      <x:c r="K759" t="str">
        <x:f>IF(OR(Match_Data!S759="",Match_Data!T759=""),"",Match_Data!S759+Match_Data!T759)</x:f>
      </x:c>
      <x:c r="L759" t="str">
        <x:f>IF(OR(Match_Data!U759="",Match_Data!V759=""),"",Match_Data!U759-Match_Data!V759)</x:f>
      </x:c>
      <x:c r="M759" s="32" t="str">
        <x:f>IF(Match_Data!Y759="","",1/Match_Data!Y759)</x:f>
      </x:c>
      <x:c r="N759" s="32" t="str">
        <x:f>IF(Match_Data!AA759="","",1/Match_Data!AA759)</x:f>
      </x:c>
      <x:c r="O759" s="32" t="str">
        <x:f>IF(OR(M759="",N759=""),"",N759-M759)</x:f>
      </x:c>
      <x:c r="P759" t="str">
        <x:f>IF(Match_Data!J759="","",IF(Match_Data!J759="OVER",1,0))</x:f>
      </x:c>
    </x:row>
    <x:row r="760">
      <x:c r="A760" t="n">
        <x:f>Match_Data!A760</x:f>
        <x:v>0</x:v>
      </x:c>
      <x:c r="B760" s="28" t="n">
        <x:f>Match_Data!B760</x:f>
        <x:v>0</x:v>
      </x:c>
      <x:c r="C760" t="n">
        <x:f>Match_Data!C760</x:f>
        <x:v>0</x:v>
      </x:c>
      <x:c r="D760" t="n">
        <x:f>Match_Data!E760</x:f>
        <x:v>0</x:v>
      </x:c>
      <x:c r="E760" t="n">
        <x:f>Match_Data!F760</x:f>
        <x:v>0</x:v>
      </x:c>
      <x:c r="F760" t="n">
        <x:f>Match_Data!AC760</x:f>
        <x:v>0</x:v>
      </x:c>
      <x:c r="G760" t="str">
        <x:f>IF(OR(Match_Data!K760="",Match_Data!L760=""),"",AVERAGE(Match_Data!K760:L760))</x:f>
      </x:c>
      <x:c r="H760" t="str">
        <x:f>IF(OR(Match_Data!M760="",Match_Data!N760=""),"",AVERAGE(Match_Data!M760:N760))</x:f>
      </x:c>
      <x:c r="I760" t="str">
        <x:f>IF(OR(Match_Data!O760="",Match_Data!Q760=""),"",Match_Data!O760+Match_Data!Q760)</x:f>
      </x:c>
      <x:c r="J760" t="str">
        <x:f>IF(OR(Match_Data!P760="",Match_Data!R760=""),"",Match_Data!P760+Match_Data!R760)</x:f>
      </x:c>
      <x:c r="K760" t="str">
        <x:f>IF(OR(Match_Data!S760="",Match_Data!T760=""),"",Match_Data!S760+Match_Data!T760)</x:f>
      </x:c>
      <x:c r="L760" t="str">
        <x:f>IF(OR(Match_Data!U760="",Match_Data!V760=""),"",Match_Data!U760-Match_Data!V760)</x:f>
      </x:c>
      <x:c r="M760" s="32" t="str">
        <x:f>IF(Match_Data!Y760="","",1/Match_Data!Y760)</x:f>
      </x:c>
      <x:c r="N760" s="32" t="str">
        <x:f>IF(Match_Data!AA760="","",1/Match_Data!AA760)</x:f>
      </x:c>
      <x:c r="O760" s="32" t="str">
        <x:f>IF(OR(M760="",N760=""),"",N760-M760)</x:f>
      </x:c>
      <x:c r="P760" t="str">
        <x:f>IF(Match_Data!J760="","",IF(Match_Data!J760="OVER",1,0))</x:f>
      </x:c>
    </x:row>
    <x:row r="761">
      <x:c r="A761" t="n">
        <x:f>Match_Data!A761</x:f>
        <x:v>0</x:v>
      </x:c>
      <x:c r="B761" s="28" t="n">
        <x:f>Match_Data!B761</x:f>
        <x:v>0</x:v>
      </x:c>
      <x:c r="C761" t="n">
        <x:f>Match_Data!C761</x:f>
        <x:v>0</x:v>
      </x:c>
      <x:c r="D761" t="n">
        <x:f>Match_Data!E761</x:f>
        <x:v>0</x:v>
      </x:c>
      <x:c r="E761" t="n">
        <x:f>Match_Data!F761</x:f>
        <x:v>0</x:v>
      </x:c>
      <x:c r="F761" t="n">
        <x:f>Match_Data!AC761</x:f>
        <x:v>0</x:v>
      </x:c>
      <x:c r="G761" t="str">
        <x:f>IF(OR(Match_Data!K761="",Match_Data!L761=""),"",AVERAGE(Match_Data!K761:L761))</x:f>
      </x:c>
      <x:c r="H761" t="str">
        <x:f>IF(OR(Match_Data!M761="",Match_Data!N761=""),"",AVERAGE(Match_Data!M761:N761))</x:f>
      </x:c>
      <x:c r="I761" t="str">
        <x:f>IF(OR(Match_Data!O761="",Match_Data!Q761=""),"",Match_Data!O761+Match_Data!Q761)</x:f>
      </x:c>
      <x:c r="J761" t="str">
        <x:f>IF(OR(Match_Data!P761="",Match_Data!R761=""),"",Match_Data!P761+Match_Data!R761)</x:f>
      </x:c>
      <x:c r="K761" t="str">
        <x:f>IF(OR(Match_Data!S761="",Match_Data!T761=""),"",Match_Data!S761+Match_Data!T761)</x:f>
      </x:c>
      <x:c r="L761" t="str">
        <x:f>IF(OR(Match_Data!U761="",Match_Data!V761=""),"",Match_Data!U761-Match_Data!V761)</x:f>
      </x:c>
      <x:c r="M761" s="32" t="str">
        <x:f>IF(Match_Data!Y761="","",1/Match_Data!Y761)</x:f>
      </x:c>
      <x:c r="N761" s="32" t="str">
        <x:f>IF(Match_Data!AA761="","",1/Match_Data!AA761)</x:f>
      </x:c>
      <x:c r="O761" s="32" t="str">
        <x:f>IF(OR(M761="",N761=""),"",N761-M761)</x:f>
      </x:c>
      <x:c r="P761" t="str">
        <x:f>IF(Match_Data!J761="","",IF(Match_Data!J761="OVER",1,0))</x:f>
      </x:c>
    </x:row>
    <x:row r="762">
      <x:c r="A762" t="n">
        <x:f>Match_Data!A762</x:f>
        <x:v>0</x:v>
      </x:c>
      <x:c r="B762" s="28" t="n">
        <x:f>Match_Data!B762</x:f>
        <x:v>0</x:v>
      </x:c>
      <x:c r="C762" t="n">
        <x:f>Match_Data!C762</x:f>
        <x:v>0</x:v>
      </x:c>
      <x:c r="D762" t="n">
        <x:f>Match_Data!E762</x:f>
        <x:v>0</x:v>
      </x:c>
      <x:c r="E762" t="n">
        <x:f>Match_Data!F762</x:f>
        <x:v>0</x:v>
      </x:c>
      <x:c r="F762" t="n">
        <x:f>Match_Data!AC762</x:f>
        <x:v>0</x:v>
      </x:c>
      <x:c r="G762" t="str">
        <x:f>IF(OR(Match_Data!K762="",Match_Data!L762=""),"",AVERAGE(Match_Data!K762:L762))</x:f>
      </x:c>
      <x:c r="H762" t="str">
        <x:f>IF(OR(Match_Data!M762="",Match_Data!N762=""),"",AVERAGE(Match_Data!M762:N762))</x:f>
      </x:c>
      <x:c r="I762" t="str">
        <x:f>IF(OR(Match_Data!O762="",Match_Data!Q762=""),"",Match_Data!O762+Match_Data!Q762)</x:f>
      </x:c>
      <x:c r="J762" t="str">
        <x:f>IF(OR(Match_Data!P762="",Match_Data!R762=""),"",Match_Data!P762+Match_Data!R762)</x:f>
      </x:c>
      <x:c r="K762" t="str">
        <x:f>IF(OR(Match_Data!S762="",Match_Data!T762=""),"",Match_Data!S762+Match_Data!T762)</x:f>
      </x:c>
      <x:c r="L762" t="str">
        <x:f>IF(OR(Match_Data!U762="",Match_Data!V762=""),"",Match_Data!U762-Match_Data!V762)</x:f>
      </x:c>
      <x:c r="M762" s="32" t="str">
        <x:f>IF(Match_Data!Y762="","",1/Match_Data!Y762)</x:f>
      </x:c>
      <x:c r="N762" s="32" t="str">
        <x:f>IF(Match_Data!AA762="","",1/Match_Data!AA762)</x:f>
      </x:c>
      <x:c r="O762" s="32" t="str">
        <x:f>IF(OR(M762="",N762=""),"",N762-M762)</x:f>
      </x:c>
      <x:c r="P762" t="str">
        <x:f>IF(Match_Data!J762="","",IF(Match_Data!J762="OVER",1,0))</x:f>
      </x:c>
    </x:row>
    <x:row r="763">
      <x:c r="A763" t="n">
        <x:f>Match_Data!A763</x:f>
        <x:v>0</x:v>
      </x:c>
      <x:c r="B763" s="28" t="n">
        <x:f>Match_Data!B763</x:f>
        <x:v>0</x:v>
      </x:c>
      <x:c r="C763" t="n">
        <x:f>Match_Data!C763</x:f>
        <x:v>0</x:v>
      </x:c>
      <x:c r="D763" t="n">
        <x:f>Match_Data!E763</x:f>
        <x:v>0</x:v>
      </x:c>
      <x:c r="E763" t="n">
        <x:f>Match_Data!F763</x:f>
        <x:v>0</x:v>
      </x:c>
      <x:c r="F763" t="n">
        <x:f>Match_Data!AC763</x:f>
        <x:v>0</x:v>
      </x:c>
      <x:c r="G763" t="str">
        <x:f>IF(OR(Match_Data!K763="",Match_Data!L763=""),"",AVERAGE(Match_Data!K763:L763))</x:f>
      </x:c>
      <x:c r="H763" t="str">
        <x:f>IF(OR(Match_Data!M763="",Match_Data!N763=""),"",AVERAGE(Match_Data!M763:N763))</x:f>
      </x:c>
      <x:c r="I763" t="str">
        <x:f>IF(OR(Match_Data!O763="",Match_Data!Q763=""),"",Match_Data!O763+Match_Data!Q763)</x:f>
      </x:c>
      <x:c r="J763" t="str">
        <x:f>IF(OR(Match_Data!P763="",Match_Data!R763=""),"",Match_Data!P763+Match_Data!R763)</x:f>
      </x:c>
      <x:c r="K763" t="str">
        <x:f>IF(OR(Match_Data!S763="",Match_Data!T763=""),"",Match_Data!S763+Match_Data!T763)</x:f>
      </x:c>
      <x:c r="L763" t="str">
        <x:f>IF(OR(Match_Data!U763="",Match_Data!V763=""),"",Match_Data!U763-Match_Data!V763)</x:f>
      </x:c>
      <x:c r="M763" s="32" t="str">
        <x:f>IF(Match_Data!Y763="","",1/Match_Data!Y763)</x:f>
      </x:c>
      <x:c r="N763" s="32" t="str">
        <x:f>IF(Match_Data!AA763="","",1/Match_Data!AA763)</x:f>
      </x:c>
      <x:c r="O763" s="32" t="str">
        <x:f>IF(OR(M763="",N763=""),"",N763-M763)</x:f>
      </x:c>
      <x:c r="P763" t="str">
        <x:f>IF(Match_Data!J763="","",IF(Match_Data!J763="OVER",1,0))</x:f>
      </x:c>
    </x:row>
    <x:row r="764">
      <x:c r="A764" t="n">
        <x:f>Match_Data!A764</x:f>
        <x:v>0</x:v>
      </x:c>
      <x:c r="B764" s="28" t="n">
        <x:f>Match_Data!B764</x:f>
        <x:v>0</x:v>
      </x:c>
      <x:c r="C764" t="n">
        <x:f>Match_Data!C764</x:f>
        <x:v>0</x:v>
      </x:c>
      <x:c r="D764" t="n">
        <x:f>Match_Data!E764</x:f>
        <x:v>0</x:v>
      </x:c>
      <x:c r="E764" t="n">
        <x:f>Match_Data!F764</x:f>
        <x:v>0</x:v>
      </x:c>
      <x:c r="F764" t="n">
        <x:f>Match_Data!AC764</x:f>
        <x:v>0</x:v>
      </x:c>
      <x:c r="G764" t="str">
        <x:f>IF(OR(Match_Data!K764="",Match_Data!L764=""),"",AVERAGE(Match_Data!K764:L764))</x:f>
      </x:c>
      <x:c r="H764" t="str">
        <x:f>IF(OR(Match_Data!M764="",Match_Data!N764=""),"",AVERAGE(Match_Data!M764:N764))</x:f>
      </x:c>
      <x:c r="I764" t="str">
        <x:f>IF(OR(Match_Data!O764="",Match_Data!Q764=""),"",Match_Data!O764+Match_Data!Q764)</x:f>
      </x:c>
      <x:c r="J764" t="str">
        <x:f>IF(OR(Match_Data!P764="",Match_Data!R764=""),"",Match_Data!P764+Match_Data!R764)</x:f>
      </x:c>
      <x:c r="K764" t="str">
        <x:f>IF(OR(Match_Data!S764="",Match_Data!T764=""),"",Match_Data!S764+Match_Data!T764)</x:f>
      </x:c>
      <x:c r="L764" t="str">
        <x:f>IF(OR(Match_Data!U764="",Match_Data!V764=""),"",Match_Data!U764-Match_Data!V764)</x:f>
      </x:c>
      <x:c r="M764" s="32" t="str">
        <x:f>IF(Match_Data!Y764="","",1/Match_Data!Y764)</x:f>
      </x:c>
      <x:c r="N764" s="32" t="str">
        <x:f>IF(Match_Data!AA764="","",1/Match_Data!AA764)</x:f>
      </x:c>
      <x:c r="O764" s="32" t="str">
        <x:f>IF(OR(M764="",N764=""),"",N764-M764)</x:f>
      </x:c>
      <x:c r="P764" t="str">
        <x:f>IF(Match_Data!J764="","",IF(Match_Data!J764="OVER",1,0))</x:f>
      </x:c>
    </x:row>
    <x:row r="765">
      <x:c r="A765" t="n">
        <x:f>Match_Data!A765</x:f>
        <x:v>0</x:v>
      </x:c>
      <x:c r="B765" s="28" t="n">
        <x:f>Match_Data!B765</x:f>
        <x:v>0</x:v>
      </x:c>
      <x:c r="C765" t="n">
        <x:f>Match_Data!C765</x:f>
        <x:v>0</x:v>
      </x:c>
      <x:c r="D765" t="n">
        <x:f>Match_Data!E765</x:f>
        <x:v>0</x:v>
      </x:c>
      <x:c r="E765" t="n">
        <x:f>Match_Data!F765</x:f>
        <x:v>0</x:v>
      </x:c>
      <x:c r="F765" t="n">
        <x:f>Match_Data!AC765</x:f>
        <x:v>0</x:v>
      </x:c>
      <x:c r="G765" t="str">
        <x:f>IF(OR(Match_Data!K765="",Match_Data!L765=""),"",AVERAGE(Match_Data!K765:L765))</x:f>
      </x:c>
      <x:c r="H765" t="str">
        <x:f>IF(OR(Match_Data!M765="",Match_Data!N765=""),"",AVERAGE(Match_Data!M765:N765))</x:f>
      </x:c>
      <x:c r="I765" t="str">
        <x:f>IF(OR(Match_Data!O765="",Match_Data!Q765=""),"",Match_Data!O765+Match_Data!Q765)</x:f>
      </x:c>
      <x:c r="J765" t="str">
        <x:f>IF(OR(Match_Data!P765="",Match_Data!R765=""),"",Match_Data!P765+Match_Data!R765)</x:f>
      </x:c>
      <x:c r="K765" t="str">
        <x:f>IF(OR(Match_Data!S765="",Match_Data!T765=""),"",Match_Data!S765+Match_Data!T765)</x:f>
      </x:c>
      <x:c r="L765" t="str">
        <x:f>IF(OR(Match_Data!U765="",Match_Data!V765=""),"",Match_Data!U765-Match_Data!V765)</x:f>
      </x:c>
      <x:c r="M765" s="32" t="str">
        <x:f>IF(Match_Data!Y765="","",1/Match_Data!Y765)</x:f>
      </x:c>
      <x:c r="N765" s="32" t="str">
        <x:f>IF(Match_Data!AA765="","",1/Match_Data!AA765)</x:f>
      </x:c>
      <x:c r="O765" s="32" t="str">
        <x:f>IF(OR(M765="",N765=""),"",N765-M765)</x:f>
      </x:c>
      <x:c r="P765" t="str">
        <x:f>IF(Match_Data!J765="","",IF(Match_Data!J765="OVER",1,0))</x:f>
      </x:c>
    </x:row>
    <x:row r="766">
      <x:c r="A766" t="n">
        <x:f>Match_Data!A766</x:f>
        <x:v>0</x:v>
      </x:c>
      <x:c r="B766" s="28" t="n">
        <x:f>Match_Data!B766</x:f>
        <x:v>0</x:v>
      </x:c>
      <x:c r="C766" t="n">
        <x:f>Match_Data!C766</x:f>
        <x:v>0</x:v>
      </x:c>
      <x:c r="D766" t="n">
        <x:f>Match_Data!E766</x:f>
        <x:v>0</x:v>
      </x:c>
      <x:c r="E766" t="n">
        <x:f>Match_Data!F766</x:f>
        <x:v>0</x:v>
      </x:c>
      <x:c r="F766" t="n">
        <x:f>Match_Data!AC766</x:f>
        <x:v>0</x:v>
      </x:c>
      <x:c r="G766" t="str">
        <x:f>IF(OR(Match_Data!K766="",Match_Data!L766=""),"",AVERAGE(Match_Data!K766:L766))</x:f>
      </x:c>
      <x:c r="H766" t="str">
        <x:f>IF(OR(Match_Data!M766="",Match_Data!N766=""),"",AVERAGE(Match_Data!M766:N766))</x:f>
      </x:c>
      <x:c r="I766" t="str">
        <x:f>IF(OR(Match_Data!O766="",Match_Data!Q766=""),"",Match_Data!O766+Match_Data!Q766)</x:f>
      </x:c>
      <x:c r="J766" t="str">
        <x:f>IF(OR(Match_Data!P766="",Match_Data!R766=""),"",Match_Data!P766+Match_Data!R766)</x:f>
      </x:c>
      <x:c r="K766" t="str">
        <x:f>IF(OR(Match_Data!S766="",Match_Data!T766=""),"",Match_Data!S766+Match_Data!T766)</x:f>
      </x:c>
      <x:c r="L766" t="str">
        <x:f>IF(OR(Match_Data!U766="",Match_Data!V766=""),"",Match_Data!U766-Match_Data!V766)</x:f>
      </x:c>
      <x:c r="M766" s="32" t="str">
        <x:f>IF(Match_Data!Y766="","",1/Match_Data!Y766)</x:f>
      </x:c>
      <x:c r="N766" s="32" t="str">
        <x:f>IF(Match_Data!AA766="","",1/Match_Data!AA766)</x:f>
      </x:c>
      <x:c r="O766" s="32" t="str">
        <x:f>IF(OR(M766="",N766=""),"",N766-M766)</x:f>
      </x:c>
      <x:c r="P766" t="str">
        <x:f>IF(Match_Data!J766="","",IF(Match_Data!J766="OVER",1,0))</x:f>
      </x:c>
    </x:row>
    <x:row r="767">
      <x:c r="A767" t="n">
        <x:f>Match_Data!A767</x:f>
        <x:v>0</x:v>
      </x:c>
      <x:c r="B767" s="28" t="n">
        <x:f>Match_Data!B767</x:f>
        <x:v>0</x:v>
      </x:c>
      <x:c r="C767" t="n">
        <x:f>Match_Data!C767</x:f>
        <x:v>0</x:v>
      </x:c>
      <x:c r="D767" t="n">
        <x:f>Match_Data!E767</x:f>
        <x:v>0</x:v>
      </x:c>
      <x:c r="E767" t="n">
        <x:f>Match_Data!F767</x:f>
        <x:v>0</x:v>
      </x:c>
      <x:c r="F767" t="n">
        <x:f>Match_Data!AC767</x:f>
        <x:v>0</x:v>
      </x:c>
      <x:c r="G767" t="str">
        <x:f>IF(OR(Match_Data!K767="",Match_Data!L767=""),"",AVERAGE(Match_Data!K767:L767))</x:f>
      </x:c>
      <x:c r="H767" t="str">
        <x:f>IF(OR(Match_Data!M767="",Match_Data!N767=""),"",AVERAGE(Match_Data!M767:N767))</x:f>
      </x:c>
      <x:c r="I767" t="str">
        <x:f>IF(OR(Match_Data!O767="",Match_Data!Q767=""),"",Match_Data!O767+Match_Data!Q767)</x:f>
      </x:c>
      <x:c r="J767" t="str">
        <x:f>IF(OR(Match_Data!P767="",Match_Data!R767=""),"",Match_Data!P767+Match_Data!R767)</x:f>
      </x:c>
      <x:c r="K767" t="str">
        <x:f>IF(OR(Match_Data!S767="",Match_Data!T767=""),"",Match_Data!S767+Match_Data!T767)</x:f>
      </x:c>
      <x:c r="L767" t="str">
        <x:f>IF(OR(Match_Data!U767="",Match_Data!V767=""),"",Match_Data!U767-Match_Data!V767)</x:f>
      </x:c>
      <x:c r="M767" s="32" t="str">
        <x:f>IF(Match_Data!Y767="","",1/Match_Data!Y767)</x:f>
      </x:c>
      <x:c r="N767" s="32" t="str">
        <x:f>IF(Match_Data!AA767="","",1/Match_Data!AA767)</x:f>
      </x:c>
      <x:c r="O767" s="32" t="str">
        <x:f>IF(OR(M767="",N767=""),"",N767-M767)</x:f>
      </x:c>
      <x:c r="P767" t="str">
        <x:f>IF(Match_Data!J767="","",IF(Match_Data!J767="OVER",1,0))</x:f>
      </x:c>
    </x:row>
    <x:row r="768">
      <x:c r="A768" t="n">
        <x:f>Match_Data!A768</x:f>
        <x:v>0</x:v>
      </x:c>
      <x:c r="B768" s="28" t="n">
        <x:f>Match_Data!B768</x:f>
        <x:v>0</x:v>
      </x:c>
      <x:c r="C768" t="n">
        <x:f>Match_Data!C768</x:f>
        <x:v>0</x:v>
      </x:c>
      <x:c r="D768" t="n">
        <x:f>Match_Data!E768</x:f>
        <x:v>0</x:v>
      </x:c>
      <x:c r="E768" t="n">
        <x:f>Match_Data!F768</x:f>
        <x:v>0</x:v>
      </x:c>
      <x:c r="F768" t="n">
        <x:f>Match_Data!AC768</x:f>
        <x:v>0</x:v>
      </x:c>
      <x:c r="G768" t="str">
        <x:f>IF(OR(Match_Data!K768="",Match_Data!L768=""),"",AVERAGE(Match_Data!K768:L768))</x:f>
      </x:c>
      <x:c r="H768" t="str">
        <x:f>IF(OR(Match_Data!M768="",Match_Data!N768=""),"",AVERAGE(Match_Data!M768:N768))</x:f>
      </x:c>
      <x:c r="I768" t="str">
        <x:f>IF(OR(Match_Data!O768="",Match_Data!Q768=""),"",Match_Data!O768+Match_Data!Q768)</x:f>
      </x:c>
      <x:c r="J768" t="str">
        <x:f>IF(OR(Match_Data!P768="",Match_Data!R768=""),"",Match_Data!P768+Match_Data!R768)</x:f>
      </x:c>
      <x:c r="K768" t="str">
        <x:f>IF(OR(Match_Data!S768="",Match_Data!T768=""),"",Match_Data!S768+Match_Data!T768)</x:f>
      </x:c>
      <x:c r="L768" t="str">
        <x:f>IF(OR(Match_Data!U768="",Match_Data!V768=""),"",Match_Data!U768-Match_Data!V768)</x:f>
      </x:c>
      <x:c r="M768" s="32" t="str">
        <x:f>IF(Match_Data!Y768="","",1/Match_Data!Y768)</x:f>
      </x:c>
      <x:c r="N768" s="32" t="str">
        <x:f>IF(Match_Data!AA768="","",1/Match_Data!AA768)</x:f>
      </x:c>
      <x:c r="O768" s="32" t="str">
        <x:f>IF(OR(M768="",N768=""),"",N768-M768)</x:f>
      </x:c>
      <x:c r="P768" t="str">
        <x:f>IF(Match_Data!J768="","",IF(Match_Data!J768="OVER",1,0))</x:f>
      </x:c>
    </x:row>
    <x:row r="769">
      <x:c r="A769" t="n">
        <x:f>Match_Data!A769</x:f>
        <x:v>0</x:v>
      </x:c>
      <x:c r="B769" s="28" t="n">
        <x:f>Match_Data!B769</x:f>
        <x:v>0</x:v>
      </x:c>
      <x:c r="C769" t="n">
        <x:f>Match_Data!C769</x:f>
        <x:v>0</x:v>
      </x:c>
      <x:c r="D769" t="n">
        <x:f>Match_Data!E769</x:f>
        <x:v>0</x:v>
      </x:c>
      <x:c r="E769" t="n">
        <x:f>Match_Data!F769</x:f>
        <x:v>0</x:v>
      </x:c>
      <x:c r="F769" t="n">
        <x:f>Match_Data!AC769</x:f>
        <x:v>0</x:v>
      </x:c>
      <x:c r="G769" t="str">
        <x:f>IF(OR(Match_Data!K769="",Match_Data!L769=""),"",AVERAGE(Match_Data!K769:L769))</x:f>
      </x:c>
      <x:c r="H769" t="str">
        <x:f>IF(OR(Match_Data!M769="",Match_Data!N769=""),"",AVERAGE(Match_Data!M769:N769))</x:f>
      </x:c>
      <x:c r="I769" t="str">
        <x:f>IF(OR(Match_Data!O769="",Match_Data!Q769=""),"",Match_Data!O769+Match_Data!Q769)</x:f>
      </x:c>
      <x:c r="J769" t="str">
        <x:f>IF(OR(Match_Data!P769="",Match_Data!R769=""),"",Match_Data!P769+Match_Data!R769)</x:f>
      </x:c>
      <x:c r="K769" t="str">
        <x:f>IF(OR(Match_Data!S769="",Match_Data!T769=""),"",Match_Data!S769+Match_Data!T769)</x:f>
      </x:c>
      <x:c r="L769" t="str">
        <x:f>IF(OR(Match_Data!U769="",Match_Data!V769=""),"",Match_Data!U769-Match_Data!V769)</x:f>
      </x:c>
      <x:c r="M769" s="32" t="str">
        <x:f>IF(Match_Data!Y769="","",1/Match_Data!Y769)</x:f>
      </x:c>
      <x:c r="N769" s="32" t="str">
        <x:f>IF(Match_Data!AA769="","",1/Match_Data!AA769)</x:f>
      </x:c>
      <x:c r="O769" s="32" t="str">
        <x:f>IF(OR(M769="",N769=""),"",N769-M769)</x:f>
      </x:c>
      <x:c r="P769" t="str">
        <x:f>IF(Match_Data!J769="","",IF(Match_Data!J769="OVER",1,0))</x:f>
      </x:c>
    </x:row>
    <x:row r="770">
      <x:c r="A770" t="n">
        <x:f>Match_Data!A770</x:f>
        <x:v>0</x:v>
      </x:c>
      <x:c r="B770" s="28" t="n">
        <x:f>Match_Data!B770</x:f>
        <x:v>0</x:v>
      </x:c>
      <x:c r="C770" t="n">
        <x:f>Match_Data!C770</x:f>
        <x:v>0</x:v>
      </x:c>
      <x:c r="D770" t="n">
        <x:f>Match_Data!E770</x:f>
        <x:v>0</x:v>
      </x:c>
      <x:c r="E770" t="n">
        <x:f>Match_Data!F770</x:f>
        <x:v>0</x:v>
      </x:c>
      <x:c r="F770" t="n">
        <x:f>Match_Data!AC770</x:f>
        <x:v>0</x:v>
      </x:c>
      <x:c r="G770" t="str">
        <x:f>IF(OR(Match_Data!K770="",Match_Data!L770=""),"",AVERAGE(Match_Data!K770:L770))</x:f>
      </x:c>
      <x:c r="H770" t="str">
        <x:f>IF(OR(Match_Data!M770="",Match_Data!N770=""),"",AVERAGE(Match_Data!M770:N770))</x:f>
      </x:c>
      <x:c r="I770" t="str">
        <x:f>IF(OR(Match_Data!O770="",Match_Data!Q770=""),"",Match_Data!O770+Match_Data!Q770)</x:f>
      </x:c>
      <x:c r="J770" t="str">
        <x:f>IF(OR(Match_Data!P770="",Match_Data!R770=""),"",Match_Data!P770+Match_Data!R770)</x:f>
      </x:c>
      <x:c r="K770" t="str">
        <x:f>IF(OR(Match_Data!S770="",Match_Data!T770=""),"",Match_Data!S770+Match_Data!T770)</x:f>
      </x:c>
      <x:c r="L770" t="str">
        <x:f>IF(OR(Match_Data!U770="",Match_Data!V770=""),"",Match_Data!U770-Match_Data!V770)</x:f>
      </x:c>
      <x:c r="M770" s="32" t="str">
        <x:f>IF(Match_Data!Y770="","",1/Match_Data!Y770)</x:f>
      </x:c>
      <x:c r="N770" s="32" t="str">
        <x:f>IF(Match_Data!AA770="","",1/Match_Data!AA770)</x:f>
      </x:c>
      <x:c r="O770" s="32" t="str">
        <x:f>IF(OR(M770="",N770=""),"",N770-M770)</x:f>
      </x:c>
      <x:c r="P770" t="str">
        <x:f>IF(Match_Data!J770="","",IF(Match_Data!J770="OVER",1,0))</x:f>
      </x:c>
    </x:row>
    <x:row r="771">
      <x:c r="A771" t="n">
        <x:f>Match_Data!A771</x:f>
        <x:v>0</x:v>
      </x:c>
      <x:c r="B771" s="28" t="n">
        <x:f>Match_Data!B771</x:f>
        <x:v>0</x:v>
      </x:c>
      <x:c r="C771" t="n">
        <x:f>Match_Data!C771</x:f>
        <x:v>0</x:v>
      </x:c>
      <x:c r="D771" t="n">
        <x:f>Match_Data!E771</x:f>
        <x:v>0</x:v>
      </x:c>
      <x:c r="E771" t="n">
        <x:f>Match_Data!F771</x:f>
        <x:v>0</x:v>
      </x:c>
      <x:c r="F771" t="n">
        <x:f>Match_Data!AC771</x:f>
        <x:v>0</x:v>
      </x:c>
      <x:c r="G771" t="str">
        <x:f>IF(OR(Match_Data!K771="",Match_Data!L771=""),"",AVERAGE(Match_Data!K771:L771))</x:f>
      </x:c>
      <x:c r="H771" t="str">
        <x:f>IF(OR(Match_Data!M771="",Match_Data!N771=""),"",AVERAGE(Match_Data!M771:N771))</x:f>
      </x:c>
      <x:c r="I771" t="str">
        <x:f>IF(OR(Match_Data!O771="",Match_Data!Q771=""),"",Match_Data!O771+Match_Data!Q771)</x:f>
      </x:c>
      <x:c r="J771" t="str">
        <x:f>IF(OR(Match_Data!P771="",Match_Data!R771=""),"",Match_Data!P771+Match_Data!R771)</x:f>
      </x:c>
      <x:c r="K771" t="str">
        <x:f>IF(OR(Match_Data!S771="",Match_Data!T771=""),"",Match_Data!S771+Match_Data!T771)</x:f>
      </x:c>
      <x:c r="L771" t="str">
        <x:f>IF(OR(Match_Data!U771="",Match_Data!V771=""),"",Match_Data!U771-Match_Data!V771)</x:f>
      </x:c>
      <x:c r="M771" s="32" t="str">
        <x:f>IF(Match_Data!Y771="","",1/Match_Data!Y771)</x:f>
      </x:c>
      <x:c r="N771" s="32" t="str">
        <x:f>IF(Match_Data!AA771="","",1/Match_Data!AA771)</x:f>
      </x:c>
      <x:c r="O771" s="32" t="str">
        <x:f>IF(OR(M771="",N771=""),"",N771-M771)</x:f>
      </x:c>
      <x:c r="P771" t="str">
        <x:f>IF(Match_Data!J771="","",IF(Match_Data!J771="OVER",1,0))</x:f>
      </x:c>
    </x:row>
    <x:row r="772">
      <x:c r="A772" t="n">
        <x:f>Match_Data!A772</x:f>
        <x:v>0</x:v>
      </x:c>
      <x:c r="B772" s="28" t="n">
        <x:f>Match_Data!B772</x:f>
        <x:v>0</x:v>
      </x:c>
      <x:c r="C772" t="n">
        <x:f>Match_Data!C772</x:f>
        <x:v>0</x:v>
      </x:c>
      <x:c r="D772" t="n">
        <x:f>Match_Data!E772</x:f>
        <x:v>0</x:v>
      </x:c>
      <x:c r="E772" t="n">
        <x:f>Match_Data!F772</x:f>
        <x:v>0</x:v>
      </x:c>
      <x:c r="F772" t="n">
        <x:f>Match_Data!AC772</x:f>
        <x:v>0</x:v>
      </x:c>
      <x:c r="G772" t="str">
        <x:f>IF(OR(Match_Data!K772="",Match_Data!L772=""),"",AVERAGE(Match_Data!K772:L772))</x:f>
      </x:c>
      <x:c r="H772" t="str">
        <x:f>IF(OR(Match_Data!M772="",Match_Data!N772=""),"",AVERAGE(Match_Data!M772:N772))</x:f>
      </x:c>
      <x:c r="I772" t="str">
        <x:f>IF(OR(Match_Data!O772="",Match_Data!Q772=""),"",Match_Data!O772+Match_Data!Q772)</x:f>
      </x:c>
      <x:c r="J772" t="str">
        <x:f>IF(OR(Match_Data!P772="",Match_Data!R772=""),"",Match_Data!P772+Match_Data!R772)</x:f>
      </x:c>
      <x:c r="K772" t="str">
        <x:f>IF(OR(Match_Data!S772="",Match_Data!T772=""),"",Match_Data!S772+Match_Data!T772)</x:f>
      </x:c>
      <x:c r="L772" t="str">
        <x:f>IF(OR(Match_Data!U772="",Match_Data!V772=""),"",Match_Data!U772-Match_Data!V772)</x:f>
      </x:c>
      <x:c r="M772" s="32" t="str">
        <x:f>IF(Match_Data!Y772="","",1/Match_Data!Y772)</x:f>
      </x:c>
      <x:c r="N772" s="32" t="str">
        <x:f>IF(Match_Data!AA772="","",1/Match_Data!AA772)</x:f>
      </x:c>
      <x:c r="O772" s="32" t="str">
        <x:f>IF(OR(M772="",N772=""),"",N772-M772)</x:f>
      </x:c>
      <x:c r="P772" t="str">
        <x:f>IF(Match_Data!J772="","",IF(Match_Data!J772="OVER",1,0))</x:f>
      </x:c>
    </x:row>
    <x:row r="773">
      <x:c r="A773" t="n">
        <x:f>Match_Data!A773</x:f>
        <x:v>0</x:v>
      </x:c>
      <x:c r="B773" s="28" t="n">
        <x:f>Match_Data!B773</x:f>
        <x:v>0</x:v>
      </x:c>
      <x:c r="C773" t="n">
        <x:f>Match_Data!C773</x:f>
        <x:v>0</x:v>
      </x:c>
      <x:c r="D773" t="n">
        <x:f>Match_Data!E773</x:f>
        <x:v>0</x:v>
      </x:c>
      <x:c r="E773" t="n">
        <x:f>Match_Data!F773</x:f>
        <x:v>0</x:v>
      </x:c>
      <x:c r="F773" t="n">
        <x:f>Match_Data!AC773</x:f>
        <x:v>0</x:v>
      </x:c>
      <x:c r="G773" t="str">
        <x:f>IF(OR(Match_Data!K773="",Match_Data!L773=""),"",AVERAGE(Match_Data!K773:L773))</x:f>
      </x:c>
      <x:c r="H773" t="str">
        <x:f>IF(OR(Match_Data!M773="",Match_Data!N773=""),"",AVERAGE(Match_Data!M773:N773))</x:f>
      </x:c>
      <x:c r="I773" t="str">
        <x:f>IF(OR(Match_Data!O773="",Match_Data!Q773=""),"",Match_Data!O773+Match_Data!Q773)</x:f>
      </x:c>
      <x:c r="J773" t="str">
        <x:f>IF(OR(Match_Data!P773="",Match_Data!R773=""),"",Match_Data!P773+Match_Data!R773)</x:f>
      </x:c>
      <x:c r="K773" t="str">
        <x:f>IF(OR(Match_Data!S773="",Match_Data!T773=""),"",Match_Data!S773+Match_Data!T773)</x:f>
      </x:c>
      <x:c r="L773" t="str">
        <x:f>IF(OR(Match_Data!U773="",Match_Data!V773=""),"",Match_Data!U773-Match_Data!V773)</x:f>
      </x:c>
      <x:c r="M773" s="32" t="str">
        <x:f>IF(Match_Data!Y773="","",1/Match_Data!Y773)</x:f>
      </x:c>
      <x:c r="N773" s="32" t="str">
        <x:f>IF(Match_Data!AA773="","",1/Match_Data!AA773)</x:f>
      </x:c>
      <x:c r="O773" s="32" t="str">
        <x:f>IF(OR(M773="",N773=""),"",N773-M773)</x:f>
      </x:c>
      <x:c r="P773" t="str">
        <x:f>IF(Match_Data!J773="","",IF(Match_Data!J773="OVER",1,0))</x:f>
      </x:c>
    </x:row>
    <x:row r="774">
      <x:c r="A774" t="n">
        <x:f>Match_Data!A774</x:f>
        <x:v>0</x:v>
      </x:c>
      <x:c r="B774" s="28" t="n">
        <x:f>Match_Data!B774</x:f>
        <x:v>0</x:v>
      </x:c>
      <x:c r="C774" t="n">
        <x:f>Match_Data!C774</x:f>
        <x:v>0</x:v>
      </x:c>
      <x:c r="D774" t="n">
        <x:f>Match_Data!E774</x:f>
        <x:v>0</x:v>
      </x:c>
      <x:c r="E774" t="n">
        <x:f>Match_Data!F774</x:f>
        <x:v>0</x:v>
      </x:c>
      <x:c r="F774" t="n">
        <x:f>Match_Data!AC774</x:f>
        <x:v>0</x:v>
      </x:c>
      <x:c r="G774" t="str">
        <x:f>IF(OR(Match_Data!K774="",Match_Data!L774=""),"",AVERAGE(Match_Data!K774:L774))</x:f>
      </x:c>
      <x:c r="H774" t="str">
        <x:f>IF(OR(Match_Data!M774="",Match_Data!N774=""),"",AVERAGE(Match_Data!M774:N774))</x:f>
      </x:c>
      <x:c r="I774" t="str">
        <x:f>IF(OR(Match_Data!O774="",Match_Data!Q774=""),"",Match_Data!O774+Match_Data!Q774)</x:f>
      </x:c>
      <x:c r="J774" t="str">
        <x:f>IF(OR(Match_Data!P774="",Match_Data!R774=""),"",Match_Data!P774+Match_Data!R774)</x:f>
      </x:c>
      <x:c r="K774" t="str">
        <x:f>IF(OR(Match_Data!S774="",Match_Data!T774=""),"",Match_Data!S774+Match_Data!T774)</x:f>
      </x:c>
      <x:c r="L774" t="str">
        <x:f>IF(OR(Match_Data!U774="",Match_Data!V774=""),"",Match_Data!U774-Match_Data!V774)</x:f>
      </x:c>
      <x:c r="M774" s="32" t="str">
        <x:f>IF(Match_Data!Y774="","",1/Match_Data!Y774)</x:f>
      </x:c>
      <x:c r="N774" s="32" t="str">
        <x:f>IF(Match_Data!AA774="","",1/Match_Data!AA774)</x:f>
      </x:c>
      <x:c r="O774" s="32" t="str">
        <x:f>IF(OR(M774="",N774=""),"",N774-M774)</x:f>
      </x:c>
      <x:c r="P774" t="str">
        <x:f>IF(Match_Data!J774="","",IF(Match_Data!J774="OVER",1,0))</x:f>
      </x:c>
    </x:row>
    <x:row r="775">
      <x:c r="A775" t="n">
        <x:f>Match_Data!A775</x:f>
        <x:v>0</x:v>
      </x:c>
      <x:c r="B775" s="28" t="n">
        <x:f>Match_Data!B775</x:f>
        <x:v>0</x:v>
      </x:c>
      <x:c r="C775" t="n">
        <x:f>Match_Data!C775</x:f>
        <x:v>0</x:v>
      </x:c>
      <x:c r="D775" t="n">
        <x:f>Match_Data!E775</x:f>
        <x:v>0</x:v>
      </x:c>
      <x:c r="E775" t="n">
        <x:f>Match_Data!F775</x:f>
        <x:v>0</x:v>
      </x:c>
      <x:c r="F775" t="n">
        <x:f>Match_Data!AC775</x:f>
        <x:v>0</x:v>
      </x:c>
      <x:c r="G775" t="str">
        <x:f>IF(OR(Match_Data!K775="",Match_Data!L775=""),"",AVERAGE(Match_Data!K775:L775))</x:f>
      </x:c>
      <x:c r="H775" t="str">
        <x:f>IF(OR(Match_Data!M775="",Match_Data!N775=""),"",AVERAGE(Match_Data!M775:N775))</x:f>
      </x:c>
      <x:c r="I775" t="str">
        <x:f>IF(OR(Match_Data!O775="",Match_Data!Q775=""),"",Match_Data!O775+Match_Data!Q775)</x:f>
      </x:c>
      <x:c r="J775" t="str">
        <x:f>IF(OR(Match_Data!P775="",Match_Data!R775=""),"",Match_Data!P775+Match_Data!R775)</x:f>
      </x:c>
      <x:c r="K775" t="str">
        <x:f>IF(OR(Match_Data!S775="",Match_Data!T775=""),"",Match_Data!S775+Match_Data!T775)</x:f>
      </x:c>
      <x:c r="L775" t="str">
        <x:f>IF(OR(Match_Data!U775="",Match_Data!V775=""),"",Match_Data!U775-Match_Data!V775)</x:f>
      </x:c>
      <x:c r="M775" s="32" t="str">
        <x:f>IF(Match_Data!Y775="","",1/Match_Data!Y775)</x:f>
      </x:c>
      <x:c r="N775" s="32" t="str">
        <x:f>IF(Match_Data!AA775="","",1/Match_Data!AA775)</x:f>
      </x:c>
      <x:c r="O775" s="32" t="str">
        <x:f>IF(OR(M775="",N775=""),"",N775-M775)</x:f>
      </x:c>
      <x:c r="P775" t="str">
        <x:f>IF(Match_Data!J775="","",IF(Match_Data!J775="OVER",1,0))</x:f>
      </x:c>
    </x:row>
    <x:row r="776">
      <x:c r="A776" t="n">
        <x:f>Match_Data!A776</x:f>
        <x:v>0</x:v>
      </x:c>
      <x:c r="B776" s="28" t="n">
        <x:f>Match_Data!B776</x:f>
        <x:v>0</x:v>
      </x:c>
      <x:c r="C776" t="n">
        <x:f>Match_Data!C776</x:f>
        <x:v>0</x:v>
      </x:c>
      <x:c r="D776" t="n">
        <x:f>Match_Data!E776</x:f>
        <x:v>0</x:v>
      </x:c>
      <x:c r="E776" t="n">
        <x:f>Match_Data!F776</x:f>
        <x:v>0</x:v>
      </x:c>
      <x:c r="F776" t="n">
        <x:f>Match_Data!AC776</x:f>
        <x:v>0</x:v>
      </x:c>
      <x:c r="G776" t="str">
        <x:f>IF(OR(Match_Data!K776="",Match_Data!L776=""),"",AVERAGE(Match_Data!K776:L776))</x:f>
      </x:c>
      <x:c r="H776" t="str">
        <x:f>IF(OR(Match_Data!M776="",Match_Data!N776=""),"",AVERAGE(Match_Data!M776:N776))</x:f>
      </x:c>
      <x:c r="I776" t="str">
        <x:f>IF(OR(Match_Data!O776="",Match_Data!Q776=""),"",Match_Data!O776+Match_Data!Q776)</x:f>
      </x:c>
      <x:c r="J776" t="str">
        <x:f>IF(OR(Match_Data!P776="",Match_Data!R776=""),"",Match_Data!P776+Match_Data!R776)</x:f>
      </x:c>
      <x:c r="K776" t="str">
        <x:f>IF(OR(Match_Data!S776="",Match_Data!T776=""),"",Match_Data!S776+Match_Data!T776)</x:f>
      </x:c>
      <x:c r="L776" t="str">
        <x:f>IF(OR(Match_Data!U776="",Match_Data!V776=""),"",Match_Data!U776-Match_Data!V776)</x:f>
      </x:c>
      <x:c r="M776" s="32" t="str">
        <x:f>IF(Match_Data!Y776="","",1/Match_Data!Y776)</x:f>
      </x:c>
      <x:c r="N776" s="32" t="str">
        <x:f>IF(Match_Data!AA776="","",1/Match_Data!AA776)</x:f>
      </x:c>
      <x:c r="O776" s="32" t="str">
        <x:f>IF(OR(M776="",N776=""),"",N776-M776)</x:f>
      </x:c>
      <x:c r="P776" t="str">
        <x:f>IF(Match_Data!J776="","",IF(Match_Data!J776="OVER",1,0))</x:f>
      </x:c>
    </x:row>
    <x:row r="777">
      <x:c r="A777" t="n">
        <x:f>Match_Data!A777</x:f>
        <x:v>0</x:v>
      </x:c>
      <x:c r="B777" s="28" t="n">
        <x:f>Match_Data!B777</x:f>
        <x:v>0</x:v>
      </x:c>
      <x:c r="C777" t="n">
        <x:f>Match_Data!C777</x:f>
        <x:v>0</x:v>
      </x:c>
      <x:c r="D777" t="n">
        <x:f>Match_Data!E777</x:f>
        <x:v>0</x:v>
      </x:c>
      <x:c r="E777" t="n">
        <x:f>Match_Data!F777</x:f>
        <x:v>0</x:v>
      </x:c>
      <x:c r="F777" t="n">
        <x:f>Match_Data!AC777</x:f>
        <x:v>0</x:v>
      </x:c>
      <x:c r="G777" t="str">
        <x:f>IF(OR(Match_Data!K777="",Match_Data!L777=""),"",AVERAGE(Match_Data!K777:L777))</x:f>
      </x:c>
      <x:c r="H777" t="str">
        <x:f>IF(OR(Match_Data!M777="",Match_Data!N777=""),"",AVERAGE(Match_Data!M777:N777))</x:f>
      </x:c>
      <x:c r="I777" t="str">
        <x:f>IF(OR(Match_Data!O777="",Match_Data!Q777=""),"",Match_Data!O777+Match_Data!Q777)</x:f>
      </x:c>
      <x:c r="J777" t="str">
        <x:f>IF(OR(Match_Data!P777="",Match_Data!R777=""),"",Match_Data!P777+Match_Data!R777)</x:f>
      </x:c>
      <x:c r="K777" t="str">
        <x:f>IF(OR(Match_Data!S777="",Match_Data!T777=""),"",Match_Data!S777+Match_Data!T777)</x:f>
      </x:c>
      <x:c r="L777" t="str">
        <x:f>IF(OR(Match_Data!U777="",Match_Data!V777=""),"",Match_Data!U777-Match_Data!V777)</x:f>
      </x:c>
      <x:c r="M777" s="32" t="str">
        <x:f>IF(Match_Data!Y777="","",1/Match_Data!Y777)</x:f>
      </x:c>
      <x:c r="N777" s="32" t="str">
        <x:f>IF(Match_Data!AA777="","",1/Match_Data!AA777)</x:f>
      </x:c>
      <x:c r="O777" s="32" t="str">
        <x:f>IF(OR(M777="",N777=""),"",N777-M777)</x:f>
      </x:c>
      <x:c r="P777" t="str">
        <x:f>IF(Match_Data!J777="","",IF(Match_Data!J777="OVER",1,0))</x:f>
      </x:c>
    </x:row>
    <x:row r="778">
      <x:c r="A778" t="n">
        <x:f>Match_Data!A778</x:f>
        <x:v>0</x:v>
      </x:c>
      <x:c r="B778" s="28" t="n">
        <x:f>Match_Data!B778</x:f>
        <x:v>0</x:v>
      </x:c>
      <x:c r="C778" t="n">
        <x:f>Match_Data!C778</x:f>
        <x:v>0</x:v>
      </x:c>
      <x:c r="D778" t="n">
        <x:f>Match_Data!E778</x:f>
        <x:v>0</x:v>
      </x:c>
      <x:c r="E778" t="n">
        <x:f>Match_Data!F778</x:f>
        <x:v>0</x:v>
      </x:c>
      <x:c r="F778" t="n">
        <x:f>Match_Data!AC778</x:f>
        <x:v>0</x:v>
      </x:c>
      <x:c r="G778" t="str">
        <x:f>IF(OR(Match_Data!K778="",Match_Data!L778=""),"",AVERAGE(Match_Data!K778:L778))</x:f>
      </x:c>
      <x:c r="H778" t="str">
        <x:f>IF(OR(Match_Data!M778="",Match_Data!N778=""),"",AVERAGE(Match_Data!M778:N778))</x:f>
      </x:c>
      <x:c r="I778" t="str">
        <x:f>IF(OR(Match_Data!O778="",Match_Data!Q778=""),"",Match_Data!O778+Match_Data!Q778)</x:f>
      </x:c>
      <x:c r="J778" t="str">
        <x:f>IF(OR(Match_Data!P778="",Match_Data!R778=""),"",Match_Data!P778+Match_Data!R778)</x:f>
      </x:c>
      <x:c r="K778" t="str">
        <x:f>IF(OR(Match_Data!S778="",Match_Data!T778=""),"",Match_Data!S778+Match_Data!T778)</x:f>
      </x:c>
      <x:c r="L778" t="str">
        <x:f>IF(OR(Match_Data!U778="",Match_Data!V778=""),"",Match_Data!U778-Match_Data!V778)</x:f>
      </x:c>
      <x:c r="M778" s="32" t="str">
        <x:f>IF(Match_Data!Y778="","",1/Match_Data!Y778)</x:f>
      </x:c>
      <x:c r="N778" s="32" t="str">
        <x:f>IF(Match_Data!AA778="","",1/Match_Data!AA778)</x:f>
      </x:c>
      <x:c r="O778" s="32" t="str">
        <x:f>IF(OR(M778="",N778=""),"",N778-M778)</x:f>
      </x:c>
      <x:c r="P778" t="str">
        <x:f>IF(Match_Data!J778="","",IF(Match_Data!J778="OVER",1,0))</x:f>
      </x:c>
    </x:row>
    <x:row r="779">
      <x:c r="A779" t="n">
        <x:f>Match_Data!A779</x:f>
        <x:v>0</x:v>
      </x:c>
      <x:c r="B779" s="28" t="n">
        <x:f>Match_Data!B779</x:f>
        <x:v>0</x:v>
      </x:c>
      <x:c r="C779" t="n">
        <x:f>Match_Data!C779</x:f>
        <x:v>0</x:v>
      </x:c>
      <x:c r="D779" t="n">
        <x:f>Match_Data!E779</x:f>
        <x:v>0</x:v>
      </x:c>
      <x:c r="E779" t="n">
        <x:f>Match_Data!F779</x:f>
        <x:v>0</x:v>
      </x:c>
      <x:c r="F779" t="n">
        <x:f>Match_Data!AC779</x:f>
        <x:v>0</x:v>
      </x:c>
      <x:c r="G779" t="str">
        <x:f>IF(OR(Match_Data!K779="",Match_Data!L779=""),"",AVERAGE(Match_Data!K779:L779))</x:f>
      </x:c>
      <x:c r="H779" t="str">
        <x:f>IF(OR(Match_Data!M779="",Match_Data!N779=""),"",AVERAGE(Match_Data!M779:N779))</x:f>
      </x:c>
      <x:c r="I779" t="str">
        <x:f>IF(OR(Match_Data!O779="",Match_Data!Q779=""),"",Match_Data!O779+Match_Data!Q779)</x:f>
      </x:c>
      <x:c r="J779" t="str">
        <x:f>IF(OR(Match_Data!P779="",Match_Data!R779=""),"",Match_Data!P779+Match_Data!R779)</x:f>
      </x:c>
      <x:c r="K779" t="str">
        <x:f>IF(OR(Match_Data!S779="",Match_Data!T779=""),"",Match_Data!S779+Match_Data!T779)</x:f>
      </x:c>
      <x:c r="L779" t="str">
        <x:f>IF(OR(Match_Data!U779="",Match_Data!V779=""),"",Match_Data!U779-Match_Data!V779)</x:f>
      </x:c>
      <x:c r="M779" s="32" t="str">
        <x:f>IF(Match_Data!Y779="","",1/Match_Data!Y779)</x:f>
      </x:c>
      <x:c r="N779" s="32" t="str">
        <x:f>IF(Match_Data!AA779="","",1/Match_Data!AA779)</x:f>
      </x:c>
      <x:c r="O779" s="32" t="str">
        <x:f>IF(OR(M779="",N779=""),"",N779-M779)</x:f>
      </x:c>
      <x:c r="P779" t="str">
        <x:f>IF(Match_Data!J779="","",IF(Match_Data!J779="OVER",1,0))</x:f>
      </x:c>
    </x:row>
    <x:row r="780">
      <x:c r="A780" t="n">
        <x:f>Match_Data!A780</x:f>
        <x:v>0</x:v>
      </x:c>
      <x:c r="B780" s="28" t="n">
        <x:f>Match_Data!B780</x:f>
        <x:v>0</x:v>
      </x:c>
      <x:c r="C780" t="n">
        <x:f>Match_Data!C780</x:f>
        <x:v>0</x:v>
      </x:c>
      <x:c r="D780" t="n">
        <x:f>Match_Data!E780</x:f>
        <x:v>0</x:v>
      </x:c>
      <x:c r="E780" t="n">
        <x:f>Match_Data!F780</x:f>
        <x:v>0</x:v>
      </x:c>
      <x:c r="F780" t="n">
        <x:f>Match_Data!AC780</x:f>
        <x:v>0</x:v>
      </x:c>
      <x:c r="G780" t="str">
        <x:f>IF(OR(Match_Data!K780="",Match_Data!L780=""),"",AVERAGE(Match_Data!K780:L780))</x:f>
      </x:c>
      <x:c r="H780" t="str">
        <x:f>IF(OR(Match_Data!M780="",Match_Data!N780=""),"",AVERAGE(Match_Data!M780:N780))</x:f>
      </x:c>
      <x:c r="I780" t="str">
        <x:f>IF(OR(Match_Data!O780="",Match_Data!Q780=""),"",Match_Data!O780+Match_Data!Q780)</x:f>
      </x:c>
      <x:c r="J780" t="str">
        <x:f>IF(OR(Match_Data!P780="",Match_Data!R780=""),"",Match_Data!P780+Match_Data!R780)</x:f>
      </x:c>
      <x:c r="K780" t="str">
        <x:f>IF(OR(Match_Data!S780="",Match_Data!T780=""),"",Match_Data!S780+Match_Data!T780)</x:f>
      </x:c>
      <x:c r="L780" t="str">
        <x:f>IF(OR(Match_Data!U780="",Match_Data!V780=""),"",Match_Data!U780-Match_Data!V780)</x:f>
      </x:c>
      <x:c r="M780" s="32" t="str">
        <x:f>IF(Match_Data!Y780="","",1/Match_Data!Y780)</x:f>
      </x:c>
      <x:c r="N780" s="32" t="str">
        <x:f>IF(Match_Data!AA780="","",1/Match_Data!AA780)</x:f>
      </x:c>
      <x:c r="O780" s="32" t="str">
        <x:f>IF(OR(M780="",N780=""),"",N780-M780)</x:f>
      </x:c>
      <x:c r="P780" t="str">
        <x:f>IF(Match_Data!J780="","",IF(Match_Data!J780="OVER",1,0))</x:f>
      </x:c>
    </x:row>
    <x:row r="781">
      <x:c r="A781" t="n">
        <x:f>Match_Data!A781</x:f>
        <x:v>0</x:v>
      </x:c>
      <x:c r="B781" s="28" t="n">
        <x:f>Match_Data!B781</x:f>
        <x:v>0</x:v>
      </x:c>
      <x:c r="C781" t="n">
        <x:f>Match_Data!C781</x:f>
        <x:v>0</x:v>
      </x:c>
      <x:c r="D781" t="n">
        <x:f>Match_Data!E781</x:f>
        <x:v>0</x:v>
      </x:c>
      <x:c r="E781" t="n">
        <x:f>Match_Data!F781</x:f>
        <x:v>0</x:v>
      </x:c>
      <x:c r="F781" t="n">
        <x:f>Match_Data!AC781</x:f>
        <x:v>0</x:v>
      </x:c>
      <x:c r="G781" t="str">
        <x:f>IF(OR(Match_Data!K781="",Match_Data!L781=""),"",AVERAGE(Match_Data!K781:L781))</x:f>
      </x:c>
      <x:c r="H781" t="str">
        <x:f>IF(OR(Match_Data!M781="",Match_Data!N781=""),"",AVERAGE(Match_Data!M781:N781))</x:f>
      </x:c>
      <x:c r="I781" t="str">
        <x:f>IF(OR(Match_Data!O781="",Match_Data!Q781=""),"",Match_Data!O781+Match_Data!Q781)</x:f>
      </x:c>
      <x:c r="J781" t="str">
        <x:f>IF(OR(Match_Data!P781="",Match_Data!R781=""),"",Match_Data!P781+Match_Data!R781)</x:f>
      </x:c>
      <x:c r="K781" t="str">
        <x:f>IF(OR(Match_Data!S781="",Match_Data!T781=""),"",Match_Data!S781+Match_Data!T781)</x:f>
      </x:c>
      <x:c r="L781" t="str">
        <x:f>IF(OR(Match_Data!U781="",Match_Data!V781=""),"",Match_Data!U781-Match_Data!V781)</x:f>
      </x:c>
      <x:c r="M781" s="32" t="str">
        <x:f>IF(Match_Data!Y781="","",1/Match_Data!Y781)</x:f>
      </x:c>
      <x:c r="N781" s="32" t="str">
        <x:f>IF(Match_Data!AA781="","",1/Match_Data!AA781)</x:f>
      </x:c>
      <x:c r="O781" s="32" t="str">
        <x:f>IF(OR(M781="",N781=""),"",N781-M781)</x:f>
      </x:c>
      <x:c r="P781" t="str">
        <x:f>IF(Match_Data!J781="","",IF(Match_Data!J781="OVER",1,0))</x:f>
      </x:c>
    </x:row>
    <x:row r="782">
      <x:c r="A782" t="n">
        <x:f>Match_Data!A782</x:f>
        <x:v>0</x:v>
      </x:c>
      <x:c r="B782" s="28" t="n">
        <x:f>Match_Data!B782</x:f>
        <x:v>0</x:v>
      </x:c>
      <x:c r="C782" t="n">
        <x:f>Match_Data!C782</x:f>
        <x:v>0</x:v>
      </x:c>
      <x:c r="D782" t="n">
        <x:f>Match_Data!E782</x:f>
        <x:v>0</x:v>
      </x:c>
      <x:c r="E782" t="n">
        <x:f>Match_Data!F782</x:f>
        <x:v>0</x:v>
      </x:c>
      <x:c r="F782" t="n">
        <x:f>Match_Data!AC782</x:f>
        <x:v>0</x:v>
      </x:c>
      <x:c r="G782" t="str">
        <x:f>IF(OR(Match_Data!K782="",Match_Data!L782=""),"",AVERAGE(Match_Data!K782:L782))</x:f>
      </x:c>
      <x:c r="H782" t="str">
        <x:f>IF(OR(Match_Data!M782="",Match_Data!N782=""),"",AVERAGE(Match_Data!M782:N782))</x:f>
      </x:c>
      <x:c r="I782" t="str">
        <x:f>IF(OR(Match_Data!O782="",Match_Data!Q782=""),"",Match_Data!O782+Match_Data!Q782)</x:f>
      </x:c>
      <x:c r="J782" t="str">
        <x:f>IF(OR(Match_Data!P782="",Match_Data!R782=""),"",Match_Data!P782+Match_Data!R782)</x:f>
      </x:c>
      <x:c r="K782" t="str">
        <x:f>IF(OR(Match_Data!S782="",Match_Data!T782=""),"",Match_Data!S782+Match_Data!T782)</x:f>
      </x:c>
      <x:c r="L782" t="str">
        <x:f>IF(OR(Match_Data!U782="",Match_Data!V782=""),"",Match_Data!U782-Match_Data!V782)</x:f>
      </x:c>
      <x:c r="M782" s="32" t="str">
        <x:f>IF(Match_Data!Y782="","",1/Match_Data!Y782)</x:f>
      </x:c>
      <x:c r="N782" s="32" t="str">
        <x:f>IF(Match_Data!AA782="","",1/Match_Data!AA782)</x:f>
      </x:c>
      <x:c r="O782" s="32" t="str">
        <x:f>IF(OR(M782="",N782=""),"",N782-M782)</x:f>
      </x:c>
      <x:c r="P782" t="str">
        <x:f>IF(Match_Data!J782="","",IF(Match_Data!J782="OVER",1,0))</x:f>
      </x:c>
    </x:row>
    <x:row r="783">
      <x:c r="A783" t="n">
        <x:f>Match_Data!A783</x:f>
        <x:v>0</x:v>
      </x:c>
      <x:c r="B783" s="28" t="n">
        <x:f>Match_Data!B783</x:f>
        <x:v>0</x:v>
      </x:c>
      <x:c r="C783" t="n">
        <x:f>Match_Data!C783</x:f>
        <x:v>0</x:v>
      </x:c>
      <x:c r="D783" t="n">
        <x:f>Match_Data!E783</x:f>
        <x:v>0</x:v>
      </x:c>
      <x:c r="E783" t="n">
        <x:f>Match_Data!F783</x:f>
        <x:v>0</x:v>
      </x:c>
      <x:c r="F783" t="n">
        <x:f>Match_Data!AC783</x:f>
        <x:v>0</x:v>
      </x:c>
      <x:c r="G783" t="str">
        <x:f>IF(OR(Match_Data!K783="",Match_Data!L783=""),"",AVERAGE(Match_Data!K783:L783))</x:f>
      </x:c>
      <x:c r="H783" t="str">
        <x:f>IF(OR(Match_Data!M783="",Match_Data!N783=""),"",AVERAGE(Match_Data!M783:N783))</x:f>
      </x:c>
      <x:c r="I783" t="str">
        <x:f>IF(OR(Match_Data!O783="",Match_Data!Q783=""),"",Match_Data!O783+Match_Data!Q783)</x:f>
      </x:c>
      <x:c r="J783" t="str">
        <x:f>IF(OR(Match_Data!P783="",Match_Data!R783=""),"",Match_Data!P783+Match_Data!R783)</x:f>
      </x:c>
      <x:c r="K783" t="str">
        <x:f>IF(OR(Match_Data!S783="",Match_Data!T783=""),"",Match_Data!S783+Match_Data!T783)</x:f>
      </x:c>
      <x:c r="L783" t="str">
        <x:f>IF(OR(Match_Data!U783="",Match_Data!V783=""),"",Match_Data!U783-Match_Data!V783)</x:f>
      </x:c>
      <x:c r="M783" s="32" t="str">
        <x:f>IF(Match_Data!Y783="","",1/Match_Data!Y783)</x:f>
      </x:c>
      <x:c r="N783" s="32" t="str">
        <x:f>IF(Match_Data!AA783="","",1/Match_Data!AA783)</x:f>
      </x:c>
      <x:c r="O783" s="32" t="str">
        <x:f>IF(OR(M783="",N783=""),"",N783-M783)</x:f>
      </x:c>
      <x:c r="P783" t="str">
        <x:f>IF(Match_Data!J783="","",IF(Match_Data!J783="OVER",1,0))</x:f>
      </x:c>
    </x:row>
    <x:row r="784">
      <x:c r="A784" t="n">
        <x:f>Match_Data!A784</x:f>
        <x:v>0</x:v>
      </x:c>
      <x:c r="B784" s="28" t="n">
        <x:f>Match_Data!B784</x:f>
        <x:v>0</x:v>
      </x:c>
      <x:c r="C784" t="n">
        <x:f>Match_Data!C784</x:f>
        <x:v>0</x:v>
      </x:c>
      <x:c r="D784" t="n">
        <x:f>Match_Data!E784</x:f>
        <x:v>0</x:v>
      </x:c>
      <x:c r="E784" t="n">
        <x:f>Match_Data!F784</x:f>
        <x:v>0</x:v>
      </x:c>
      <x:c r="F784" t="n">
        <x:f>Match_Data!AC784</x:f>
        <x:v>0</x:v>
      </x:c>
      <x:c r="G784" t="str">
        <x:f>IF(OR(Match_Data!K784="",Match_Data!L784=""),"",AVERAGE(Match_Data!K784:L784))</x:f>
      </x:c>
      <x:c r="H784" t="str">
        <x:f>IF(OR(Match_Data!M784="",Match_Data!N784=""),"",AVERAGE(Match_Data!M784:N784))</x:f>
      </x:c>
      <x:c r="I784" t="str">
        <x:f>IF(OR(Match_Data!O784="",Match_Data!Q784=""),"",Match_Data!O784+Match_Data!Q784)</x:f>
      </x:c>
      <x:c r="J784" t="str">
        <x:f>IF(OR(Match_Data!P784="",Match_Data!R784=""),"",Match_Data!P784+Match_Data!R784)</x:f>
      </x:c>
      <x:c r="K784" t="str">
        <x:f>IF(OR(Match_Data!S784="",Match_Data!T784=""),"",Match_Data!S784+Match_Data!T784)</x:f>
      </x:c>
      <x:c r="L784" t="str">
        <x:f>IF(OR(Match_Data!U784="",Match_Data!V784=""),"",Match_Data!U784-Match_Data!V784)</x:f>
      </x:c>
      <x:c r="M784" s="32" t="str">
        <x:f>IF(Match_Data!Y784="","",1/Match_Data!Y784)</x:f>
      </x:c>
      <x:c r="N784" s="32" t="str">
        <x:f>IF(Match_Data!AA784="","",1/Match_Data!AA784)</x:f>
      </x:c>
      <x:c r="O784" s="32" t="str">
        <x:f>IF(OR(M784="",N784=""),"",N784-M784)</x:f>
      </x:c>
      <x:c r="P784" t="str">
        <x:f>IF(Match_Data!J784="","",IF(Match_Data!J784="OVER",1,0))</x:f>
      </x:c>
    </x:row>
    <x:row r="785">
      <x:c r="A785" t="n">
        <x:f>Match_Data!A785</x:f>
        <x:v>0</x:v>
      </x:c>
      <x:c r="B785" s="28" t="n">
        <x:f>Match_Data!B785</x:f>
        <x:v>0</x:v>
      </x:c>
      <x:c r="C785" t="n">
        <x:f>Match_Data!C785</x:f>
        <x:v>0</x:v>
      </x:c>
      <x:c r="D785" t="n">
        <x:f>Match_Data!E785</x:f>
        <x:v>0</x:v>
      </x:c>
      <x:c r="E785" t="n">
        <x:f>Match_Data!F785</x:f>
        <x:v>0</x:v>
      </x:c>
      <x:c r="F785" t="n">
        <x:f>Match_Data!AC785</x:f>
        <x:v>0</x:v>
      </x:c>
      <x:c r="G785" t="str">
        <x:f>IF(OR(Match_Data!K785="",Match_Data!L785=""),"",AVERAGE(Match_Data!K785:L785))</x:f>
      </x:c>
      <x:c r="H785" t="str">
        <x:f>IF(OR(Match_Data!M785="",Match_Data!N785=""),"",AVERAGE(Match_Data!M785:N785))</x:f>
      </x:c>
      <x:c r="I785" t="str">
        <x:f>IF(OR(Match_Data!O785="",Match_Data!Q785=""),"",Match_Data!O785+Match_Data!Q785)</x:f>
      </x:c>
      <x:c r="J785" t="str">
        <x:f>IF(OR(Match_Data!P785="",Match_Data!R785=""),"",Match_Data!P785+Match_Data!R785)</x:f>
      </x:c>
      <x:c r="K785" t="str">
        <x:f>IF(OR(Match_Data!S785="",Match_Data!T785=""),"",Match_Data!S785+Match_Data!T785)</x:f>
      </x:c>
      <x:c r="L785" t="str">
        <x:f>IF(OR(Match_Data!U785="",Match_Data!V785=""),"",Match_Data!U785-Match_Data!V785)</x:f>
      </x:c>
      <x:c r="M785" s="32" t="str">
        <x:f>IF(Match_Data!Y785="","",1/Match_Data!Y785)</x:f>
      </x:c>
      <x:c r="N785" s="32" t="str">
        <x:f>IF(Match_Data!AA785="","",1/Match_Data!AA785)</x:f>
      </x:c>
      <x:c r="O785" s="32" t="str">
        <x:f>IF(OR(M785="",N785=""),"",N785-M785)</x:f>
      </x:c>
      <x:c r="P785" t="str">
        <x:f>IF(Match_Data!J785="","",IF(Match_Data!J785="OVER",1,0))</x:f>
      </x:c>
    </x:row>
    <x:row r="786">
      <x:c r="A786" t="n">
        <x:f>Match_Data!A786</x:f>
        <x:v>0</x:v>
      </x:c>
      <x:c r="B786" s="28" t="n">
        <x:f>Match_Data!B786</x:f>
        <x:v>0</x:v>
      </x:c>
      <x:c r="C786" t="n">
        <x:f>Match_Data!C786</x:f>
        <x:v>0</x:v>
      </x:c>
      <x:c r="D786" t="n">
        <x:f>Match_Data!E786</x:f>
        <x:v>0</x:v>
      </x:c>
      <x:c r="E786" t="n">
        <x:f>Match_Data!F786</x:f>
        <x:v>0</x:v>
      </x:c>
      <x:c r="F786" t="n">
        <x:f>Match_Data!AC786</x:f>
        <x:v>0</x:v>
      </x:c>
      <x:c r="G786" t="str">
        <x:f>IF(OR(Match_Data!K786="",Match_Data!L786=""),"",AVERAGE(Match_Data!K786:L786))</x:f>
      </x:c>
      <x:c r="H786" t="str">
        <x:f>IF(OR(Match_Data!M786="",Match_Data!N786=""),"",AVERAGE(Match_Data!M786:N786))</x:f>
      </x:c>
      <x:c r="I786" t="str">
        <x:f>IF(OR(Match_Data!O786="",Match_Data!Q786=""),"",Match_Data!O786+Match_Data!Q786)</x:f>
      </x:c>
      <x:c r="J786" t="str">
        <x:f>IF(OR(Match_Data!P786="",Match_Data!R786=""),"",Match_Data!P786+Match_Data!R786)</x:f>
      </x:c>
      <x:c r="K786" t="str">
        <x:f>IF(OR(Match_Data!S786="",Match_Data!T786=""),"",Match_Data!S786+Match_Data!T786)</x:f>
      </x:c>
      <x:c r="L786" t="str">
        <x:f>IF(OR(Match_Data!U786="",Match_Data!V786=""),"",Match_Data!U786-Match_Data!V786)</x:f>
      </x:c>
      <x:c r="M786" s="32" t="str">
        <x:f>IF(Match_Data!Y786="","",1/Match_Data!Y786)</x:f>
      </x:c>
      <x:c r="N786" s="32" t="str">
        <x:f>IF(Match_Data!AA786="","",1/Match_Data!AA786)</x:f>
      </x:c>
      <x:c r="O786" s="32" t="str">
        <x:f>IF(OR(M786="",N786=""),"",N786-M786)</x:f>
      </x:c>
      <x:c r="P786" t="str">
        <x:f>IF(Match_Data!J786="","",IF(Match_Data!J786="OVER",1,0))</x:f>
      </x:c>
    </x:row>
    <x:row r="787">
      <x:c r="A787" t="n">
        <x:f>Match_Data!A787</x:f>
        <x:v>0</x:v>
      </x:c>
      <x:c r="B787" s="28" t="n">
        <x:f>Match_Data!B787</x:f>
        <x:v>0</x:v>
      </x:c>
      <x:c r="C787" t="n">
        <x:f>Match_Data!C787</x:f>
        <x:v>0</x:v>
      </x:c>
      <x:c r="D787" t="n">
        <x:f>Match_Data!E787</x:f>
        <x:v>0</x:v>
      </x:c>
      <x:c r="E787" t="n">
        <x:f>Match_Data!F787</x:f>
        <x:v>0</x:v>
      </x:c>
      <x:c r="F787" t="n">
        <x:f>Match_Data!AC787</x:f>
        <x:v>0</x:v>
      </x:c>
      <x:c r="G787" t="str">
        <x:f>IF(OR(Match_Data!K787="",Match_Data!L787=""),"",AVERAGE(Match_Data!K787:L787))</x:f>
      </x:c>
      <x:c r="H787" t="str">
        <x:f>IF(OR(Match_Data!M787="",Match_Data!N787=""),"",AVERAGE(Match_Data!M787:N787))</x:f>
      </x:c>
      <x:c r="I787" t="str">
        <x:f>IF(OR(Match_Data!O787="",Match_Data!Q787=""),"",Match_Data!O787+Match_Data!Q787)</x:f>
      </x:c>
      <x:c r="J787" t="str">
        <x:f>IF(OR(Match_Data!P787="",Match_Data!R787=""),"",Match_Data!P787+Match_Data!R787)</x:f>
      </x:c>
      <x:c r="K787" t="str">
        <x:f>IF(OR(Match_Data!S787="",Match_Data!T787=""),"",Match_Data!S787+Match_Data!T787)</x:f>
      </x:c>
      <x:c r="L787" t="str">
        <x:f>IF(OR(Match_Data!U787="",Match_Data!V787=""),"",Match_Data!U787-Match_Data!V787)</x:f>
      </x:c>
      <x:c r="M787" s="32" t="str">
        <x:f>IF(Match_Data!Y787="","",1/Match_Data!Y787)</x:f>
      </x:c>
      <x:c r="N787" s="32" t="str">
        <x:f>IF(Match_Data!AA787="","",1/Match_Data!AA787)</x:f>
      </x:c>
      <x:c r="O787" s="32" t="str">
        <x:f>IF(OR(M787="",N787=""),"",N787-M787)</x:f>
      </x:c>
      <x:c r="P787" t="str">
        <x:f>IF(Match_Data!J787="","",IF(Match_Data!J787="OVER",1,0))</x:f>
      </x:c>
    </x:row>
    <x:row r="788">
      <x:c r="A788" t="n">
        <x:f>Match_Data!A788</x:f>
        <x:v>0</x:v>
      </x:c>
      <x:c r="B788" s="28" t="n">
        <x:f>Match_Data!B788</x:f>
        <x:v>0</x:v>
      </x:c>
      <x:c r="C788" t="n">
        <x:f>Match_Data!C788</x:f>
        <x:v>0</x:v>
      </x:c>
      <x:c r="D788" t="n">
        <x:f>Match_Data!E788</x:f>
        <x:v>0</x:v>
      </x:c>
      <x:c r="E788" t="n">
        <x:f>Match_Data!F788</x:f>
        <x:v>0</x:v>
      </x:c>
      <x:c r="F788" t="n">
        <x:f>Match_Data!AC788</x:f>
        <x:v>0</x:v>
      </x:c>
      <x:c r="G788" t="str">
        <x:f>IF(OR(Match_Data!K788="",Match_Data!L788=""),"",AVERAGE(Match_Data!K788:L788))</x:f>
      </x:c>
      <x:c r="H788" t="str">
        <x:f>IF(OR(Match_Data!M788="",Match_Data!N788=""),"",AVERAGE(Match_Data!M788:N788))</x:f>
      </x:c>
      <x:c r="I788" t="str">
        <x:f>IF(OR(Match_Data!O788="",Match_Data!Q788=""),"",Match_Data!O788+Match_Data!Q788)</x:f>
      </x:c>
      <x:c r="J788" t="str">
        <x:f>IF(OR(Match_Data!P788="",Match_Data!R788=""),"",Match_Data!P788+Match_Data!R788)</x:f>
      </x:c>
      <x:c r="K788" t="str">
        <x:f>IF(OR(Match_Data!S788="",Match_Data!T788=""),"",Match_Data!S788+Match_Data!T788)</x:f>
      </x:c>
      <x:c r="L788" t="str">
        <x:f>IF(OR(Match_Data!U788="",Match_Data!V788=""),"",Match_Data!U788-Match_Data!V788)</x:f>
      </x:c>
      <x:c r="M788" s="32" t="str">
        <x:f>IF(Match_Data!Y788="","",1/Match_Data!Y788)</x:f>
      </x:c>
      <x:c r="N788" s="32" t="str">
        <x:f>IF(Match_Data!AA788="","",1/Match_Data!AA788)</x:f>
      </x:c>
      <x:c r="O788" s="32" t="str">
        <x:f>IF(OR(M788="",N788=""),"",N788-M788)</x:f>
      </x:c>
      <x:c r="P788" t="str">
        <x:f>IF(Match_Data!J788="","",IF(Match_Data!J788="OVER",1,0))</x:f>
      </x:c>
    </x:row>
    <x:row r="789">
      <x:c r="A789" t="n">
        <x:f>Match_Data!A789</x:f>
        <x:v>0</x:v>
      </x:c>
      <x:c r="B789" s="28" t="n">
        <x:f>Match_Data!B789</x:f>
        <x:v>0</x:v>
      </x:c>
      <x:c r="C789" t="n">
        <x:f>Match_Data!C789</x:f>
        <x:v>0</x:v>
      </x:c>
      <x:c r="D789" t="n">
        <x:f>Match_Data!E789</x:f>
        <x:v>0</x:v>
      </x:c>
      <x:c r="E789" t="n">
        <x:f>Match_Data!F789</x:f>
        <x:v>0</x:v>
      </x:c>
      <x:c r="F789" t="n">
        <x:f>Match_Data!AC789</x:f>
        <x:v>0</x:v>
      </x:c>
      <x:c r="G789" t="str">
        <x:f>IF(OR(Match_Data!K789="",Match_Data!L789=""),"",AVERAGE(Match_Data!K789:L789))</x:f>
      </x:c>
      <x:c r="H789" t="str">
        <x:f>IF(OR(Match_Data!M789="",Match_Data!N789=""),"",AVERAGE(Match_Data!M789:N789))</x:f>
      </x:c>
      <x:c r="I789" t="str">
        <x:f>IF(OR(Match_Data!O789="",Match_Data!Q789=""),"",Match_Data!O789+Match_Data!Q789)</x:f>
      </x:c>
      <x:c r="J789" t="str">
        <x:f>IF(OR(Match_Data!P789="",Match_Data!R789=""),"",Match_Data!P789+Match_Data!R789)</x:f>
      </x:c>
      <x:c r="K789" t="str">
        <x:f>IF(OR(Match_Data!S789="",Match_Data!T789=""),"",Match_Data!S789+Match_Data!T789)</x:f>
      </x:c>
      <x:c r="L789" t="str">
        <x:f>IF(OR(Match_Data!U789="",Match_Data!V789=""),"",Match_Data!U789-Match_Data!V789)</x:f>
      </x:c>
      <x:c r="M789" s="32" t="str">
        <x:f>IF(Match_Data!Y789="","",1/Match_Data!Y789)</x:f>
      </x:c>
      <x:c r="N789" s="32" t="str">
        <x:f>IF(Match_Data!AA789="","",1/Match_Data!AA789)</x:f>
      </x:c>
      <x:c r="O789" s="32" t="str">
        <x:f>IF(OR(M789="",N789=""),"",N789-M789)</x:f>
      </x:c>
      <x:c r="P789" t="str">
        <x:f>IF(Match_Data!J789="","",IF(Match_Data!J789="OVER",1,0))</x:f>
      </x:c>
    </x:row>
    <x:row r="790">
      <x:c r="A790" t="n">
        <x:f>Match_Data!A790</x:f>
        <x:v>0</x:v>
      </x:c>
      <x:c r="B790" s="28" t="n">
        <x:f>Match_Data!B790</x:f>
        <x:v>0</x:v>
      </x:c>
      <x:c r="C790" t="n">
        <x:f>Match_Data!C790</x:f>
        <x:v>0</x:v>
      </x:c>
      <x:c r="D790" t="n">
        <x:f>Match_Data!E790</x:f>
        <x:v>0</x:v>
      </x:c>
      <x:c r="E790" t="n">
        <x:f>Match_Data!F790</x:f>
        <x:v>0</x:v>
      </x:c>
      <x:c r="F790" t="n">
        <x:f>Match_Data!AC790</x:f>
        <x:v>0</x:v>
      </x:c>
      <x:c r="G790" t="str">
        <x:f>IF(OR(Match_Data!K790="",Match_Data!L790=""),"",AVERAGE(Match_Data!K790:L790))</x:f>
      </x:c>
      <x:c r="H790" t="str">
        <x:f>IF(OR(Match_Data!M790="",Match_Data!N790=""),"",AVERAGE(Match_Data!M790:N790))</x:f>
      </x:c>
      <x:c r="I790" t="str">
        <x:f>IF(OR(Match_Data!O790="",Match_Data!Q790=""),"",Match_Data!O790+Match_Data!Q790)</x:f>
      </x:c>
      <x:c r="J790" t="str">
        <x:f>IF(OR(Match_Data!P790="",Match_Data!R790=""),"",Match_Data!P790+Match_Data!R790)</x:f>
      </x:c>
      <x:c r="K790" t="str">
        <x:f>IF(OR(Match_Data!S790="",Match_Data!T790=""),"",Match_Data!S790+Match_Data!T790)</x:f>
      </x:c>
      <x:c r="L790" t="str">
        <x:f>IF(OR(Match_Data!U790="",Match_Data!V790=""),"",Match_Data!U790-Match_Data!V790)</x:f>
      </x:c>
      <x:c r="M790" s="32" t="str">
        <x:f>IF(Match_Data!Y790="","",1/Match_Data!Y790)</x:f>
      </x:c>
      <x:c r="N790" s="32" t="str">
        <x:f>IF(Match_Data!AA790="","",1/Match_Data!AA790)</x:f>
      </x:c>
      <x:c r="O790" s="32" t="str">
        <x:f>IF(OR(M790="",N790=""),"",N790-M790)</x:f>
      </x:c>
      <x:c r="P790" t="str">
        <x:f>IF(Match_Data!J790="","",IF(Match_Data!J790="OVER",1,0))</x:f>
      </x:c>
    </x:row>
    <x:row r="791">
      <x:c r="A791" t="n">
        <x:f>Match_Data!A791</x:f>
        <x:v>0</x:v>
      </x:c>
      <x:c r="B791" s="28" t="n">
        <x:f>Match_Data!B791</x:f>
        <x:v>0</x:v>
      </x:c>
      <x:c r="C791" t="n">
        <x:f>Match_Data!C791</x:f>
        <x:v>0</x:v>
      </x:c>
      <x:c r="D791" t="n">
        <x:f>Match_Data!E791</x:f>
        <x:v>0</x:v>
      </x:c>
      <x:c r="E791" t="n">
        <x:f>Match_Data!F791</x:f>
        <x:v>0</x:v>
      </x:c>
      <x:c r="F791" t="n">
        <x:f>Match_Data!AC791</x:f>
        <x:v>0</x:v>
      </x:c>
      <x:c r="G791" t="str">
        <x:f>IF(OR(Match_Data!K791="",Match_Data!L791=""),"",AVERAGE(Match_Data!K791:L791))</x:f>
      </x:c>
      <x:c r="H791" t="str">
        <x:f>IF(OR(Match_Data!M791="",Match_Data!N791=""),"",AVERAGE(Match_Data!M791:N791))</x:f>
      </x:c>
      <x:c r="I791" t="str">
        <x:f>IF(OR(Match_Data!O791="",Match_Data!Q791=""),"",Match_Data!O791+Match_Data!Q791)</x:f>
      </x:c>
      <x:c r="J791" t="str">
        <x:f>IF(OR(Match_Data!P791="",Match_Data!R791=""),"",Match_Data!P791+Match_Data!R791)</x:f>
      </x:c>
      <x:c r="K791" t="str">
        <x:f>IF(OR(Match_Data!S791="",Match_Data!T791=""),"",Match_Data!S791+Match_Data!T791)</x:f>
      </x:c>
      <x:c r="L791" t="str">
        <x:f>IF(OR(Match_Data!U791="",Match_Data!V791=""),"",Match_Data!U791-Match_Data!V791)</x:f>
      </x:c>
      <x:c r="M791" s="32" t="str">
        <x:f>IF(Match_Data!Y791="","",1/Match_Data!Y791)</x:f>
      </x:c>
      <x:c r="N791" s="32" t="str">
        <x:f>IF(Match_Data!AA791="","",1/Match_Data!AA791)</x:f>
      </x:c>
      <x:c r="O791" s="32" t="str">
        <x:f>IF(OR(M791="",N791=""),"",N791-M791)</x:f>
      </x:c>
      <x:c r="P791" t="str">
        <x:f>IF(Match_Data!J791="","",IF(Match_Data!J791="OVER",1,0))</x:f>
      </x:c>
    </x:row>
    <x:row r="792">
      <x:c r="A792" t="n">
        <x:f>Match_Data!A792</x:f>
        <x:v>0</x:v>
      </x:c>
      <x:c r="B792" s="28" t="n">
        <x:f>Match_Data!B792</x:f>
        <x:v>0</x:v>
      </x:c>
      <x:c r="C792" t="n">
        <x:f>Match_Data!C792</x:f>
        <x:v>0</x:v>
      </x:c>
      <x:c r="D792" t="n">
        <x:f>Match_Data!E792</x:f>
        <x:v>0</x:v>
      </x:c>
      <x:c r="E792" t="n">
        <x:f>Match_Data!F792</x:f>
        <x:v>0</x:v>
      </x:c>
      <x:c r="F792" t="n">
        <x:f>Match_Data!AC792</x:f>
        <x:v>0</x:v>
      </x:c>
      <x:c r="G792" t="str">
        <x:f>IF(OR(Match_Data!K792="",Match_Data!L792=""),"",AVERAGE(Match_Data!K792:L792))</x:f>
      </x:c>
      <x:c r="H792" t="str">
        <x:f>IF(OR(Match_Data!M792="",Match_Data!N792=""),"",AVERAGE(Match_Data!M792:N792))</x:f>
      </x:c>
      <x:c r="I792" t="str">
        <x:f>IF(OR(Match_Data!O792="",Match_Data!Q792=""),"",Match_Data!O792+Match_Data!Q792)</x:f>
      </x:c>
      <x:c r="J792" t="str">
        <x:f>IF(OR(Match_Data!P792="",Match_Data!R792=""),"",Match_Data!P792+Match_Data!R792)</x:f>
      </x:c>
      <x:c r="K792" t="str">
        <x:f>IF(OR(Match_Data!S792="",Match_Data!T792=""),"",Match_Data!S792+Match_Data!T792)</x:f>
      </x:c>
      <x:c r="L792" t="str">
        <x:f>IF(OR(Match_Data!U792="",Match_Data!V792=""),"",Match_Data!U792-Match_Data!V792)</x:f>
      </x:c>
      <x:c r="M792" s="32" t="str">
        <x:f>IF(Match_Data!Y792="","",1/Match_Data!Y792)</x:f>
      </x:c>
      <x:c r="N792" s="32" t="str">
        <x:f>IF(Match_Data!AA792="","",1/Match_Data!AA792)</x:f>
      </x:c>
      <x:c r="O792" s="32" t="str">
        <x:f>IF(OR(M792="",N792=""),"",N792-M792)</x:f>
      </x:c>
      <x:c r="P792" t="str">
        <x:f>IF(Match_Data!J792="","",IF(Match_Data!J792="OVER",1,0))</x:f>
      </x:c>
    </x:row>
    <x:row r="793">
      <x:c r="A793" t="n">
        <x:f>Match_Data!A793</x:f>
        <x:v>0</x:v>
      </x:c>
      <x:c r="B793" s="28" t="n">
        <x:f>Match_Data!B793</x:f>
        <x:v>0</x:v>
      </x:c>
      <x:c r="C793" t="n">
        <x:f>Match_Data!C793</x:f>
        <x:v>0</x:v>
      </x:c>
      <x:c r="D793" t="n">
        <x:f>Match_Data!E793</x:f>
        <x:v>0</x:v>
      </x:c>
      <x:c r="E793" t="n">
        <x:f>Match_Data!F793</x:f>
        <x:v>0</x:v>
      </x:c>
      <x:c r="F793" t="n">
        <x:f>Match_Data!AC793</x:f>
        <x:v>0</x:v>
      </x:c>
      <x:c r="G793" t="str">
        <x:f>IF(OR(Match_Data!K793="",Match_Data!L793=""),"",AVERAGE(Match_Data!K793:L793))</x:f>
      </x:c>
      <x:c r="H793" t="str">
        <x:f>IF(OR(Match_Data!M793="",Match_Data!N793=""),"",AVERAGE(Match_Data!M793:N793))</x:f>
      </x:c>
      <x:c r="I793" t="str">
        <x:f>IF(OR(Match_Data!O793="",Match_Data!Q793=""),"",Match_Data!O793+Match_Data!Q793)</x:f>
      </x:c>
      <x:c r="J793" t="str">
        <x:f>IF(OR(Match_Data!P793="",Match_Data!R793=""),"",Match_Data!P793+Match_Data!R793)</x:f>
      </x:c>
      <x:c r="K793" t="str">
        <x:f>IF(OR(Match_Data!S793="",Match_Data!T793=""),"",Match_Data!S793+Match_Data!T793)</x:f>
      </x:c>
      <x:c r="L793" t="str">
        <x:f>IF(OR(Match_Data!U793="",Match_Data!V793=""),"",Match_Data!U793-Match_Data!V793)</x:f>
      </x:c>
      <x:c r="M793" s="32" t="str">
        <x:f>IF(Match_Data!Y793="","",1/Match_Data!Y793)</x:f>
      </x:c>
      <x:c r="N793" s="32" t="str">
        <x:f>IF(Match_Data!AA793="","",1/Match_Data!AA793)</x:f>
      </x:c>
      <x:c r="O793" s="32" t="str">
        <x:f>IF(OR(M793="",N793=""),"",N793-M793)</x:f>
      </x:c>
      <x:c r="P793" t="str">
        <x:f>IF(Match_Data!J793="","",IF(Match_Data!J793="OVER",1,0))</x:f>
      </x:c>
    </x:row>
    <x:row r="794">
      <x:c r="A794" t="n">
        <x:f>Match_Data!A794</x:f>
        <x:v>0</x:v>
      </x:c>
      <x:c r="B794" s="28" t="n">
        <x:f>Match_Data!B794</x:f>
        <x:v>0</x:v>
      </x:c>
      <x:c r="C794" t="n">
        <x:f>Match_Data!C794</x:f>
        <x:v>0</x:v>
      </x:c>
      <x:c r="D794" t="n">
        <x:f>Match_Data!E794</x:f>
        <x:v>0</x:v>
      </x:c>
      <x:c r="E794" t="n">
        <x:f>Match_Data!F794</x:f>
        <x:v>0</x:v>
      </x:c>
      <x:c r="F794" t="n">
        <x:f>Match_Data!AC794</x:f>
        <x:v>0</x:v>
      </x:c>
      <x:c r="G794" t="str">
        <x:f>IF(OR(Match_Data!K794="",Match_Data!L794=""),"",AVERAGE(Match_Data!K794:L794))</x:f>
      </x:c>
      <x:c r="H794" t="str">
        <x:f>IF(OR(Match_Data!M794="",Match_Data!N794=""),"",AVERAGE(Match_Data!M794:N794))</x:f>
      </x:c>
      <x:c r="I794" t="str">
        <x:f>IF(OR(Match_Data!O794="",Match_Data!Q794=""),"",Match_Data!O794+Match_Data!Q794)</x:f>
      </x:c>
      <x:c r="J794" t="str">
        <x:f>IF(OR(Match_Data!P794="",Match_Data!R794=""),"",Match_Data!P794+Match_Data!R794)</x:f>
      </x:c>
      <x:c r="K794" t="str">
        <x:f>IF(OR(Match_Data!S794="",Match_Data!T794=""),"",Match_Data!S794+Match_Data!T794)</x:f>
      </x:c>
      <x:c r="L794" t="str">
        <x:f>IF(OR(Match_Data!U794="",Match_Data!V794=""),"",Match_Data!U794-Match_Data!V794)</x:f>
      </x:c>
      <x:c r="M794" s="32" t="str">
        <x:f>IF(Match_Data!Y794="","",1/Match_Data!Y794)</x:f>
      </x:c>
      <x:c r="N794" s="32" t="str">
        <x:f>IF(Match_Data!AA794="","",1/Match_Data!AA794)</x:f>
      </x:c>
      <x:c r="O794" s="32" t="str">
        <x:f>IF(OR(M794="",N794=""),"",N794-M794)</x:f>
      </x:c>
      <x:c r="P794" t="str">
        <x:f>IF(Match_Data!J794="","",IF(Match_Data!J794="OVER",1,0))</x:f>
      </x:c>
    </x:row>
    <x:row r="795">
      <x:c r="A795" t="n">
        <x:f>Match_Data!A795</x:f>
        <x:v>0</x:v>
      </x:c>
      <x:c r="B795" s="28" t="n">
        <x:f>Match_Data!B795</x:f>
        <x:v>0</x:v>
      </x:c>
      <x:c r="C795" t="n">
        <x:f>Match_Data!C795</x:f>
        <x:v>0</x:v>
      </x:c>
      <x:c r="D795" t="n">
        <x:f>Match_Data!E795</x:f>
        <x:v>0</x:v>
      </x:c>
      <x:c r="E795" t="n">
        <x:f>Match_Data!F795</x:f>
        <x:v>0</x:v>
      </x:c>
      <x:c r="F795" t="n">
        <x:f>Match_Data!AC795</x:f>
        <x:v>0</x:v>
      </x:c>
      <x:c r="G795" t="str">
        <x:f>IF(OR(Match_Data!K795="",Match_Data!L795=""),"",AVERAGE(Match_Data!K795:L795))</x:f>
      </x:c>
      <x:c r="H795" t="str">
        <x:f>IF(OR(Match_Data!M795="",Match_Data!N795=""),"",AVERAGE(Match_Data!M795:N795))</x:f>
      </x:c>
      <x:c r="I795" t="str">
        <x:f>IF(OR(Match_Data!O795="",Match_Data!Q795=""),"",Match_Data!O795+Match_Data!Q795)</x:f>
      </x:c>
      <x:c r="J795" t="str">
        <x:f>IF(OR(Match_Data!P795="",Match_Data!R795=""),"",Match_Data!P795+Match_Data!R795)</x:f>
      </x:c>
      <x:c r="K795" t="str">
        <x:f>IF(OR(Match_Data!S795="",Match_Data!T795=""),"",Match_Data!S795+Match_Data!T795)</x:f>
      </x:c>
      <x:c r="L795" t="str">
        <x:f>IF(OR(Match_Data!U795="",Match_Data!V795=""),"",Match_Data!U795-Match_Data!V795)</x:f>
      </x:c>
      <x:c r="M795" s="32" t="str">
        <x:f>IF(Match_Data!Y795="","",1/Match_Data!Y795)</x:f>
      </x:c>
      <x:c r="N795" s="32" t="str">
        <x:f>IF(Match_Data!AA795="","",1/Match_Data!AA795)</x:f>
      </x:c>
      <x:c r="O795" s="32" t="str">
        <x:f>IF(OR(M795="",N795=""),"",N795-M795)</x:f>
      </x:c>
      <x:c r="P795" t="str">
        <x:f>IF(Match_Data!J795="","",IF(Match_Data!J795="OVER",1,0))</x:f>
      </x:c>
    </x:row>
    <x:row r="796">
      <x:c r="A796" t="n">
        <x:f>Match_Data!A796</x:f>
        <x:v>0</x:v>
      </x:c>
      <x:c r="B796" s="28" t="n">
        <x:f>Match_Data!B796</x:f>
        <x:v>0</x:v>
      </x:c>
      <x:c r="C796" t="n">
        <x:f>Match_Data!C796</x:f>
        <x:v>0</x:v>
      </x:c>
      <x:c r="D796" t="n">
        <x:f>Match_Data!E796</x:f>
        <x:v>0</x:v>
      </x:c>
      <x:c r="E796" t="n">
        <x:f>Match_Data!F796</x:f>
        <x:v>0</x:v>
      </x:c>
      <x:c r="F796" t="n">
        <x:f>Match_Data!AC796</x:f>
        <x:v>0</x:v>
      </x:c>
      <x:c r="G796" t="str">
        <x:f>IF(OR(Match_Data!K796="",Match_Data!L796=""),"",AVERAGE(Match_Data!K796:L796))</x:f>
      </x:c>
      <x:c r="H796" t="str">
        <x:f>IF(OR(Match_Data!M796="",Match_Data!N796=""),"",AVERAGE(Match_Data!M796:N796))</x:f>
      </x:c>
      <x:c r="I796" t="str">
        <x:f>IF(OR(Match_Data!O796="",Match_Data!Q796=""),"",Match_Data!O796+Match_Data!Q796)</x:f>
      </x:c>
      <x:c r="J796" t="str">
        <x:f>IF(OR(Match_Data!P796="",Match_Data!R796=""),"",Match_Data!P796+Match_Data!R796)</x:f>
      </x:c>
      <x:c r="K796" t="str">
        <x:f>IF(OR(Match_Data!S796="",Match_Data!T796=""),"",Match_Data!S796+Match_Data!T796)</x:f>
      </x:c>
      <x:c r="L796" t="str">
        <x:f>IF(OR(Match_Data!U796="",Match_Data!V796=""),"",Match_Data!U796-Match_Data!V796)</x:f>
      </x:c>
      <x:c r="M796" s="32" t="str">
        <x:f>IF(Match_Data!Y796="","",1/Match_Data!Y796)</x:f>
      </x:c>
      <x:c r="N796" s="32" t="str">
        <x:f>IF(Match_Data!AA796="","",1/Match_Data!AA796)</x:f>
      </x:c>
      <x:c r="O796" s="32" t="str">
        <x:f>IF(OR(M796="",N796=""),"",N796-M796)</x:f>
      </x:c>
      <x:c r="P796" t="str">
        <x:f>IF(Match_Data!J796="","",IF(Match_Data!J796="OVER",1,0))</x:f>
      </x:c>
    </x:row>
    <x:row r="797">
      <x:c r="A797" t="n">
        <x:f>Match_Data!A797</x:f>
        <x:v>0</x:v>
      </x:c>
      <x:c r="B797" s="28" t="n">
        <x:f>Match_Data!B797</x:f>
        <x:v>0</x:v>
      </x:c>
      <x:c r="C797" t="n">
        <x:f>Match_Data!C797</x:f>
        <x:v>0</x:v>
      </x:c>
      <x:c r="D797" t="n">
        <x:f>Match_Data!E797</x:f>
        <x:v>0</x:v>
      </x:c>
      <x:c r="E797" t="n">
        <x:f>Match_Data!F797</x:f>
        <x:v>0</x:v>
      </x:c>
      <x:c r="F797" t="n">
        <x:f>Match_Data!AC797</x:f>
        <x:v>0</x:v>
      </x:c>
      <x:c r="G797" t="str">
        <x:f>IF(OR(Match_Data!K797="",Match_Data!L797=""),"",AVERAGE(Match_Data!K797:L797))</x:f>
      </x:c>
      <x:c r="H797" t="str">
        <x:f>IF(OR(Match_Data!M797="",Match_Data!N797=""),"",AVERAGE(Match_Data!M797:N797))</x:f>
      </x:c>
      <x:c r="I797" t="str">
        <x:f>IF(OR(Match_Data!O797="",Match_Data!Q797=""),"",Match_Data!O797+Match_Data!Q797)</x:f>
      </x:c>
      <x:c r="J797" t="str">
        <x:f>IF(OR(Match_Data!P797="",Match_Data!R797=""),"",Match_Data!P797+Match_Data!R797)</x:f>
      </x:c>
      <x:c r="K797" t="str">
        <x:f>IF(OR(Match_Data!S797="",Match_Data!T797=""),"",Match_Data!S797+Match_Data!T797)</x:f>
      </x:c>
      <x:c r="L797" t="str">
        <x:f>IF(OR(Match_Data!U797="",Match_Data!V797=""),"",Match_Data!U797-Match_Data!V797)</x:f>
      </x:c>
      <x:c r="M797" s="32" t="str">
        <x:f>IF(Match_Data!Y797="","",1/Match_Data!Y797)</x:f>
      </x:c>
      <x:c r="N797" s="32" t="str">
        <x:f>IF(Match_Data!AA797="","",1/Match_Data!AA797)</x:f>
      </x:c>
      <x:c r="O797" s="32" t="str">
        <x:f>IF(OR(M797="",N797=""),"",N797-M797)</x:f>
      </x:c>
      <x:c r="P797" t="str">
        <x:f>IF(Match_Data!J797="","",IF(Match_Data!J797="OVER",1,0))</x:f>
      </x:c>
    </x:row>
    <x:row r="798">
      <x:c r="A798" t="n">
        <x:f>Match_Data!A798</x:f>
        <x:v>0</x:v>
      </x:c>
      <x:c r="B798" s="28" t="n">
        <x:f>Match_Data!B798</x:f>
        <x:v>0</x:v>
      </x:c>
      <x:c r="C798" t="n">
        <x:f>Match_Data!C798</x:f>
        <x:v>0</x:v>
      </x:c>
      <x:c r="D798" t="n">
        <x:f>Match_Data!E798</x:f>
        <x:v>0</x:v>
      </x:c>
      <x:c r="E798" t="n">
        <x:f>Match_Data!F798</x:f>
        <x:v>0</x:v>
      </x:c>
      <x:c r="F798" t="n">
        <x:f>Match_Data!AC798</x:f>
        <x:v>0</x:v>
      </x:c>
      <x:c r="G798" t="str">
        <x:f>IF(OR(Match_Data!K798="",Match_Data!L798=""),"",AVERAGE(Match_Data!K798:L798))</x:f>
      </x:c>
      <x:c r="H798" t="str">
        <x:f>IF(OR(Match_Data!M798="",Match_Data!N798=""),"",AVERAGE(Match_Data!M798:N798))</x:f>
      </x:c>
      <x:c r="I798" t="str">
        <x:f>IF(OR(Match_Data!O798="",Match_Data!Q798=""),"",Match_Data!O798+Match_Data!Q798)</x:f>
      </x:c>
      <x:c r="J798" t="str">
        <x:f>IF(OR(Match_Data!P798="",Match_Data!R798=""),"",Match_Data!P798+Match_Data!R798)</x:f>
      </x:c>
      <x:c r="K798" t="str">
        <x:f>IF(OR(Match_Data!S798="",Match_Data!T798=""),"",Match_Data!S798+Match_Data!T798)</x:f>
      </x:c>
      <x:c r="L798" t="str">
        <x:f>IF(OR(Match_Data!U798="",Match_Data!V798=""),"",Match_Data!U798-Match_Data!V798)</x:f>
      </x:c>
      <x:c r="M798" s="32" t="str">
        <x:f>IF(Match_Data!Y798="","",1/Match_Data!Y798)</x:f>
      </x:c>
      <x:c r="N798" s="32" t="str">
        <x:f>IF(Match_Data!AA798="","",1/Match_Data!AA798)</x:f>
      </x:c>
      <x:c r="O798" s="32" t="str">
        <x:f>IF(OR(M798="",N798=""),"",N798-M798)</x:f>
      </x:c>
      <x:c r="P798" t="str">
        <x:f>IF(Match_Data!J798="","",IF(Match_Data!J798="OVER",1,0))</x:f>
      </x:c>
    </x:row>
    <x:row r="799">
      <x:c r="A799" t="n">
        <x:f>Match_Data!A799</x:f>
        <x:v>0</x:v>
      </x:c>
      <x:c r="B799" s="28" t="n">
        <x:f>Match_Data!B799</x:f>
        <x:v>0</x:v>
      </x:c>
      <x:c r="C799" t="n">
        <x:f>Match_Data!C799</x:f>
        <x:v>0</x:v>
      </x:c>
      <x:c r="D799" t="n">
        <x:f>Match_Data!E799</x:f>
        <x:v>0</x:v>
      </x:c>
      <x:c r="E799" t="n">
        <x:f>Match_Data!F799</x:f>
        <x:v>0</x:v>
      </x:c>
      <x:c r="F799" t="n">
        <x:f>Match_Data!AC799</x:f>
        <x:v>0</x:v>
      </x:c>
      <x:c r="G799" t="str">
        <x:f>IF(OR(Match_Data!K799="",Match_Data!L799=""),"",AVERAGE(Match_Data!K799:L799))</x:f>
      </x:c>
      <x:c r="H799" t="str">
        <x:f>IF(OR(Match_Data!M799="",Match_Data!N799=""),"",AVERAGE(Match_Data!M799:N799))</x:f>
      </x:c>
      <x:c r="I799" t="str">
        <x:f>IF(OR(Match_Data!O799="",Match_Data!Q799=""),"",Match_Data!O799+Match_Data!Q799)</x:f>
      </x:c>
      <x:c r="J799" t="str">
        <x:f>IF(OR(Match_Data!P799="",Match_Data!R799=""),"",Match_Data!P799+Match_Data!R799)</x:f>
      </x:c>
      <x:c r="K799" t="str">
        <x:f>IF(OR(Match_Data!S799="",Match_Data!T799=""),"",Match_Data!S799+Match_Data!T799)</x:f>
      </x:c>
      <x:c r="L799" t="str">
        <x:f>IF(OR(Match_Data!U799="",Match_Data!V799=""),"",Match_Data!U799-Match_Data!V799)</x:f>
      </x:c>
      <x:c r="M799" s="32" t="str">
        <x:f>IF(Match_Data!Y799="","",1/Match_Data!Y799)</x:f>
      </x:c>
      <x:c r="N799" s="32" t="str">
        <x:f>IF(Match_Data!AA799="","",1/Match_Data!AA799)</x:f>
      </x:c>
      <x:c r="O799" s="32" t="str">
        <x:f>IF(OR(M799="",N799=""),"",N799-M799)</x:f>
      </x:c>
      <x:c r="P799" t="str">
        <x:f>IF(Match_Data!J799="","",IF(Match_Data!J799="OVER",1,0))</x:f>
      </x:c>
    </x:row>
    <x:row r="800">
      <x:c r="A800" t="n">
        <x:f>Match_Data!A800</x:f>
        <x:v>0</x:v>
      </x:c>
      <x:c r="B800" s="28" t="n">
        <x:f>Match_Data!B800</x:f>
        <x:v>0</x:v>
      </x:c>
      <x:c r="C800" t="n">
        <x:f>Match_Data!C800</x:f>
        <x:v>0</x:v>
      </x:c>
      <x:c r="D800" t="n">
        <x:f>Match_Data!E800</x:f>
        <x:v>0</x:v>
      </x:c>
      <x:c r="E800" t="n">
        <x:f>Match_Data!F800</x:f>
        <x:v>0</x:v>
      </x:c>
      <x:c r="F800" t="n">
        <x:f>Match_Data!AC800</x:f>
        <x:v>0</x:v>
      </x:c>
      <x:c r="G800" t="str">
        <x:f>IF(OR(Match_Data!K800="",Match_Data!L800=""),"",AVERAGE(Match_Data!K800:L800))</x:f>
      </x:c>
      <x:c r="H800" t="str">
        <x:f>IF(OR(Match_Data!M800="",Match_Data!N800=""),"",AVERAGE(Match_Data!M800:N800))</x:f>
      </x:c>
      <x:c r="I800" t="str">
        <x:f>IF(OR(Match_Data!O800="",Match_Data!Q800=""),"",Match_Data!O800+Match_Data!Q800)</x:f>
      </x:c>
      <x:c r="J800" t="str">
        <x:f>IF(OR(Match_Data!P800="",Match_Data!R800=""),"",Match_Data!P800+Match_Data!R800)</x:f>
      </x:c>
      <x:c r="K800" t="str">
        <x:f>IF(OR(Match_Data!S800="",Match_Data!T800=""),"",Match_Data!S800+Match_Data!T800)</x:f>
      </x:c>
      <x:c r="L800" t="str">
        <x:f>IF(OR(Match_Data!U800="",Match_Data!V800=""),"",Match_Data!U800-Match_Data!V800)</x:f>
      </x:c>
      <x:c r="M800" s="32" t="str">
        <x:f>IF(Match_Data!Y800="","",1/Match_Data!Y800)</x:f>
      </x:c>
      <x:c r="N800" s="32" t="str">
        <x:f>IF(Match_Data!AA800="","",1/Match_Data!AA800)</x:f>
      </x:c>
      <x:c r="O800" s="32" t="str">
        <x:f>IF(OR(M800="",N800=""),"",N800-M800)</x:f>
      </x:c>
      <x:c r="P800" t="str">
        <x:f>IF(Match_Data!J800="","",IF(Match_Data!J800="OVER",1,0))</x:f>
      </x:c>
    </x:row>
    <x:row r="801">
      <x:c r="A801" t="n">
        <x:f>Match_Data!A801</x:f>
        <x:v>0</x:v>
      </x:c>
      <x:c r="B801" s="28" t="n">
        <x:f>Match_Data!B801</x:f>
        <x:v>0</x:v>
      </x:c>
      <x:c r="C801" t="n">
        <x:f>Match_Data!C801</x:f>
        <x:v>0</x:v>
      </x:c>
      <x:c r="D801" t="n">
        <x:f>Match_Data!E801</x:f>
        <x:v>0</x:v>
      </x:c>
      <x:c r="E801" t="n">
        <x:f>Match_Data!F801</x:f>
        <x:v>0</x:v>
      </x:c>
      <x:c r="F801" t="n">
        <x:f>Match_Data!AC801</x:f>
        <x:v>0</x:v>
      </x:c>
      <x:c r="G801" t="str">
        <x:f>IF(OR(Match_Data!K801="",Match_Data!L801=""),"",AVERAGE(Match_Data!K801:L801))</x:f>
      </x:c>
      <x:c r="H801" t="str">
        <x:f>IF(OR(Match_Data!M801="",Match_Data!N801=""),"",AVERAGE(Match_Data!M801:N801))</x:f>
      </x:c>
      <x:c r="I801" t="str">
        <x:f>IF(OR(Match_Data!O801="",Match_Data!Q801=""),"",Match_Data!O801+Match_Data!Q801)</x:f>
      </x:c>
      <x:c r="J801" t="str">
        <x:f>IF(OR(Match_Data!P801="",Match_Data!R801=""),"",Match_Data!P801+Match_Data!R801)</x:f>
      </x:c>
      <x:c r="K801" t="str">
        <x:f>IF(OR(Match_Data!S801="",Match_Data!T801=""),"",Match_Data!S801+Match_Data!T801)</x:f>
      </x:c>
      <x:c r="L801" t="str">
        <x:f>IF(OR(Match_Data!U801="",Match_Data!V801=""),"",Match_Data!U801-Match_Data!V801)</x:f>
      </x:c>
      <x:c r="M801" s="32" t="str">
        <x:f>IF(Match_Data!Y801="","",1/Match_Data!Y801)</x:f>
      </x:c>
      <x:c r="N801" s="32" t="str">
        <x:f>IF(Match_Data!AA801="","",1/Match_Data!AA801)</x:f>
      </x:c>
      <x:c r="O801" s="32" t="str">
        <x:f>IF(OR(M801="",N801=""),"",N801-M801)</x:f>
      </x:c>
      <x:c r="P801" t="str">
        <x:f>IF(Match_Data!J801="","",IF(Match_Data!J801="OVER",1,0))</x:f>
      </x:c>
    </x:row>
    <x:row r="802">
      <x:c r="A802" t="n">
        <x:f>Match_Data!A802</x:f>
        <x:v>0</x:v>
      </x:c>
      <x:c r="B802" s="28" t="n">
        <x:f>Match_Data!B802</x:f>
        <x:v>0</x:v>
      </x:c>
      <x:c r="C802" t="n">
        <x:f>Match_Data!C802</x:f>
        <x:v>0</x:v>
      </x:c>
      <x:c r="D802" t="n">
        <x:f>Match_Data!E802</x:f>
        <x:v>0</x:v>
      </x:c>
      <x:c r="E802" t="n">
        <x:f>Match_Data!F802</x:f>
        <x:v>0</x:v>
      </x:c>
      <x:c r="F802" t="n">
        <x:f>Match_Data!AC802</x:f>
        <x:v>0</x:v>
      </x:c>
      <x:c r="G802" t="str">
        <x:f>IF(OR(Match_Data!K802="",Match_Data!L802=""),"",AVERAGE(Match_Data!K802:L802))</x:f>
      </x:c>
      <x:c r="H802" t="str">
        <x:f>IF(OR(Match_Data!M802="",Match_Data!N802=""),"",AVERAGE(Match_Data!M802:N802))</x:f>
      </x:c>
      <x:c r="I802" t="str">
        <x:f>IF(OR(Match_Data!O802="",Match_Data!Q802=""),"",Match_Data!O802+Match_Data!Q802)</x:f>
      </x:c>
      <x:c r="J802" t="str">
        <x:f>IF(OR(Match_Data!P802="",Match_Data!R802=""),"",Match_Data!P802+Match_Data!R802)</x:f>
      </x:c>
      <x:c r="K802" t="str">
        <x:f>IF(OR(Match_Data!S802="",Match_Data!T802=""),"",Match_Data!S802+Match_Data!T802)</x:f>
      </x:c>
      <x:c r="L802" t="str">
        <x:f>IF(OR(Match_Data!U802="",Match_Data!V802=""),"",Match_Data!U802-Match_Data!V802)</x:f>
      </x:c>
      <x:c r="M802" s="32" t="str">
        <x:f>IF(Match_Data!Y802="","",1/Match_Data!Y802)</x:f>
      </x:c>
      <x:c r="N802" s="32" t="str">
        <x:f>IF(Match_Data!AA802="","",1/Match_Data!AA802)</x:f>
      </x:c>
      <x:c r="O802" s="32" t="str">
        <x:f>IF(OR(M802="",N802=""),"",N802-M802)</x:f>
      </x:c>
      <x:c r="P802" t="str">
        <x:f>IF(Match_Data!J802="","",IF(Match_Data!J802="OVER",1,0))</x:f>
      </x:c>
    </x:row>
    <x:row r="803">
      <x:c r="A803" t="n">
        <x:f>Match_Data!A803</x:f>
        <x:v>0</x:v>
      </x:c>
      <x:c r="B803" s="28" t="n">
        <x:f>Match_Data!B803</x:f>
        <x:v>0</x:v>
      </x:c>
      <x:c r="C803" t="n">
        <x:f>Match_Data!C803</x:f>
        <x:v>0</x:v>
      </x:c>
      <x:c r="D803" t="n">
        <x:f>Match_Data!E803</x:f>
        <x:v>0</x:v>
      </x:c>
      <x:c r="E803" t="n">
        <x:f>Match_Data!F803</x:f>
        <x:v>0</x:v>
      </x:c>
      <x:c r="F803" t="n">
        <x:f>Match_Data!AC803</x:f>
        <x:v>0</x:v>
      </x:c>
      <x:c r="G803" t="str">
        <x:f>IF(OR(Match_Data!K803="",Match_Data!L803=""),"",AVERAGE(Match_Data!K803:L803))</x:f>
      </x:c>
      <x:c r="H803" t="str">
        <x:f>IF(OR(Match_Data!M803="",Match_Data!N803=""),"",AVERAGE(Match_Data!M803:N803))</x:f>
      </x:c>
      <x:c r="I803" t="str">
        <x:f>IF(OR(Match_Data!O803="",Match_Data!Q803=""),"",Match_Data!O803+Match_Data!Q803)</x:f>
      </x:c>
      <x:c r="J803" t="str">
        <x:f>IF(OR(Match_Data!P803="",Match_Data!R803=""),"",Match_Data!P803+Match_Data!R803)</x:f>
      </x:c>
      <x:c r="K803" t="str">
        <x:f>IF(OR(Match_Data!S803="",Match_Data!T803=""),"",Match_Data!S803+Match_Data!T803)</x:f>
      </x:c>
      <x:c r="L803" t="str">
        <x:f>IF(OR(Match_Data!U803="",Match_Data!V803=""),"",Match_Data!U803-Match_Data!V803)</x:f>
      </x:c>
      <x:c r="M803" s="32" t="str">
        <x:f>IF(Match_Data!Y803="","",1/Match_Data!Y803)</x:f>
      </x:c>
      <x:c r="N803" s="32" t="str">
        <x:f>IF(Match_Data!AA803="","",1/Match_Data!AA803)</x:f>
      </x:c>
      <x:c r="O803" s="32" t="str">
        <x:f>IF(OR(M803="",N803=""),"",N803-M803)</x:f>
      </x:c>
      <x:c r="P803" t="str">
        <x:f>IF(Match_Data!J803="","",IF(Match_Data!J803="OVER",1,0))</x:f>
      </x:c>
    </x:row>
    <x:row r="804">
      <x:c r="A804" t="n">
        <x:f>Match_Data!A804</x:f>
        <x:v>0</x:v>
      </x:c>
      <x:c r="B804" s="28" t="n">
        <x:f>Match_Data!B804</x:f>
        <x:v>0</x:v>
      </x:c>
      <x:c r="C804" t="n">
        <x:f>Match_Data!C804</x:f>
        <x:v>0</x:v>
      </x:c>
      <x:c r="D804" t="n">
        <x:f>Match_Data!E804</x:f>
        <x:v>0</x:v>
      </x:c>
      <x:c r="E804" t="n">
        <x:f>Match_Data!F804</x:f>
        <x:v>0</x:v>
      </x:c>
      <x:c r="F804" t="n">
        <x:f>Match_Data!AC804</x:f>
        <x:v>0</x:v>
      </x:c>
      <x:c r="G804" t="str">
        <x:f>IF(OR(Match_Data!K804="",Match_Data!L804=""),"",AVERAGE(Match_Data!K804:L804))</x:f>
      </x:c>
      <x:c r="H804" t="str">
        <x:f>IF(OR(Match_Data!M804="",Match_Data!N804=""),"",AVERAGE(Match_Data!M804:N804))</x:f>
      </x:c>
      <x:c r="I804" t="str">
        <x:f>IF(OR(Match_Data!O804="",Match_Data!Q804=""),"",Match_Data!O804+Match_Data!Q804)</x:f>
      </x:c>
      <x:c r="J804" t="str">
        <x:f>IF(OR(Match_Data!P804="",Match_Data!R804=""),"",Match_Data!P804+Match_Data!R804)</x:f>
      </x:c>
      <x:c r="K804" t="str">
        <x:f>IF(OR(Match_Data!S804="",Match_Data!T804=""),"",Match_Data!S804+Match_Data!T804)</x:f>
      </x:c>
      <x:c r="L804" t="str">
        <x:f>IF(OR(Match_Data!U804="",Match_Data!V804=""),"",Match_Data!U804-Match_Data!V804)</x:f>
      </x:c>
      <x:c r="M804" s="32" t="str">
        <x:f>IF(Match_Data!Y804="","",1/Match_Data!Y804)</x:f>
      </x:c>
      <x:c r="N804" s="32" t="str">
        <x:f>IF(Match_Data!AA804="","",1/Match_Data!AA804)</x:f>
      </x:c>
      <x:c r="O804" s="32" t="str">
        <x:f>IF(OR(M804="",N804=""),"",N804-M804)</x:f>
      </x:c>
      <x:c r="P804" t="str">
        <x:f>IF(Match_Data!J804="","",IF(Match_Data!J804="OVER",1,0))</x:f>
      </x:c>
    </x:row>
    <x:row r="805">
      <x:c r="A805" t="n">
        <x:f>Match_Data!A805</x:f>
        <x:v>0</x:v>
      </x:c>
      <x:c r="B805" s="28" t="n">
        <x:f>Match_Data!B805</x:f>
        <x:v>0</x:v>
      </x:c>
      <x:c r="C805" t="n">
        <x:f>Match_Data!C805</x:f>
        <x:v>0</x:v>
      </x:c>
      <x:c r="D805" t="n">
        <x:f>Match_Data!E805</x:f>
        <x:v>0</x:v>
      </x:c>
      <x:c r="E805" t="n">
        <x:f>Match_Data!F805</x:f>
        <x:v>0</x:v>
      </x:c>
      <x:c r="F805" t="n">
        <x:f>Match_Data!AC805</x:f>
        <x:v>0</x:v>
      </x:c>
      <x:c r="G805" t="str">
        <x:f>IF(OR(Match_Data!K805="",Match_Data!L805=""),"",AVERAGE(Match_Data!K805:L805))</x:f>
      </x:c>
      <x:c r="H805" t="str">
        <x:f>IF(OR(Match_Data!M805="",Match_Data!N805=""),"",AVERAGE(Match_Data!M805:N805))</x:f>
      </x:c>
      <x:c r="I805" t="str">
        <x:f>IF(OR(Match_Data!O805="",Match_Data!Q805=""),"",Match_Data!O805+Match_Data!Q805)</x:f>
      </x:c>
      <x:c r="J805" t="str">
        <x:f>IF(OR(Match_Data!P805="",Match_Data!R805=""),"",Match_Data!P805+Match_Data!R805)</x:f>
      </x:c>
      <x:c r="K805" t="str">
        <x:f>IF(OR(Match_Data!S805="",Match_Data!T805=""),"",Match_Data!S805+Match_Data!T805)</x:f>
      </x:c>
      <x:c r="L805" t="str">
        <x:f>IF(OR(Match_Data!U805="",Match_Data!V805=""),"",Match_Data!U805-Match_Data!V805)</x:f>
      </x:c>
      <x:c r="M805" s="32" t="str">
        <x:f>IF(Match_Data!Y805="","",1/Match_Data!Y805)</x:f>
      </x:c>
      <x:c r="N805" s="32" t="str">
        <x:f>IF(Match_Data!AA805="","",1/Match_Data!AA805)</x:f>
      </x:c>
      <x:c r="O805" s="32" t="str">
        <x:f>IF(OR(M805="",N805=""),"",N805-M805)</x:f>
      </x:c>
      <x:c r="P805" t="str">
        <x:f>IF(Match_Data!J805="","",IF(Match_Data!J805="OVER",1,0))</x:f>
      </x:c>
    </x:row>
    <x:row r="806">
      <x:c r="A806" t="n">
        <x:f>Match_Data!A806</x:f>
        <x:v>0</x:v>
      </x:c>
      <x:c r="B806" s="28" t="n">
        <x:f>Match_Data!B806</x:f>
        <x:v>0</x:v>
      </x:c>
      <x:c r="C806" t="n">
        <x:f>Match_Data!C806</x:f>
        <x:v>0</x:v>
      </x:c>
      <x:c r="D806" t="n">
        <x:f>Match_Data!E806</x:f>
        <x:v>0</x:v>
      </x:c>
      <x:c r="E806" t="n">
        <x:f>Match_Data!F806</x:f>
        <x:v>0</x:v>
      </x:c>
      <x:c r="F806" t="n">
        <x:f>Match_Data!AC806</x:f>
        <x:v>0</x:v>
      </x:c>
      <x:c r="G806" t="str">
        <x:f>IF(OR(Match_Data!K806="",Match_Data!L806=""),"",AVERAGE(Match_Data!K806:L806))</x:f>
      </x:c>
      <x:c r="H806" t="str">
        <x:f>IF(OR(Match_Data!M806="",Match_Data!N806=""),"",AVERAGE(Match_Data!M806:N806))</x:f>
      </x:c>
      <x:c r="I806" t="str">
        <x:f>IF(OR(Match_Data!O806="",Match_Data!Q806=""),"",Match_Data!O806+Match_Data!Q806)</x:f>
      </x:c>
      <x:c r="J806" t="str">
        <x:f>IF(OR(Match_Data!P806="",Match_Data!R806=""),"",Match_Data!P806+Match_Data!R806)</x:f>
      </x:c>
      <x:c r="K806" t="str">
        <x:f>IF(OR(Match_Data!S806="",Match_Data!T806=""),"",Match_Data!S806+Match_Data!T806)</x:f>
      </x:c>
      <x:c r="L806" t="str">
        <x:f>IF(OR(Match_Data!U806="",Match_Data!V806=""),"",Match_Data!U806-Match_Data!V806)</x:f>
      </x:c>
      <x:c r="M806" s="32" t="str">
        <x:f>IF(Match_Data!Y806="","",1/Match_Data!Y806)</x:f>
      </x:c>
      <x:c r="N806" s="32" t="str">
        <x:f>IF(Match_Data!AA806="","",1/Match_Data!AA806)</x:f>
      </x:c>
      <x:c r="O806" s="32" t="str">
        <x:f>IF(OR(M806="",N806=""),"",N806-M806)</x:f>
      </x:c>
      <x:c r="P806" t="str">
        <x:f>IF(Match_Data!J806="","",IF(Match_Data!J806="OVER",1,0))</x:f>
      </x:c>
    </x:row>
    <x:row r="807">
      <x:c r="A807" t="n">
        <x:f>Match_Data!A807</x:f>
        <x:v>0</x:v>
      </x:c>
      <x:c r="B807" s="28" t="n">
        <x:f>Match_Data!B807</x:f>
        <x:v>0</x:v>
      </x:c>
      <x:c r="C807" t="n">
        <x:f>Match_Data!C807</x:f>
        <x:v>0</x:v>
      </x:c>
      <x:c r="D807" t="n">
        <x:f>Match_Data!E807</x:f>
        <x:v>0</x:v>
      </x:c>
      <x:c r="E807" t="n">
        <x:f>Match_Data!F807</x:f>
        <x:v>0</x:v>
      </x:c>
      <x:c r="F807" t="n">
        <x:f>Match_Data!AC807</x:f>
        <x:v>0</x:v>
      </x:c>
      <x:c r="G807" t="str">
        <x:f>IF(OR(Match_Data!K807="",Match_Data!L807=""),"",AVERAGE(Match_Data!K807:L807))</x:f>
      </x:c>
      <x:c r="H807" t="str">
        <x:f>IF(OR(Match_Data!M807="",Match_Data!N807=""),"",AVERAGE(Match_Data!M807:N807))</x:f>
      </x:c>
      <x:c r="I807" t="str">
        <x:f>IF(OR(Match_Data!O807="",Match_Data!Q807=""),"",Match_Data!O807+Match_Data!Q807)</x:f>
      </x:c>
      <x:c r="J807" t="str">
        <x:f>IF(OR(Match_Data!P807="",Match_Data!R807=""),"",Match_Data!P807+Match_Data!R807)</x:f>
      </x:c>
      <x:c r="K807" t="str">
        <x:f>IF(OR(Match_Data!S807="",Match_Data!T807=""),"",Match_Data!S807+Match_Data!T807)</x:f>
      </x:c>
      <x:c r="L807" t="str">
        <x:f>IF(OR(Match_Data!U807="",Match_Data!V807=""),"",Match_Data!U807-Match_Data!V807)</x:f>
      </x:c>
      <x:c r="M807" s="32" t="str">
        <x:f>IF(Match_Data!Y807="","",1/Match_Data!Y807)</x:f>
      </x:c>
      <x:c r="N807" s="32" t="str">
        <x:f>IF(Match_Data!AA807="","",1/Match_Data!AA807)</x:f>
      </x:c>
      <x:c r="O807" s="32" t="str">
        <x:f>IF(OR(M807="",N807=""),"",N807-M807)</x:f>
      </x:c>
      <x:c r="P807" t="str">
        <x:f>IF(Match_Data!J807="","",IF(Match_Data!J807="OVER",1,0))</x:f>
      </x:c>
    </x:row>
    <x:row r="808">
      <x:c r="A808" t="n">
        <x:f>Match_Data!A808</x:f>
        <x:v>0</x:v>
      </x:c>
      <x:c r="B808" s="28" t="n">
        <x:f>Match_Data!B808</x:f>
        <x:v>0</x:v>
      </x:c>
      <x:c r="C808" t="n">
        <x:f>Match_Data!C808</x:f>
        <x:v>0</x:v>
      </x:c>
      <x:c r="D808" t="n">
        <x:f>Match_Data!E808</x:f>
        <x:v>0</x:v>
      </x:c>
      <x:c r="E808" t="n">
        <x:f>Match_Data!F808</x:f>
        <x:v>0</x:v>
      </x:c>
      <x:c r="F808" t="n">
        <x:f>Match_Data!AC808</x:f>
        <x:v>0</x:v>
      </x:c>
      <x:c r="G808" t="str">
        <x:f>IF(OR(Match_Data!K808="",Match_Data!L808=""),"",AVERAGE(Match_Data!K808:L808))</x:f>
      </x:c>
      <x:c r="H808" t="str">
        <x:f>IF(OR(Match_Data!M808="",Match_Data!N808=""),"",AVERAGE(Match_Data!M808:N808))</x:f>
      </x:c>
      <x:c r="I808" t="str">
        <x:f>IF(OR(Match_Data!O808="",Match_Data!Q808=""),"",Match_Data!O808+Match_Data!Q808)</x:f>
      </x:c>
      <x:c r="J808" t="str">
        <x:f>IF(OR(Match_Data!P808="",Match_Data!R808=""),"",Match_Data!P808+Match_Data!R808)</x:f>
      </x:c>
      <x:c r="K808" t="str">
        <x:f>IF(OR(Match_Data!S808="",Match_Data!T808=""),"",Match_Data!S808+Match_Data!T808)</x:f>
      </x:c>
      <x:c r="L808" t="str">
        <x:f>IF(OR(Match_Data!U808="",Match_Data!V808=""),"",Match_Data!U808-Match_Data!V808)</x:f>
      </x:c>
      <x:c r="M808" s="32" t="str">
        <x:f>IF(Match_Data!Y808="","",1/Match_Data!Y808)</x:f>
      </x:c>
      <x:c r="N808" s="32" t="str">
        <x:f>IF(Match_Data!AA808="","",1/Match_Data!AA808)</x:f>
      </x:c>
      <x:c r="O808" s="32" t="str">
        <x:f>IF(OR(M808="",N808=""),"",N808-M808)</x:f>
      </x:c>
      <x:c r="P808" t="str">
        <x:f>IF(Match_Data!J808="","",IF(Match_Data!J808="OVER",1,0))</x:f>
      </x:c>
    </x:row>
    <x:row r="809">
      <x:c r="A809" t="n">
        <x:f>Match_Data!A809</x:f>
        <x:v>0</x:v>
      </x:c>
      <x:c r="B809" s="28" t="n">
        <x:f>Match_Data!B809</x:f>
        <x:v>0</x:v>
      </x:c>
      <x:c r="C809" t="n">
        <x:f>Match_Data!C809</x:f>
        <x:v>0</x:v>
      </x:c>
      <x:c r="D809" t="n">
        <x:f>Match_Data!E809</x:f>
        <x:v>0</x:v>
      </x:c>
      <x:c r="E809" t="n">
        <x:f>Match_Data!F809</x:f>
        <x:v>0</x:v>
      </x:c>
      <x:c r="F809" t="n">
        <x:f>Match_Data!AC809</x:f>
        <x:v>0</x:v>
      </x:c>
      <x:c r="G809" t="str">
        <x:f>IF(OR(Match_Data!K809="",Match_Data!L809=""),"",AVERAGE(Match_Data!K809:L809))</x:f>
      </x:c>
      <x:c r="H809" t="str">
        <x:f>IF(OR(Match_Data!M809="",Match_Data!N809=""),"",AVERAGE(Match_Data!M809:N809))</x:f>
      </x:c>
      <x:c r="I809" t="str">
        <x:f>IF(OR(Match_Data!O809="",Match_Data!Q809=""),"",Match_Data!O809+Match_Data!Q809)</x:f>
      </x:c>
      <x:c r="J809" t="str">
        <x:f>IF(OR(Match_Data!P809="",Match_Data!R809=""),"",Match_Data!P809+Match_Data!R809)</x:f>
      </x:c>
      <x:c r="K809" t="str">
        <x:f>IF(OR(Match_Data!S809="",Match_Data!T809=""),"",Match_Data!S809+Match_Data!T809)</x:f>
      </x:c>
      <x:c r="L809" t="str">
        <x:f>IF(OR(Match_Data!U809="",Match_Data!V809=""),"",Match_Data!U809-Match_Data!V809)</x:f>
      </x:c>
      <x:c r="M809" s="32" t="str">
        <x:f>IF(Match_Data!Y809="","",1/Match_Data!Y809)</x:f>
      </x:c>
      <x:c r="N809" s="32" t="str">
        <x:f>IF(Match_Data!AA809="","",1/Match_Data!AA809)</x:f>
      </x:c>
      <x:c r="O809" s="32" t="str">
        <x:f>IF(OR(M809="",N809=""),"",N809-M809)</x:f>
      </x:c>
      <x:c r="P809" t="str">
        <x:f>IF(Match_Data!J809="","",IF(Match_Data!J809="OVER",1,0))</x:f>
      </x:c>
    </x:row>
    <x:row r="810">
      <x:c r="A810" t="n">
        <x:f>Match_Data!A810</x:f>
        <x:v>0</x:v>
      </x:c>
      <x:c r="B810" s="28" t="n">
        <x:f>Match_Data!B810</x:f>
        <x:v>0</x:v>
      </x:c>
      <x:c r="C810" t="n">
        <x:f>Match_Data!C810</x:f>
        <x:v>0</x:v>
      </x:c>
      <x:c r="D810" t="n">
        <x:f>Match_Data!E810</x:f>
        <x:v>0</x:v>
      </x:c>
      <x:c r="E810" t="n">
        <x:f>Match_Data!F810</x:f>
        <x:v>0</x:v>
      </x:c>
      <x:c r="F810" t="n">
        <x:f>Match_Data!AC810</x:f>
        <x:v>0</x:v>
      </x:c>
      <x:c r="G810" t="str">
        <x:f>IF(OR(Match_Data!K810="",Match_Data!L810=""),"",AVERAGE(Match_Data!K810:L810))</x:f>
      </x:c>
      <x:c r="H810" t="str">
        <x:f>IF(OR(Match_Data!M810="",Match_Data!N810=""),"",AVERAGE(Match_Data!M810:N810))</x:f>
      </x:c>
      <x:c r="I810" t="str">
        <x:f>IF(OR(Match_Data!O810="",Match_Data!Q810=""),"",Match_Data!O810+Match_Data!Q810)</x:f>
      </x:c>
      <x:c r="J810" t="str">
        <x:f>IF(OR(Match_Data!P810="",Match_Data!R810=""),"",Match_Data!P810+Match_Data!R810)</x:f>
      </x:c>
      <x:c r="K810" t="str">
        <x:f>IF(OR(Match_Data!S810="",Match_Data!T810=""),"",Match_Data!S810+Match_Data!T810)</x:f>
      </x:c>
      <x:c r="L810" t="str">
        <x:f>IF(OR(Match_Data!U810="",Match_Data!V810=""),"",Match_Data!U810-Match_Data!V810)</x:f>
      </x:c>
      <x:c r="M810" s="32" t="str">
        <x:f>IF(Match_Data!Y810="","",1/Match_Data!Y810)</x:f>
      </x:c>
      <x:c r="N810" s="32" t="str">
        <x:f>IF(Match_Data!AA810="","",1/Match_Data!AA810)</x:f>
      </x:c>
      <x:c r="O810" s="32" t="str">
        <x:f>IF(OR(M810="",N810=""),"",N810-M810)</x:f>
      </x:c>
      <x:c r="P810" t="str">
        <x:f>IF(Match_Data!J810="","",IF(Match_Data!J810="OVER",1,0))</x:f>
      </x:c>
    </x:row>
    <x:row r="811">
      <x:c r="A811" t="n">
        <x:f>Match_Data!A811</x:f>
        <x:v>0</x:v>
      </x:c>
      <x:c r="B811" s="28" t="n">
        <x:f>Match_Data!B811</x:f>
        <x:v>0</x:v>
      </x:c>
      <x:c r="C811" t="n">
        <x:f>Match_Data!C811</x:f>
        <x:v>0</x:v>
      </x:c>
      <x:c r="D811" t="n">
        <x:f>Match_Data!E811</x:f>
        <x:v>0</x:v>
      </x:c>
      <x:c r="E811" t="n">
        <x:f>Match_Data!F811</x:f>
        <x:v>0</x:v>
      </x:c>
      <x:c r="F811" t="n">
        <x:f>Match_Data!AC811</x:f>
        <x:v>0</x:v>
      </x:c>
      <x:c r="G811" t="str">
        <x:f>IF(OR(Match_Data!K811="",Match_Data!L811=""),"",AVERAGE(Match_Data!K811:L811))</x:f>
      </x:c>
      <x:c r="H811" t="str">
        <x:f>IF(OR(Match_Data!M811="",Match_Data!N811=""),"",AVERAGE(Match_Data!M811:N811))</x:f>
      </x:c>
      <x:c r="I811" t="str">
        <x:f>IF(OR(Match_Data!O811="",Match_Data!Q811=""),"",Match_Data!O811+Match_Data!Q811)</x:f>
      </x:c>
      <x:c r="J811" t="str">
        <x:f>IF(OR(Match_Data!P811="",Match_Data!R811=""),"",Match_Data!P811+Match_Data!R811)</x:f>
      </x:c>
      <x:c r="K811" t="str">
        <x:f>IF(OR(Match_Data!S811="",Match_Data!T811=""),"",Match_Data!S811+Match_Data!T811)</x:f>
      </x:c>
      <x:c r="L811" t="str">
        <x:f>IF(OR(Match_Data!U811="",Match_Data!V811=""),"",Match_Data!U811-Match_Data!V811)</x:f>
      </x:c>
      <x:c r="M811" s="32" t="str">
        <x:f>IF(Match_Data!Y811="","",1/Match_Data!Y811)</x:f>
      </x:c>
      <x:c r="N811" s="32" t="str">
        <x:f>IF(Match_Data!AA811="","",1/Match_Data!AA811)</x:f>
      </x:c>
      <x:c r="O811" s="32" t="str">
        <x:f>IF(OR(M811="",N811=""),"",N811-M811)</x:f>
      </x:c>
      <x:c r="P811" t="str">
        <x:f>IF(Match_Data!J811="","",IF(Match_Data!J811="OVER",1,0))</x:f>
      </x:c>
    </x:row>
    <x:row r="812">
      <x:c r="A812" t="n">
        <x:f>Match_Data!A812</x:f>
        <x:v>0</x:v>
      </x:c>
      <x:c r="B812" s="28" t="n">
        <x:f>Match_Data!B812</x:f>
        <x:v>0</x:v>
      </x:c>
      <x:c r="C812" t="n">
        <x:f>Match_Data!C812</x:f>
        <x:v>0</x:v>
      </x:c>
      <x:c r="D812" t="n">
        <x:f>Match_Data!E812</x:f>
        <x:v>0</x:v>
      </x:c>
      <x:c r="E812" t="n">
        <x:f>Match_Data!F812</x:f>
        <x:v>0</x:v>
      </x:c>
      <x:c r="F812" t="n">
        <x:f>Match_Data!AC812</x:f>
        <x:v>0</x:v>
      </x:c>
      <x:c r="G812" t="str">
        <x:f>IF(OR(Match_Data!K812="",Match_Data!L812=""),"",AVERAGE(Match_Data!K812:L812))</x:f>
      </x:c>
      <x:c r="H812" t="str">
        <x:f>IF(OR(Match_Data!M812="",Match_Data!N812=""),"",AVERAGE(Match_Data!M812:N812))</x:f>
      </x:c>
      <x:c r="I812" t="str">
        <x:f>IF(OR(Match_Data!O812="",Match_Data!Q812=""),"",Match_Data!O812+Match_Data!Q812)</x:f>
      </x:c>
      <x:c r="J812" t="str">
        <x:f>IF(OR(Match_Data!P812="",Match_Data!R812=""),"",Match_Data!P812+Match_Data!R812)</x:f>
      </x:c>
      <x:c r="K812" t="str">
        <x:f>IF(OR(Match_Data!S812="",Match_Data!T812=""),"",Match_Data!S812+Match_Data!T812)</x:f>
      </x:c>
      <x:c r="L812" t="str">
        <x:f>IF(OR(Match_Data!U812="",Match_Data!V812=""),"",Match_Data!U812-Match_Data!V812)</x:f>
      </x:c>
      <x:c r="M812" s="32" t="str">
        <x:f>IF(Match_Data!Y812="","",1/Match_Data!Y812)</x:f>
      </x:c>
      <x:c r="N812" s="32" t="str">
        <x:f>IF(Match_Data!AA812="","",1/Match_Data!AA812)</x:f>
      </x:c>
      <x:c r="O812" s="32" t="str">
        <x:f>IF(OR(M812="",N812=""),"",N812-M812)</x:f>
      </x:c>
      <x:c r="P812" t="str">
        <x:f>IF(Match_Data!J812="","",IF(Match_Data!J812="OVER",1,0))</x:f>
      </x:c>
    </x:row>
    <x:row r="813">
      <x:c r="A813" t="n">
        <x:f>Match_Data!A813</x:f>
        <x:v>0</x:v>
      </x:c>
      <x:c r="B813" s="28" t="n">
        <x:f>Match_Data!B813</x:f>
        <x:v>0</x:v>
      </x:c>
      <x:c r="C813" t="n">
        <x:f>Match_Data!C813</x:f>
        <x:v>0</x:v>
      </x:c>
      <x:c r="D813" t="n">
        <x:f>Match_Data!E813</x:f>
        <x:v>0</x:v>
      </x:c>
      <x:c r="E813" t="n">
        <x:f>Match_Data!F813</x:f>
        <x:v>0</x:v>
      </x:c>
      <x:c r="F813" t="n">
        <x:f>Match_Data!AC813</x:f>
        <x:v>0</x:v>
      </x:c>
      <x:c r="G813" t="str">
        <x:f>IF(OR(Match_Data!K813="",Match_Data!L813=""),"",AVERAGE(Match_Data!K813:L813))</x:f>
      </x:c>
      <x:c r="H813" t="str">
        <x:f>IF(OR(Match_Data!M813="",Match_Data!N813=""),"",AVERAGE(Match_Data!M813:N813))</x:f>
      </x:c>
      <x:c r="I813" t="str">
        <x:f>IF(OR(Match_Data!O813="",Match_Data!Q813=""),"",Match_Data!O813+Match_Data!Q813)</x:f>
      </x:c>
      <x:c r="J813" t="str">
        <x:f>IF(OR(Match_Data!P813="",Match_Data!R813=""),"",Match_Data!P813+Match_Data!R813)</x:f>
      </x:c>
      <x:c r="K813" t="str">
        <x:f>IF(OR(Match_Data!S813="",Match_Data!T813=""),"",Match_Data!S813+Match_Data!T813)</x:f>
      </x:c>
      <x:c r="L813" t="str">
        <x:f>IF(OR(Match_Data!U813="",Match_Data!V813=""),"",Match_Data!U813-Match_Data!V813)</x:f>
      </x:c>
      <x:c r="M813" s="32" t="str">
        <x:f>IF(Match_Data!Y813="","",1/Match_Data!Y813)</x:f>
      </x:c>
      <x:c r="N813" s="32" t="str">
        <x:f>IF(Match_Data!AA813="","",1/Match_Data!AA813)</x:f>
      </x:c>
      <x:c r="O813" s="32" t="str">
        <x:f>IF(OR(M813="",N813=""),"",N813-M813)</x:f>
      </x:c>
      <x:c r="P813" t="str">
        <x:f>IF(Match_Data!J813="","",IF(Match_Data!J813="OVER",1,0))</x:f>
      </x:c>
    </x:row>
    <x:row r="814">
      <x:c r="A814" t="n">
        <x:f>Match_Data!A814</x:f>
        <x:v>0</x:v>
      </x:c>
      <x:c r="B814" s="28" t="n">
        <x:f>Match_Data!B814</x:f>
        <x:v>0</x:v>
      </x:c>
      <x:c r="C814" t="n">
        <x:f>Match_Data!C814</x:f>
        <x:v>0</x:v>
      </x:c>
      <x:c r="D814" t="n">
        <x:f>Match_Data!E814</x:f>
        <x:v>0</x:v>
      </x:c>
      <x:c r="E814" t="n">
        <x:f>Match_Data!F814</x:f>
        <x:v>0</x:v>
      </x:c>
      <x:c r="F814" t="n">
        <x:f>Match_Data!AC814</x:f>
        <x:v>0</x:v>
      </x:c>
      <x:c r="G814" t="str">
        <x:f>IF(OR(Match_Data!K814="",Match_Data!L814=""),"",AVERAGE(Match_Data!K814:L814))</x:f>
      </x:c>
      <x:c r="H814" t="str">
        <x:f>IF(OR(Match_Data!M814="",Match_Data!N814=""),"",AVERAGE(Match_Data!M814:N814))</x:f>
      </x:c>
      <x:c r="I814" t="str">
        <x:f>IF(OR(Match_Data!O814="",Match_Data!Q814=""),"",Match_Data!O814+Match_Data!Q814)</x:f>
      </x:c>
      <x:c r="J814" t="str">
        <x:f>IF(OR(Match_Data!P814="",Match_Data!R814=""),"",Match_Data!P814+Match_Data!R814)</x:f>
      </x:c>
      <x:c r="K814" t="str">
        <x:f>IF(OR(Match_Data!S814="",Match_Data!T814=""),"",Match_Data!S814+Match_Data!T814)</x:f>
      </x:c>
      <x:c r="L814" t="str">
        <x:f>IF(OR(Match_Data!U814="",Match_Data!V814=""),"",Match_Data!U814-Match_Data!V814)</x:f>
      </x:c>
      <x:c r="M814" s="32" t="str">
        <x:f>IF(Match_Data!Y814="","",1/Match_Data!Y814)</x:f>
      </x:c>
      <x:c r="N814" s="32" t="str">
        <x:f>IF(Match_Data!AA814="","",1/Match_Data!AA814)</x:f>
      </x:c>
      <x:c r="O814" s="32" t="str">
        <x:f>IF(OR(M814="",N814=""),"",N814-M814)</x:f>
      </x:c>
      <x:c r="P814" t="str">
        <x:f>IF(Match_Data!J814="","",IF(Match_Data!J814="OVER",1,0))</x:f>
      </x:c>
    </x:row>
    <x:row r="815">
      <x:c r="A815" t="n">
        <x:f>Match_Data!A815</x:f>
        <x:v>0</x:v>
      </x:c>
      <x:c r="B815" s="28" t="n">
        <x:f>Match_Data!B815</x:f>
        <x:v>0</x:v>
      </x:c>
      <x:c r="C815" t="n">
        <x:f>Match_Data!C815</x:f>
        <x:v>0</x:v>
      </x:c>
      <x:c r="D815" t="n">
        <x:f>Match_Data!E815</x:f>
        <x:v>0</x:v>
      </x:c>
      <x:c r="E815" t="n">
        <x:f>Match_Data!F815</x:f>
        <x:v>0</x:v>
      </x:c>
      <x:c r="F815" t="n">
        <x:f>Match_Data!AC815</x:f>
        <x:v>0</x:v>
      </x:c>
      <x:c r="G815" t="str">
        <x:f>IF(OR(Match_Data!K815="",Match_Data!L815=""),"",AVERAGE(Match_Data!K815:L815))</x:f>
      </x:c>
      <x:c r="H815" t="str">
        <x:f>IF(OR(Match_Data!M815="",Match_Data!N815=""),"",AVERAGE(Match_Data!M815:N815))</x:f>
      </x:c>
      <x:c r="I815" t="str">
        <x:f>IF(OR(Match_Data!O815="",Match_Data!Q815=""),"",Match_Data!O815+Match_Data!Q815)</x:f>
      </x:c>
      <x:c r="J815" t="str">
        <x:f>IF(OR(Match_Data!P815="",Match_Data!R815=""),"",Match_Data!P815+Match_Data!R815)</x:f>
      </x:c>
      <x:c r="K815" t="str">
        <x:f>IF(OR(Match_Data!S815="",Match_Data!T815=""),"",Match_Data!S815+Match_Data!T815)</x:f>
      </x:c>
      <x:c r="L815" t="str">
        <x:f>IF(OR(Match_Data!U815="",Match_Data!V815=""),"",Match_Data!U815-Match_Data!V815)</x:f>
      </x:c>
      <x:c r="M815" s="32" t="str">
        <x:f>IF(Match_Data!Y815="","",1/Match_Data!Y815)</x:f>
      </x:c>
      <x:c r="N815" s="32" t="str">
        <x:f>IF(Match_Data!AA815="","",1/Match_Data!AA815)</x:f>
      </x:c>
      <x:c r="O815" s="32" t="str">
        <x:f>IF(OR(M815="",N815=""),"",N815-M815)</x:f>
      </x:c>
      <x:c r="P815" t="str">
        <x:f>IF(Match_Data!J815="","",IF(Match_Data!J815="OVER",1,0))</x:f>
      </x:c>
    </x:row>
    <x:row r="816">
      <x:c r="A816" t="n">
        <x:f>Match_Data!A816</x:f>
        <x:v>0</x:v>
      </x:c>
      <x:c r="B816" s="28" t="n">
        <x:f>Match_Data!B816</x:f>
        <x:v>0</x:v>
      </x:c>
      <x:c r="C816" t="n">
        <x:f>Match_Data!C816</x:f>
        <x:v>0</x:v>
      </x:c>
      <x:c r="D816" t="n">
        <x:f>Match_Data!E816</x:f>
        <x:v>0</x:v>
      </x:c>
      <x:c r="E816" t="n">
        <x:f>Match_Data!F816</x:f>
        <x:v>0</x:v>
      </x:c>
      <x:c r="F816" t="n">
        <x:f>Match_Data!AC816</x:f>
        <x:v>0</x:v>
      </x:c>
      <x:c r="G816" t="str">
        <x:f>IF(OR(Match_Data!K816="",Match_Data!L816=""),"",AVERAGE(Match_Data!K816:L816))</x:f>
      </x:c>
      <x:c r="H816" t="str">
        <x:f>IF(OR(Match_Data!M816="",Match_Data!N816=""),"",AVERAGE(Match_Data!M816:N816))</x:f>
      </x:c>
      <x:c r="I816" t="str">
        <x:f>IF(OR(Match_Data!O816="",Match_Data!Q816=""),"",Match_Data!O816+Match_Data!Q816)</x:f>
      </x:c>
      <x:c r="J816" t="str">
        <x:f>IF(OR(Match_Data!P816="",Match_Data!R816=""),"",Match_Data!P816+Match_Data!R816)</x:f>
      </x:c>
      <x:c r="K816" t="str">
        <x:f>IF(OR(Match_Data!S816="",Match_Data!T816=""),"",Match_Data!S816+Match_Data!T816)</x:f>
      </x:c>
      <x:c r="L816" t="str">
        <x:f>IF(OR(Match_Data!U816="",Match_Data!V816=""),"",Match_Data!U816-Match_Data!V816)</x:f>
      </x:c>
      <x:c r="M816" s="32" t="str">
        <x:f>IF(Match_Data!Y816="","",1/Match_Data!Y816)</x:f>
      </x:c>
      <x:c r="N816" s="32" t="str">
        <x:f>IF(Match_Data!AA816="","",1/Match_Data!AA816)</x:f>
      </x:c>
      <x:c r="O816" s="32" t="str">
        <x:f>IF(OR(M816="",N816=""),"",N816-M816)</x:f>
      </x:c>
      <x:c r="P816" t="str">
        <x:f>IF(Match_Data!J816="","",IF(Match_Data!J816="OVER",1,0))</x:f>
      </x:c>
    </x:row>
    <x:row r="817">
      <x:c r="A817" t="n">
        <x:f>Match_Data!A817</x:f>
        <x:v>0</x:v>
      </x:c>
      <x:c r="B817" s="28" t="n">
        <x:f>Match_Data!B817</x:f>
        <x:v>0</x:v>
      </x:c>
      <x:c r="C817" t="n">
        <x:f>Match_Data!C817</x:f>
        <x:v>0</x:v>
      </x:c>
      <x:c r="D817" t="n">
        <x:f>Match_Data!E817</x:f>
        <x:v>0</x:v>
      </x:c>
      <x:c r="E817" t="n">
        <x:f>Match_Data!F817</x:f>
        <x:v>0</x:v>
      </x:c>
      <x:c r="F817" t="n">
        <x:f>Match_Data!AC817</x:f>
        <x:v>0</x:v>
      </x:c>
      <x:c r="G817" t="str">
        <x:f>IF(OR(Match_Data!K817="",Match_Data!L817=""),"",AVERAGE(Match_Data!K817:L817))</x:f>
      </x:c>
      <x:c r="H817" t="str">
        <x:f>IF(OR(Match_Data!M817="",Match_Data!N817=""),"",AVERAGE(Match_Data!M817:N817))</x:f>
      </x:c>
      <x:c r="I817" t="str">
        <x:f>IF(OR(Match_Data!O817="",Match_Data!Q817=""),"",Match_Data!O817+Match_Data!Q817)</x:f>
      </x:c>
      <x:c r="J817" t="str">
        <x:f>IF(OR(Match_Data!P817="",Match_Data!R817=""),"",Match_Data!P817+Match_Data!R817)</x:f>
      </x:c>
      <x:c r="K817" t="str">
        <x:f>IF(OR(Match_Data!S817="",Match_Data!T817=""),"",Match_Data!S817+Match_Data!T817)</x:f>
      </x:c>
      <x:c r="L817" t="str">
        <x:f>IF(OR(Match_Data!U817="",Match_Data!V817=""),"",Match_Data!U817-Match_Data!V817)</x:f>
      </x:c>
      <x:c r="M817" s="32" t="str">
        <x:f>IF(Match_Data!Y817="","",1/Match_Data!Y817)</x:f>
      </x:c>
      <x:c r="N817" s="32" t="str">
        <x:f>IF(Match_Data!AA817="","",1/Match_Data!AA817)</x:f>
      </x:c>
      <x:c r="O817" s="32" t="str">
        <x:f>IF(OR(M817="",N817=""),"",N817-M817)</x:f>
      </x:c>
      <x:c r="P817" t="str">
        <x:f>IF(Match_Data!J817="","",IF(Match_Data!J817="OVER",1,0))</x:f>
      </x:c>
    </x:row>
    <x:row r="818">
      <x:c r="A818" t="n">
        <x:f>Match_Data!A818</x:f>
        <x:v>0</x:v>
      </x:c>
      <x:c r="B818" s="28" t="n">
        <x:f>Match_Data!B818</x:f>
        <x:v>0</x:v>
      </x:c>
      <x:c r="C818" t="n">
        <x:f>Match_Data!C818</x:f>
        <x:v>0</x:v>
      </x:c>
      <x:c r="D818" t="n">
        <x:f>Match_Data!E818</x:f>
        <x:v>0</x:v>
      </x:c>
      <x:c r="E818" t="n">
        <x:f>Match_Data!F818</x:f>
        <x:v>0</x:v>
      </x:c>
      <x:c r="F818" t="n">
        <x:f>Match_Data!AC818</x:f>
        <x:v>0</x:v>
      </x:c>
      <x:c r="G818" t="str">
        <x:f>IF(OR(Match_Data!K818="",Match_Data!L818=""),"",AVERAGE(Match_Data!K818:L818))</x:f>
      </x:c>
      <x:c r="H818" t="str">
        <x:f>IF(OR(Match_Data!M818="",Match_Data!N818=""),"",AVERAGE(Match_Data!M818:N818))</x:f>
      </x:c>
      <x:c r="I818" t="str">
        <x:f>IF(OR(Match_Data!O818="",Match_Data!Q818=""),"",Match_Data!O818+Match_Data!Q818)</x:f>
      </x:c>
      <x:c r="J818" t="str">
        <x:f>IF(OR(Match_Data!P818="",Match_Data!R818=""),"",Match_Data!P818+Match_Data!R818)</x:f>
      </x:c>
      <x:c r="K818" t="str">
        <x:f>IF(OR(Match_Data!S818="",Match_Data!T818=""),"",Match_Data!S818+Match_Data!T818)</x:f>
      </x:c>
      <x:c r="L818" t="str">
        <x:f>IF(OR(Match_Data!U818="",Match_Data!V818=""),"",Match_Data!U818-Match_Data!V818)</x:f>
      </x:c>
      <x:c r="M818" s="32" t="str">
        <x:f>IF(Match_Data!Y818="","",1/Match_Data!Y818)</x:f>
      </x:c>
      <x:c r="N818" s="32" t="str">
        <x:f>IF(Match_Data!AA818="","",1/Match_Data!AA818)</x:f>
      </x:c>
      <x:c r="O818" s="32" t="str">
        <x:f>IF(OR(M818="",N818=""),"",N818-M818)</x:f>
      </x:c>
      <x:c r="P818" t="str">
        <x:f>IF(Match_Data!J818="","",IF(Match_Data!J818="OVER",1,0))</x:f>
      </x:c>
    </x:row>
    <x:row r="819">
      <x:c r="A819" t="n">
        <x:f>Match_Data!A819</x:f>
        <x:v>0</x:v>
      </x:c>
      <x:c r="B819" s="28" t="n">
        <x:f>Match_Data!B819</x:f>
        <x:v>0</x:v>
      </x:c>
      <x:c r="C819" t="n">
        <x:f>Match_Data!C819</x:f>
        <x:v>0</x:v>
      </x:c>
      <x:c r="D819" t="n">
        <x:f>Match_Data!E819</x:f>
        <x:v>0</x:v>
      </x:c>
      <x:c r="E819" t="n">
        <x:f>Match_Data!F819</x:f>
        <x:v>0</x:v>
      </x:c>
      <x:c r="F819" t="n">
        <x:f>Match_Data!AC819</x:f>
        <x:v>0</x:v>
      </x:c>
      <x:c r="G819" t="str">
        <x:f>IF(OR(Match_Data!K819="",Match_Data!L819=""),"",AVERAGE(Match_Data!K819:L819))</x:f>
      </x:c>
      <x:c r="H819" t="str">
        <x:f>IF(OR(Match_Data!M819="",Match_Data!N819=""),"",AVERAGE(Match_Data!M819:N819))</x:f>
      </x:c>
      <x:c r="I819" t="str">
        <x:f>IF(OR(Match_Data!O819="",Match_Data!Q819=""),"",Match_Data!O819+Match_Data!Q819)</x:f>
      </x:c>
      <x:c r="J819" t="str">
        <x:f>IF(OR(Match_Data!P819="",Match_Data!R819=""),"",Match_Data!P819+Match_Data!R819)</x:f>
      </x:c>
      <x:c r="K819" t="str">
        <x:f>IF(OR(Match_Data!S819="",Match_Data!T819=""),"",Match_Data!S819+Match_Data!T819)</x:f>
      </x:c>
      <x:c r="L819" t="str">
        <x:f>IF(OR(Match_Data!U819="",Match_Data!V819=""),"",Match_Data!U819-Match_Data!V819)</x:f>
      </x:c>
      <x:c r="M819" s="32" t="str">
        <x:f>IF(Match_Data!Y819="","",1/Match_Data!Y819)</x:f>
      </x:c>
      <x:c r="N819" s="32" t="str">
        <x:f>IF(Match_Data!AA819="","",1/Match_Data!AA819)</x:f>
      </x:c>
      <x:c r="O819" s="32" t="str">
        <x:f>IF(OR(M819="",N819=""),"",N819-M819)</x:f>
      </x:c>
      <x:c r="P819" t="str">
        <x:f>IF(Match_Data!J819="","",IF(Match_Data!J819="OVER",1,0))</x:f>
      </x:c>
    </x:row>
    <x:row r="820">
      <x:c r="A820" t="n">
        <x:f>Match_Data!A820</x:f>
        <x:v>0</x:v>
      </x:c>
      <x:c r="B820" s="28" t="n">
        <x:f>Match_Data!B820</x:f>
        <x:v>0</x:v>
      </x:c>
      <x:c r="C820" t="n">
        <x:f>Match_Data!C820</x:f>
        <x:v>0</x:v>
      </x:c>
      <x:c r="D820" t="n">
        <x:f>Match_Data!E820</x:f>
        <x:v>0</x:v>
      </x:c>
      <x:c r="E820" t="n">
        <x:f>Match_Data!F820</x:f>
        <x:v>0</x:v>
      </x:c>
      <x:c r="F820" t="n">
        <x:f>Match_Data!AC820</x:f>
        <x:v>0</x:v>
      </x:c>
      <x:c r="G820" t="str">
        <x:f>IF(OR(Match_Data!K820="",Match_Data!L820=""),"",AVERAGE(Match_Data!K820:L820))</x:f>
      </x:c>
      <x:c r="H820" t="str">
        <x:f>IF(OR(Match_Data!M820="",Match_Data!N820=""),"",AVERAGE(Match_Data!M820:N820))</x:f>
      </x:c>
      <x:c r="I820" t="str">
        <x:f>IF(OR(Match_Data!O820="",Match_Data!Q820=""),"",Match_Data!O820+Match_Data!Q820)</x:f>
      </x:c>
      <x:c r="J820" t="str">
        <x:f>IF(OR(Match_Data!P820="",Match_Data!R820=""),"",Match_Data!P820+Match_Data!R820)</x:f>
      </x:c>
      <x:c r="K820" t="str">
        <x:f>IF(OR(Match_Data!S820="",Match_Data!T820=""),"",Match_Data!S820+Match_Data!T820)</x:f>
      </x:c>
      <x:c r="L820" t="str">
        <x:f>IF(OR(Match_Data!U820="",Match_Data!V820=""),"",Match_Data!U820-Match_Data!V820)</x:f>
      </x:c>
      <x:c r="M820" s="32" t="str">
        <x:f>IF(Match_Data!Y820="","",1/Match_Data!Y820)</x:f>
      </x:c>
      <x:c r="N820" s="32" t="str">
        <x:f>IF(Match_Data!AA820="","",1/Match_Data!AA820)</x:f>
      </x:c>
      <x:c r="O820" s="32" t="str">
        <x:f>IF(OR(M820="",N820=""),"",N820-M820)</x:f>
      </x:c>
      <x:c r="P820" t="str">
        <x:f>IF(Match_Data!J820="","",IF(Match_Data!J820="OVER",1,0))</x:f>
      </x:c>
    </x:row>
    <x:row r="821">
      <x:c r="A821" t="n">
        <x:f>Match_Data!A821</x:f>
        <x:v>0</x:v>
      </x:c>
      <x:c r="B821" s="28" t="n">
        <x:f>Match_Data!B821</x:f>
        <x:v>0</x:v>
      </x:c>
      <x:c r="C821" t="n">
        <x:f>Match_Data!C821</x:f>
        <x:v>0</x:v>
      </x:c>
      <x:c r="D821" t="n">
        <x:f>Match_Data!E821</x:f>
        <x:v>0</x:v>
      </x:c>
      <x:c r="E821" t="n">
        <x:f>Match_Data!F821</x:f>
        <x:v>0</x:v>
      </x:c>
      <x:c r="F821" t="n">
        <x:f>Match_Data!AC821</x:f>
        <x:v>0</x:v>
      </x:c>
      <x:c r="G821" t="str">
        <x:f>IF(OR(Match_Data!K821="",Match_Data!L821=""),"",AVERAGE(Match_Data!K821:L821))</x:f>
      </x:c>
      <x:c r="H821" t="str">
        <x:f>IF(OR(Match_Data!M821="",Match_Data!N821=""),"",AVERAGE(Match_Data!M821:N821))</x:f>
      </x:c>
      <x:c r="I821" t="str">
        <x:f>IF(OR(Match_Data!O821="",Match_Data!Q821=""),"",Match_Data!O821+Match_Data!Q821)</x:f>
      </x:c>
      <x:c r="J821" t="str">
        <x:f>IF(OR(Match_Data!P821="",Match_Data!R821=""),"",Match_Data!P821+Match_Data!R821)</x:f>
      </x:c>
      <x:c r="K821" t="str">
        <x:f>IF(OR(Match_Data!S821="",Match_Data!T821=""),"",Match_Data!S821+Match_Data!T821)</x:f>
      </x:c>
      <x:c r="L821" t="str">
        <x:f>IF(OR(Match_Data!U821="",Match_Data!V821=""),"",Match_Data!U821-Match_Data!V821)</x:f>
      </x:c>
      <x:c r="M821" s="32" t="str">
        <x:f>IF(Match_Data!Y821="","",1/Match_Data!Y821)</x:f>
      </x:c>
      <x:c r="N821" s="32" t="str">
        <x:f>IF(Match_Data!AA821="","",1/Match_Data!AA821)</x:f>
      </x:c>
      <x:c r="O821" s="32" t="str">
        <x:f>IF(OR(M821="",N821=""),"",N821-M821)</x:f>
      </x:c>
      <x:c r="P821" t="str">
        <x:f>IF(Match_Data!J821="","",IF(Match_Data!J821="OVER",1,0))</x:f>
      </x:c>
    </x:row>
    <x:row r="822">
      <x:c r="A822" t="n">
        <x:f>Match_Data!A822</x:f>
        <x:v>0</x:v>
      </x:c>
      <x:c r="B822" s="28" t="n">
        <x:f>Match_Data!B822</x:f>
        <x:v>0</x:v>
      </x:c>
      <x:c r="C822" t="n">
        <x:f>Match_Data!C822</x:f>
        <x:v>0</x:v>
      </x:c>
      <x:c r="D822" t="n">
        <x:f>Match_Data!E822</x:f>
        <x:v>0</x:v>
      </x:c>
      <x:c r="E822" t="n">
        <x:f>Match_Data!F822</x:f>
        <x:v>0</x:v>
      </x:c>
      <x:c r="F822" t="n">
        <x:f>Match_Data!AC822</x:f>
        <x:v>0</x:v>
      </x:c>
      <x:c r="G822" t="str">
        <x:f>IF(OR(Match_Data!K822="",Match_Data!L822=""),"",AVERAGE(Match_Data!K822:L822))</x:f>
      </x:c>
      <x:c r="H822" t="str">
        <x:f>IF(OR(Match_Data!M822="",Match_Data!N822=""),"",AVERAGE(Match_Data!M822:N822))</x:f>
      </x:c>
      <x:c r="I822" t="str">
        <x:f>IF(OR(Match_Data!O822="",Match_Data!Q822=""),"",Match_Data!O822+Match_Data!Q822)</x:f>
      </x:c>
      <x:c r="J822" t="str">
        <x:f>IF(OR(Match_Data!P822="",Match_Data!R822=""),"",Match_Data!P822+Match_Data!R822)</x:f>
      </x:c>
      <x:c r="K822" t="str">
        <x:f>IF(OR(Match_Data!S822="",Match_Data!T822=""),"",Match_Data!S822+Match_Data!T822)</x:f>
      </x:c>
      <x:c r="L822" t="str">
        <x:f>IF(OR(Match_Data!U822="",Match_Data!V822=""),"",Match_Data!U822-Match_Data!V822)</x:f>
      </x:c>
      <x:c r="M822" s="32" t="str">
        <x:f>IF(Match_Data!Y822="","",1/Match_Data!Y822)</x:f>
      </x:c>
      <x:c r="N822" s="32" t="str">
        <x:f>IF(Match_Data!AA822="","",1/Match_Data!AA822)</x:f>
      </x:c>
      <x:c r="O822" s="32" t="str">
        <x:f>IF(OR(M822="",N822=""),"",N822-M822)</x:f>
      </x:c>
      <x:c r="P822" t="str">
        <x:f>IF(Match_Data!J822="","",IF(Match_Data!J822="OVER",1,0))</x:f>
      </x:c>
    </x:row>
    <x:row r="823">
      <x:c r="A823" t="n">
        <x:f>Match_Data!A823</x:f>
        <x:v>0</x:v>
      </x:c>
      <x:c r="B823" s="28" t="n">
        <x:f>Match_Data!B823</x:f>
        <x:v>0</x:v>
      </x:c>
      <x:c r="C823" t="n">
        <x:f>Match_Data!C823</x:f>
        <x:v>0</x:v>
      </x:c>
      <x:c r="D823" t="n">
        <x:f>Match_Data!E823</x:f>
        <x:v>0</x:v>
      </x:c>
      <x:c r="E823" t="n">
        <x:f>Match_Data!F823</x:f>
        <x:v>0</x:v>
      </x:c>
      <x:c r="F823" t="n">
        <x:f>Match_Data!AC823</x:f>
        <x:v>0</x:v>
      </x:c>
      <x:c r="G823" t="str">
        <x:f>IF(OR(Match_Data!K823="",Match_Data!L823=""),"",AVERAGE(Match_Data!K823:L823))</x:f>
      </x:c>
      <x:c r="H823" t="str">
        <x:f>IF(OR(Match_Data!M823="",Match_Data!N823=""),"",AVERAGE(Match_Data!M823:N823))</x:f>
      </x:c>
      <x:c r="I823" t="str">
        <x:f>IF(OR(Match_Data!O823="",Match_Data!Q823=""),"",Match_Data!O823+Match_Data!Q823)</x:f>
      </x:c>
      <x:c r="J823" t="str">
        <x:f>IF(OR(Match_Data!P823="",Match_Data!R823=""),"",Match_Data!P823+Match_Data!R823)</x:f>
      </x:c>
      <x:c r="K823" t="str">
        <x:f>IF(OR(Match_Data!S823="",Match_Data!T823=""),"",Match_Data!S823+Match_Data!T823)</x:f>
      </x:c>
      <x:c r="L823" t="str">
        <x:f>IF(OR(Match_Data!U823="",Match_Data!V823=""),"",Match_Data!U823-Match_Data!V823)</x:f>
      </x:c>
      <x:c r="M823" s="32" t="str">
        <x:f>IF(Match_Data!Y823="","",1/Match_Data!Y823)</x:f>
      </x:c>
      <x:c r="N823" s="32" t="str">
        <x:f>IF(Match_Data!AA823="","",1/Match_Data!AA823)</x:f>
      </x:c>
      <x:c r="O823" s="32" t="str">
        <x:f>IF(OR(M823="",N823=""),"",N823-M823)</x:f>
      </x:c>
      <x:c r="P823" t="str">
        <x:f>IF(Match_Data!J823="","",IF(Match_Data!J823="OVER",1,0))</x:f>
      </x:c>
    </x:row>
    <x:row r="824">
      <x:c r="A824" t="n">
        <x:f>Match_Data!A824</x:f>
        <x:v>0</x:v>
      </x:c>
      <x:c r="B824" s="28" t="n">
        <x:f>Match_Data!B824</x:f>
        <x:v>0</x:v>
      </x:c>
      <x:c r="C824" t="n">
        <x:f>Match_Data!C824</x:f>
        <x:v>0</x:v>
      </x:c>
      <x:c r="D824" t="n">
        <x:f>Match_Data!E824</x:f>
        <x:v>0</x:v>
      </x:c>
      <x:c r="E824" t="n">
        <x:f>Match_Data!F824</x:f>
        <x:v>0</x:v>
      </x:c>
      <x:c r="F824" t="n">
        <x:f>Match_Data!AC824</x:f>
        <x:v>0</x:v>
      </x:c>
      <x:c r="G824" t="str">
        <x:f>IF(OR(Match_Data!K824="",Match_Data!L824=""),"",AVERAGE(Match_Data!K824:L824))</x:f>
      </x:c>
      <x:c r="H824" t="str">
        <x:f>IF(OR(Match_Data!M824="",Match_Data!N824=""),"",AVERAGE(Match_Data!M824:N824))</x:f>
      </x:c>
      <x:c r="I824" t="str">
        <x:f>IF(OR(Match_Data!O824="",Match_Data!Q824=""),"",Match_Data!O824+Match_Data!Q824)</x:f>
      </x:c>
      <x:c r="J824" t="str">
        <x:f>IF(OR(Match_Data!P824="",Match_Data!R824=""),"",Match_Data!P824+Match_Data!R824)</x:f>
      </x:c>
      <x:c r="K824" t="str">
        <x:f>IF(OR(Match_Data!S824="",Match_Data!T824=""),"",Match_Data!S824+Match_Data!T824)</x:f>
      </x:c>
      <x:c r="L824" t="str">
        <x:f>IF(OR(Match_Data!U824="",Match_Data!V824=""),"",Match_Data!U824-Match_Data!V824)</x:f>
      </x:c>
      <x:c r="M824" s="32" t="str">
        <x:f>IF(Match_Data!Y824="","",1/Match_Data!Y824)</x:f>
      </x:c>
      <x:c r="N824" s="32" t="str">
        <x:f>IF(Match_Data!AA824="","",1/Match_Data!AA824)</x:f>
      </x:c>
      <x:c r="O824" s="32" t="str">
        <x:f>IF(OR(M824="",N824=""),"",N824-M824)</x:f>
      </x:c>
      <x:c r="P824" t="str">
        <x:f>IF(Match_Data!J824="","",IF(Match_Data!J824="OVER",1,0))</x:f>
      </x:c>
    </x:row>
    <x:row r="825">
      <x:c r="A825" t="n">
        <x:f>Match_Data!A825</x:f>
        <x:v>0</x:v>
      </x:c>
      <x:c r="B825" s="28" t="n">
        <x:f>Match_Data!B825</x:f>
        <x:v>0</x:v>
      </x:c>
      <x:c r="C825" t="n">
        <x:f>Match_Data!C825</x:f>
        <x:v>0</x:v>
      </x:c>
      <x:c r="D825" t="n">
        <x:f>Match_Data!E825</x:f>
        <x:v>0</x:v>
      </x:c>
      <x:c r="E825" t="n">
        <x:f>Match_Data!F825</x:f>
        <x:v>0</x:v>
      </x:c>
      <x:c r="F825" t="n">
        <x:f>Match_Data!AC825</x:f>
        <x:v>0</x:v>
      </x:c>
      <x:c r="G825" t="str">
        <x:f>IF(OR(Match_Data!K825="",Match_Data!L825=""),"",AVERAGE(Match_Data!K825:L825))</x:f>
      </x:c>
      <x:c r="H825" t="str">
        <x:f>IF(OR(Match_Data!M825="",Match_Data!N825=""),"",AVERAGE(Match_Data!M825:N825))</x:f>
      </x:c>
      <x:c r="I825" t="str">
        <x:f>IF(OR(Match_Data!O825="",Match_Data!Q825=""),"",Match_Data!O825+Match_Data!Q825)</x:f>
      </x:c>
      <x:c r="J825" t="str">
        <x:f>IF(OR(Match_Data!P825="",Match_Data!R825=""),"",Match_Data!P825+Match_Data!R825)</x:f>
      </x:c>
      <x:c r="K825" t="str">
        <x:f>IF(OR(Match_Data!S825="",Match_Data!T825=""),"",Match_Data!S825+Match_Data!T825)</x:f>
      </x:c>
      <x:c r="L825" t="str">
        <x:f>IF(OR(Match_Data!U825="",Match_Data!V825=""),"",Match_Data!U825-Match_Data!V825)</x:f>
      </x:c>
      <x:c r="M825" s="32" t="str">
        <x:f>IF(Match_Data!Y825="","",1/Match_Data!Y825)</x:f>
      </x:c>
      <x:c r="N825" s="32" t="str">
        <x:f>IF(Match_Data!AA825="","",1/Match_Data!AA825)</x:f>
      </x:c>
      <x:c r="O825" s="32" t="str">
        <x:f>IF(OR(M825="",N825=""),"",N825-M825)</x:f>
      </x:c>
      <x:c r="P825" t="str">
        <x:f>IF(Match_Data!J825="","",IF(Match_Data!J825="OVER",1,0))</x:f>
      </x:c>
    </x:row>
    <x:row r="826">
      <x:c r="A826" t="n">
        <x:f>Match_Data!A826</x:f>
        <x:v>0</x:v>
      </x:c>
      <x:c r="B826" s="28" t="n">
        <x:f>Match_Data!B826</x:f>
        <x:v>0</x:v>
      </x:c>
      <x:c r="C826" t="n">
        <x:f>Match_Data!C826</x:f>
        <x:v>0</x:v>
      </x:c>
      <x:c r="D826" t="n">
        <x:f>Match_Data!E826</x:f>
        <x:v>0</x:v>
      </x:c>
      <x:c r="E826" t="n">
        <x:f>Match_Data!F826</x:f>
        <x:v>0</x:v>
      </x:c>
      <x:c r="F826" t="n">
        <x:f>Match_Data!AC826</x:f>
        <x:v>0</x:v>
      </x:c>
      <x:c r="G826" t="str">
        <x:f>IF(OR(Match_Data!K826="",Match_Data!L826=""),"",AVERAGE(Match_Data!K826:L826))</x:f>
      </x:c>
      <x:c r="H826" t="str">
        <x:f>IF(OR(Match_Data!M826="",Match_Data!N826=""),"",AVERAGE(Match_Data!M826:N826))</x:f>
      </x:c>
      <x:c r="I826" t="str">
        <x:f>IF(OR(Match_Data!O826="",Match_Data!Q826=""),"",Match_Data!O826+Match_Data!Q826)</x:f>
      </x:c>
      <x:c r="J826" t="str">
        <x:f>IF(OR(Match_Data!P826="",Match_Data!R826=""),"",Match_Data!P826+Match_Data!R826)</x:f>
      </x:c>
      <x:c r="K826" t="str">
        <x:f>IF(OR(Match_Data!S826="",Match_Data!T826=""),"",Match_Data!S826+Match_Data!T826)</x:f>
      </x:c>
      <x:c r="L826" t="str">
        <x:f>IF(OR(Match_Data!U826="",Match_Data!V826=""),"",Match_Data!U826-Match_Data!V826)</x:f>
      </x:c>
      <x:c r="M826" s="32" t="str">
        <x:f>IF(Match_Data!Y826="","",1/Match_Data!Y826)</x:f>
      </x:c>
      <x:c r="N826" s="32" t="str">
        <x:f>IF(Match_Data!AA826="","",1/Match_Data!AA826)</x:f>
      </x:c>
      <x:c r="O826" s="32" t="str">
        <x:f>IF(OR(M826="",N826=""),"",N826-M826)</x:f>
      </x:c>
      <x:c r="P826" t="str">
        <x:f>IF(Match_Data!J826="","",IF(Match_Data!J826="OVER",1,0))</x:f>
      </x:c>
    </x:row>
    <x:row r="827">
      <x:c r="A827" t="n">
        <x:f>Match_Data!A827</x:f>
        <x:v>0</x:v>
      </x:c>
      <x:c r="B827" s="28" t="n">
        <x:f>Match_Data!B827</x:f>
        <x:v>0</x:v>
      </x:c>
      <x:c r="C827" t="n">
        <x:f>Match_Data!C827</x:f>
        <x:v>0</x:v>
      </x:c>
      <x:c r="D827" t="n">
        <x:f>Match_Data!E827</x:f>
        <x:v>0</x:v>
      </x:c>
      <x:c r="E827" t="n">
        <x:f>Match_Data!F827</x:f>
        <x:v>0</x:v>
      </x:c>
      <x:c r="F827" t="n">
        <x:f>Match_Data!AC827</x:f>
        <x:v>0</x:v>
      </x:c>
      <x:c r="G827" t="str">
        <x:f>IF(OR(Match_Data!K827="",Match_Data!L827=""),"",AVERAGE(Match_Data!K827:L827))</x:f>
      </x:c>
      <x:c r="H827" t="str">
        <x:f>IF(OR(Match_Data!M827="",Match_Data!N827=""),"",AVERAGE(Match_Data!M827:N827))</x:f>
      </x:c>
      <x:c r="I827" t="str">
        <x:f>IF(OR(Match_Data!O827="",Match_Data!Q827=""),"",Match_Data!O827+Match_Data!Q827)</x:f>
      </x:c>
      <x:c r="J827" t="str">
        <x:f>IF(OR(Match_Data!P827="",Match_Data!R827=""),"",Match_Data!P827+Match_Data!R827)</x:f>
      </x:c>
      <x:c r="K827" t="str">
        <x:f>IF(OR(Match_Data!S827="",Match_Data!T827=""),"",Match_Data!S827+Match_Data!T827)</x:f>
      </x:c>
      <x:c r="L827" t="str">
        <x:f>IF(OR(Match_Data!U827="",Match_Data!V827=""),"",Match_Data!U827-Match_Data!V827)</x:f>
      </x:c>
      <x:c r="M827" s="32" t="str">
        <x:f>IF(Match_Data!Y827="","",1/Match_Data!Y827)</x:f>
      </x:c>
      <x:c r="N827" s="32" t="str">
        <x:f>IF(Match_Data!AA827="","",1/Match_Data!AA827)</x:f>
      </x:c>
      <x:c r="O827" s="32" t="str">
        <x:f>IF(OR(M827="",N827=""),"",N827-M827)</x:f>
      </x:c>
      <x:c r="P827" t="str">
        <x:f>IF(Match_Data!J827="","",IF(Match_Data!J827="OVER",1,0))</x:f>
      </x:c>
    </x:row>
    <x:row r="828">
      <x:c r="A828" t="n">
        <x:f>Match_Data!A828</x:f>
        <x:v>0</x:v>
      </x:c>
      <x:c r="B828" s="28" t="n">
        <x:f>Match_Data!B828</x:f>
        <x:v>0</x:v>
      </x:c>
      <x:c r="C828" t="n">
        <x:f>Match_Data!C828</x:f>
        <x:v>0</x:v>
      </x:c>
      <x:c r="D828" t="n">
        <x:f>Match_Data!E828</x:f>
        <x:v>0</x:v>
      </x:c>
      <x:c r="E828" t="n">
        <x:f>Match_Data!F828</x:f>
        <x:v>0</x:v>
      </x:c>
      <x:c r="F828" t="n">
        <x:f>Match_Data!AC828</x:f>
        <x:v>0</x:v>
      </x:c>
      <x:c r="G828" t="str">
        <x:f>IF(OR(Match_Data!K828="",Match_Data!L828=""),"",AVERAGE(Match_Data!K828:L828))</x:f>
      </x:c>
      <x:c r="H828" t="str">
        <x:f>IF(OR(Match_Data!M828="",Match_Data!N828=""),"",AVERAGE(Match_Data!M828:N828))</x:f>
      </x:c>
      <x:c r="I828" t="str">
        <x:f>IF(OR(Match_Data!O828="",Match_Data!Q828=""),"",Match_Data!O828+Match_Data!Q828)</x:f>
      </x:c>
      <x:c r="J828" t="str">
        <x:f>IF(OR(Match_Data!P828="",Match_Data!R828=""),"",Match_Data!P828+Match_Data!R828)</x:f>
      </x:c>
      <x:c r="K828" t="str">
        <x:f>IF(OR(Match_Data!S828="",Match_Data!T828=""),"",Match_Data!S828+Match_Data!T828)</x:f>
      </x:c>
      <x:c r="L828" t="str">
        <x:f>IF(OR(Match_Data!U828="",Match_Data!V828=""),"",Match_Data!U828-Match_Data!V828)</x:f>
      </x:c>
      <x:c r="M828" s="32" t="str">
        <x:f>IF(Match_Data!Y828="","",1/Match_Data!Y828)</x:f>
      </x:c>
      <x:c r="N828" s="32" t="str">
        <x:f>IF(Match_Data!AA828="","",1/Match_Data!AA828)</x:f>
      </x:c>
      <x:c r="O828" s="32" t="str">
        <x:f>IF(OR(M828="",N828=""),"",N828-M828)</x:f>
      </x:c>
      <x:c r="P828" t="str">
        <x:f>IF(Match_Data!J828="","",IF(Match_Data!J828="OVER",1,0))</x:f>
      </x:c>
    </x:row>
    <x:row r="829">
      <x:c r="A829" t="n">
        <x:f>Match_Data!A829</x:f>
        <x:v>0</x:v>
      </x:c>
      <x:c r="B829" s="28" t="n">
        <x:f>Match_Data!B829</x:f>
        <x:v>0</x:v>
      </x:c>
      <x:c r="C829" t="n">
        <x:f>Match_Data!C829</x:f>
        <x:v>0</x:v>
      </x:c>
      <x:c r="D829" t="n">
        <x:f>Match_Data!E829</x:f>
        <x:v>0</x:v>
      </x:c>
      <x:c r="E829" t="n">
        <x:f>Match_Data!F829</x:f>
        <x:v>0</x:v>
      </x:c>
      <x:c r="F829" t="n">
        <x:f>Match_Data!AC829</x:f>
        <x:v>0</x:v>
      </x:c>
      <x:c r="G829" t="str">
        <x:f>IF(OR(Match_Data!K829="",Match_Data!L829=""),"",AVERAGE(Match_Data!K829:L829))</x:f>
      </x:c>
      <x:c r="H829" t="str">
        <x:f>IF(OR(Match_Data!M829="",Match_Data!N829=""),"",AVERAGE(Match_Data!M829:N829))</x:f>
      </x:c>
      <x:c r="I829" t="str">
        <x:f>IF(OR(Match_Data!O829="",Match_Data!Q829=""),"",Match_Data!O829+Match_Data!Q829)</x:f>
      </x:c>
      <x:c r="J829" t="str">
        <x:f>IF(OR(Match_Data!P829="",Match_Data!R829=""),"",Match_Data!P829+Match_Data!R829)</x:f>
      </x:c>
      <x:c r="K829" t="str">
        <x:f>IF(OR(Match_Data!S829="",Match_Data!T829=""),"",Match_Data!S829+Match_Data!T829)</x:f>
      </x:c>
      <x:c r="L829" t="str">
        <x:f>IF(OR(Match_Data!U829="",Match_Data!V829=""),"",Match_Data!U829-Match_Data!V829)</x:f>
      </x:c>
      <x:c r="M829" s="32" t="str">
        <x:f>IF(Match_Data!Y829="","",1/Match_Data!Y829)</x:f>
      </x:c>
      <x:c r="N829" s="32" t="str">
        <x:f>IF(Match_Data!AA829="","",1/Match_Data!AA829)</x:f>
      </x:c>
      <x:c r="O829" s="32" t="str">
        <x:f>IF(OR(M829="",N829=""),"",N829-M829)</x:f>
      </x:c>
      <x:c r="P829" t="str">
        <x:f>IF(Match_Data!J829="","",IF(Match_Data!J829="OVER",1,0))</x:f>
      </x:c>
    </x:row>
    <x:row r="830">
      <x:c r="A830" t="n">
        <x:f>Match_Data!A830</x:f>
        <x:v>0</x:v>
      </x:c>
      <x:c r="B830" s="28" t="n">
        <x:f>Match_Data!B830</x:f>
        <x:v>0</x:v>
      </x:c>
      <x:c r="C830" t="n">
        <x:f>Match_Data!C830</x:f>
        <x:v>0</x:v>
      </x:c>
      <x:c r="D830" t="n">
        <x:f>Match_Data!E830</x:f>
        <x:v>0</x:v>
      </x:c>
      <x:c r="E830" t="n">
        <x:f>Match_Data!F830</x:f>
        <x:v>0</x:v>
      </x:c>
      <x:c r="F830" t="n">
        <x:f>Match_Data!AC830</x:f>
        <x:v>0</x:v>
      </x:c>
      <x:c r="G830" t="str">
        <x:f>IF(OR(Match_Data!K830="",Match_Data!L830=""),"",AVERAGE(Match_Data!K830:L830))</x:f>
      </x:c>
      <x:c r="H830" t="str">
        <x:f>IF(OR(Match_Data!M830="",Match_Data!N830=""),"",AVERAGE(Match_Data!M830:N830))</x:f>
      </x:c>
      <x:c r="I830" t="str">
        <x:f>IF(OR(Match_Data!O830="",Match_Data!Q830=""),"",Match_Data!O830+Match_Data!Q830)</x:f>
      </x:c>
      <x:c r="J830" t="str">
        <x:f>IF(OR(Match_Data!P830="",Match_Data!R830=""),"",Match_Data!P830+Match_Data!R830)</x:f>
      </x:c>
      <x:c r="K830" t="str">
        <x:f>IF(OR(Match_Data!S830="",Match_Data!T830=""),"",Match_Data!S830+Match_Data!T830)</x:f>
      </x:c>
      <x:c r="L830" t="str">
        <x:f>IF(OR(Match_Data!U830="",Match_Data!V830=""),"",Match_Data!U830-Match_Data!V830)</x:f>
      </x:c>
      <x:c r="M830" s="32" t="str">
        <x:f>IF(Match_Data!Y830="","",1/Match_Data!Y830)</x:f>
      </x:c>
      <x:c r="N830" s="32" t="str">
        <x:f>IF(Match_Data!AA830="","",1/Match_Data!AA830)</x:f>
      </x:c>
      <x:c r="O830" s="32" t="str">
        <x:f>IF(OR(M830="",N830=""),"",N830-M830)</x:f>
      </x:c>
      <x:c r="P830" t="str">
        <x:f>IF(Match_Data!J830="","",IF(Match_Data!J830="OVER",1,0))</x:f>
      </x:c>
    </x:row>
    <x:row r="831">
      <x:c r="A831" t="n">
        <x:f>Match_Data!A831</x:f>
        <x:v>0</x:v>
      </x:c>
      <x:c r="B831" s="28" t="n">
        <x:f>Match_Data!B831</x:f>
        <x:v>0</x:v>
      </x:c>
      <x:c r="C831" t="n">
        <x:f>Match_Data!C831</x:f>
        <x:v>0</x:v>
      </x:c>
      <x:c r="D831" t="n">
        <x:f>Match_Data!E831</x:f>
        <x:v>0</x:v>
      </x:c>
      <x:c r="E831" t="n">
        <x:f>Match_Data!F831</x:f>
        <x:v>0</x:v>
      </x:c>
      <x:c r="F831" t="n">
        <x:f>Match_Data!AC831</x:f>
        <x:v>0</x:v>
      </x:c>
      <x:c r="G831" t="str">
        <x:f>IF(OR(Match_Data!K831="",Match_Data!L831=""),"",AVERAGE(Match_Data!K831:L831))</x:f>
      </x:c>
      <x:c r="H831" t="str">
        <x:f>IF(OR(Match_Data!M831="",Match_Data!N831=""),"",AVERAGE(Match_Data!M831:N831))</x:f>
      </x:c>
      <x:c r="I831" t="str">
        <x:f>IF(OR(Match_Data!O831="",Match_Data!Q831=""),"",Match_Data!O831+Match_Data!Q831)</x:f>
      </x:c>
      <x:c r="J831" t="str">
        <x:f>IF(OR(Match_Data!P831="",Match_Data!R831=""),"",Match_Data!P831+Match_Data!R831)</x:f>
      </x:c>
      <x:c r="K831" t="str">
        <x:f>IF(OR(Match_Data!S831="",Match_Data!T831=""),"",Match_Data!S831+Match_Data!T831)</x:f>
      </x:c>
      <x:c r="L831" t="str">
        <x:f>IF(OR(Match_Data!U831="",Match_Data!V831=""),"",Match_Data!U831-Match_Data!V831)</x:f>
      </x:c>
      <x:c r="M831" s="32" t="str">
        <x:f>IF(Match_Data!Y831="","",1/Match_Data!Y831)</x:f>
      </x:c>
      <x:c r="N831" s="32" t="str">
        <x:f>IF(Match_Data!AA831="","",1/Match_Data!AA831)</x:f>
      </x:c>
      <x:c r="O831" s="32" t="str">
        <x:f>IF(OR(M831="",N831=""),"",N831-M831)</x:f>
      </x:c>
      <x:c r="P831" t="str">
        <x:f>IF(Match_Data!J831="","",IF(Match_Data!J831="OVER",1,0))</x:f>
      </x:c>
    </x:row>
    <x:row r="832">
      <x:c r="A832" t="n">
        <x:f>Match_Data!A832</x:f>
        <x:v>0</x:v>
      </x:c>
      <x:c r="B832" s="28" t="n">
        <x:f>Match_Data!B832</x:f>
        <x:v>0</x:v>
      </x:c>
      <x:c r="C832" t="n">
        <x:f>Match_Data!C832</x:f>
        <x:v>0</x:v>
      </x:c>
      <x:c r="D832" t="n">
        <x:f>Match_Data!E832</x:f>
        <x:v>0</x:v>
      </x:c>
      <x:c r="E832" t="n">
        <x:f>Match_Data!F832</x:f>
        <x:v>0</x:v>
      </x:c>
      <x:c r="F832" t="n">
        <x:f>Match_Data!AC832</x:f>
        <x:v>0</x:v>
      </x:c>
      <x:c r="G832" t="str">
        <x:f>IF(OR(Match_Data!K832="",Match_Data!L832=""),"",AVERAGE(Match_Data!K832:L832))</x:f>
      </x:c>
      <x:c r="H832" t="str">
        <x:f>IF(OR(Match_Data!M832="",Match_Data!N832=""),"",AVERAGE(Match_Data!M832:N832))</x:f>
      </x:c>
      <x:c r="I832" t="str">
        <x:f>IF(OR(Match_Data!O832="",Match_Data!Q832=""),"",Match_Data!O832+Match_Data!Q832)</x:f>
      </x:c>
      <x:c r="J832" t="str">
        <x:f>IF(OR(Match_Data!P832="",Match_Data!R832=""),"",Match_Data!P832+Match_Data!R832)</x:f>
      </x:c>
      <x:c r="K832" t="str">
        <x:f>IF(OR(Match_Data!S832="",Match_Data!T832=""),"",Match_Data!S832+Match_Data!T832)</x:f>
      </x:c>
      <x:c r="L832" t="str">
        <x:f>IF(OR(Match_Data!U832="",Match_Data!V832=""),"",Match_Data!U832-Match_Data!V832)</x:f>
      </x:c>
      <x:c r="M832" s="32" t="str">
        <x:f>IF(Match_Data!Y832="","",1/Match_Data!Y832)</x:f>
      </x:c>
      <x:c r="N832" s="32" t="str">
        <x:f>IF(Match_Data!AA832="","",1/Match_Data!AA832)</x:f>
      </x:c>
      <x:c r="O832" s="32" t="str">
        <x:f>IF(OR(M832="",N832=""),"",N832-M832)</x:f>
      </x:c>
      <x:c r="P832" t="str">
        <x:f>IF(Match_Data!J832="","",IF(Match_Data!J832="OVER",1,0))</x:f>
      </x:c>
    </x:row>
    <x:row r="833">
      <x:c r="A833" t="n">
        <x:f>Match_Data!A833</x:f>
        <x:v>0</x:v>
      </x:c>
      <x:c r="B833" s="28" t="n">
        <x:f>Match_Data!B833</x:f>
        <x:v>0</x:v>
      </x:c>
      <x:c r="C833" t="n">
        <x:f>Match_Data!C833</x:f>
        <x:v>0</x:v>
      </x:c>
      <x:c r="D833" t="n">
        <x:f>Match_Data!E833</x:f>
        <x:v>0</x:v>
      </x:c>
      <x:c r="E833" t="n">
        <x:f>Match_Data!F833</x:f>
        <x:v>0</x:v>
      </x:c>
      <x:c r="F833" t="n">
        <x:f>Match_Data!AC833</x:f>
        <x:v>0</x:v>
      </x:c>
      <x:c r="G833" t="str">
        <x:f>IF(OR(Match_Data!K833="",Match_Data!L833=""),"",AVERAGE(Match_Data!K833:L833))</x:f>
      </x:c>
      <x:c r="H833" t="str">
        <x:f>IF(OR(Match_Data!M833="",Match_Data!N833=""),"",AVERAGE(Match_Data!M833:N833))</x:f>
      </x:c>
      <x:c r="I833" t="str">
        <x:f>IF(OR(Match_Data!O833="",Match_Data!Q833=""),"",Match_Data!O833+Match_Data!Q833)</x:f>
      </x:c>
      <x:c r="J833" t="str">
        <x:f>IF(OR(Match_Data!P833="",Match_Data!R833=""),"",Match_Data!P833+Match_Data!R833)</x:f>
      </x:c>
      <x:c r="K833" t="str">
        <x:f>IF(OR(Match_Data!S833="",Match_Data!T833=""),"",Match_Data!S833+Match_Data!T833)</x:f>
      </x:c>
      <x:c r="L833" t="str">
        <x:f>IF(OR(Match_Data!U833="",Match_Data!V833=""),"",Match_Data!U833-Match_Data!V833)</x:f>
      </x:c>
      <x:c r="M833" s="32" t="str">
        <x:f>IF(Match_Data!Y833="","",1/Match_Data!Y833)</x:f>
      </x:c>
      <x:c r="N833" s="32" t="str">
        <x:f>IF(Match_Data!AA833="","",1/Match_Data!AA833)</x:f>
      </x:c>
      <x:c r="O833" s="32" t="str">
        <x:f>IF(OR(M833="",N833=""),"",N833-M833)</x:f>
      </x:c>
      <x:c r="P833" t="str">
        <x:f>IF(Match_Data!J833="","",IF(Match_Data!J833="OVER",1,0))</x:f>
      </x:c>
    </x:row>
    <x:row r="834">
      <x:c r="A834" t="n">
        <x:f>Match_Data!A834</x:f>
        <x:v>0</x:v>
      </x:c>
      <x:c r="B834" s="28" t="n">
        <x:f>Match_Data!B834</x:f>
        <x:v>0</x:v>
      </x:c>
      <x:c r="C834" t="n">
        <x:f>Match_Data!C834</x:f>
        <x:v>0</x:v>
      </x:c>
      <x:c r="D834" t="n">
        <x:f>Match_Data!E834</x:f>
        <x:v>0</x:v>
      </x:c>
      <x:c r="E834" t="n">
        <x:f>Match_Data!F834</x:f>
        <x:v>0</x:v>
      </x:c>
      <x:c r="F834" t="n">
        <x:f>Match_Data!AC834</x:f>
        <x:v>0</x:v>
      </x:c>
      <x:c r="G834" t="str">
        <x:f>IF(OR(Match_Data!K834="",Match_Data!L834=""),"",AVERAGE(Match_Data!K834:L834))</x:f>
      </x:c>
      <x:c r="H834" t="str">
        <x:f>IF(OR(Match_Data!M834="",Match_Data!N834=""),"",AVERAGE(Match_Data!M834:N834))</x:f>
      </x:c>
      <x:c r="I834" t="str">
        <x:f>IF(OR(Match_Data!O834="",Match_Data!Q834=""),"",Match_Data!O834+Match_Data!Q834)</x:f>
      </x:c>
      <x:c r="J834" t="str">
        <x:f>IF(OR(Match_Data!P834="",Match_Data!R834=""),"",Match_Data!P834+Match_Data!R834)</x:f>
      </x:c>
      <x:c r="K834" t="str">
        <x:f>IF(OR(Match_Data!S834="",Match_Data!T834=""),"",Match_Data!S834+Match_Data!T834)</x:f>
      </x:c>
      <x:c r="L834" t="str">
        <x:f>IF(OR(Match_Data!U834="",Match_Data!V834=""),"",Match_Data!U834-Match_Data!V834)</x:f>
      </x:c>
      <x:c r="M834" s="32" t="str">
        <x:f>IF(Match_Data!Y834="","",1/Match_Data!Y834)</x:f>
      </x:c>
      <x:c r="N834" s="32" t="str">
        <x:f>IF(Match_Data!AA834="","",1/Match_Data!AA834)</x:f>
      </x:c>
      <x:c r="O834" s="32" t="str">
        <x:f>IF(OR(M834="",N834=""),"",N834-M834)</x:f>
      </x:c>
      <x:c r="P834" t="str">
        <x:f>IF(Match_Data!J834="","",IF(Match_Data!J834="OVER",1,0))</x:f>
      </x:c>
    </x:row>
    <x:row r="835">
      <x:c r="A835" t="n">
        <x:f>Match_Data!A835</x:f>
        <x:v>0</x:v>
      </x:c>
      <x:c r="B835" s="28" t="n">
        <x:f>Match_Data!B835</x:f>
        <x:v>0</x:v>
      </x:c>
      <x:c r="C835" t="n">
        <x:f>Match_Data!C835</x:f>
        <x:v>0</x:v>
      </x:c>
      <x:c r="D835" t="n">
        <x:f>Match_Data!E835</x:f>
        <x:v>0</x:v>
      </x:c>
      <x:c r="E835" t="n">
        <x:f>Match_Data!F835</x:f>
        <x:v>0</x:v>
      </x:c>
      <x:c r="F835" t="n">
        <x:f>Match_Data!AC835</x:f>
        <x:v>0</x:v>
      </x:c>
      <x:c r="G835" t="str">
        <x:f>IF(OR(Match_Data!K835="",Match_Data!L835=""),"",AVERAGE(Match_Data!K835:L835))</x:f>
      </x:c>
      <x:c r="H835" t="str">
        <x:f>IF(OR(Match_Data!M835="",Match_Data!N835=""),"",AVERAGE(Match_Data!M835:N835))</x:f>
      </x:c>
      <x:c r="I835" t="str">
        <x:f>IF(OR(Match_Data!O835="",Match_Data!Q835=""),"",Match_Data!O835+Match_Data!Q835)</x:f>
      </x:c>
      <x:c r="J835" t="str">
        <x:f>IF(OR(Match_Data!P835="",Match_Data!R835=""),"",Match_Data!P835+Match_Data!R835)</x:f>
      </x:c>
      <x:c r="K835" t="str">
        <x:f>IF(OR(Match_Data!S835="",Match_Data!T835=""),"",Match_Data!S835+Match_Data!T835)</x:f>
      </x:c>
      <x:c r="L835" t="str">
        <x:f>IF(OR(Match_Data!U835="",Match_Data!V835=""),"",Match_Data!U835-Match_Data!V835)</x:f>
      </x:c>
      <x:c r="M835" s="32" t="str">
        <x:f>IF(Match_Data!Y835="","",1/Match_Data!Y835)</x:f>
      </x:c>
      <x:c r="N835" s="32" t="str">
        <x:f>IF(Match_Data!AA835="","",1/Match_Data!AA835)</x:f>
      </x:c>
      <x:c r="O835" s="32" t="str">
        <x:f>IF(OR(M835="",N835=""),"",N835-M835)</x:f>
      </x:c>
      <x:c r="P835" t="str">
        <x:f>IF(Match_Data!J835="","",IF(Match_Data!J835="OVER",1,0))</x:f>
      </x:c>
    </x:row>
    <x:row r="836">
      <x:c r="A836" t="n">
        <x:f>Match_Data!A836</x:f>
        <x:v>0</x:v>
      </x:c>
      <x:c r="B836" s="28" t="n">
        <x:f>Match_Data!B836</x:f>
        <x:v>0</x:v>
      </x:c>
      <x:c r="C836" t="n">
        <x:f>Match_Data!C836</x:f>
        <x:v>0</x:v>
      </x:c>
      <x:c r="D836" t="n">
        <x:f>Match_Data!E836</x:f>
        <x:v>0</x:v>
      </x:c>
      <x:c r="E836" t="n">
        <x:f>Match_Data!F836</x:f>
        <x:v>0</x:v>
      </x:c>
      <x:c r="F836" t="n">
        <x:f>Match_Data!AC836</x:f>
        <x:v>0</x:v>
      </x:c>
      <x:c r="G836" t="str">
        <x:f>IF(OR(Match_Data!K836="",Match_Data!L836=""),"",AVERAGE(Match_Data!K836:L836))</x:f>
      </x:c>
      <x:c r="H836" t="str">
        <x:f>IF(OR(Match_Data!M836="",Match_Data!N836=""),"",AVERAGE(Match_Data!M836:N836))</x:f>
      </x:c>
      <x:c r="I836" t="str">
        <x:f>IF(OR(Match_Data!O836="",Match_Data!Q836=""),"",Match_Data!O836+Match_Data!Q836)</x:f>
      </x:c>
      <x:c r="J836" t="str">
        <x:f>IF(OR(Match_Data!P836="",Match_Data!R836=""),"",Match_Data!P836+Match_Data!R836)</x:f>
      </x:c>
      <x:c r="K836" t="str">
        <x:f>IF(OR(Match_Data!S836="",Match_Data!T836=""),"",Match_Data!S836+Match_Data!T836)</x:f>
      </x:c>
      <x:c r="L836" t="str">
        <x:f>IF(OR(Match_Data!U836="",Match_Data!V836=""),"",Match_Data!U836-Match_Data!V836)</x:f>
      </x:c>
      <x:c r="M836" s="32" t="str">
        <x:f>IF(Match_Data!Y836="","",1/Match_Data!Y836)</x:f>
      </x:c>
      <x:c r="N836" s="32" t="str">
        <x:f>IF(Match_Data!AA836="","",1/Match_Data!AA836)</x:f>
      </x:c>
      <x:c r="O836" s="32" t="str">
        <x:f>IF(OR(M836="",N836=""),"",N836-M836)</x:f>
      </x:c>
      <x:c r="P836" t="str">
        <x:f>IF(Match_Data!J836="","",IF(Match_Data!J836="OVER",1,0))</x:f>
      </x:c>
    </x:row>
    <x:row r="837">
      <x:c r="A837" t="n">
        <x:f>Match_Data!A837</x:f>
        <x:v>0</x:v>
      </x:c>
      <x:c r="B837" s="28" t="n">
        <x:f>Match_Data!B837</x:f>
        <x:v>0</x:v>
      </x:c>
      <x:c r="C837" t="n">
        <x:f>Match_Data!C837</x:f>
        <x:v>0</x:v>
      </x:c>
      <x:c r="D837" t="n">
        <x:f>Match_Data!E837</x:f>
        <x:v>0</x:v>
      </x:c>
      <x:c r="E837" t="n">
        <x:f>Match_Data!F837</x:f>
        <x:v>0</x:v>
      </x:c>
      <x:c r="F837" t="n">
        <x:f>Match_Data!AC837</x:f>
        <x:v>0</x:v>
      </x:c>
      <x:c r="G837" t="str">
        <x:f>IF(OR(Match_Data!K837="",Match_Data!L837=""),"",AVERAGE(Match_Data!K837:L837))</x:f>
      </x:c>
      <x:c r="H837" t="str">
        <x:f>IF(OR(Match_Data!M837="",Match_Data!N837=""),"",AVERAGE(Match_Data!M837:N837))</x:f>
      </x:c>
      <x:c r="I837" t="str">
        <x:f>IF(OR(Match_Data!O837="",Match_Data!Q837=""),"",Match_Data!O837+Match_Data!Q837)</x:f>
      </x:c>
      <x:c r="J837" t="str">
        <x:f>IF(OR(Match_Data!P837="",Match_Data!R837=""),"",Match_Data!P837+Match_Data!R837)</x:f>
      </x:c>
      <x:c r="K837" t="str">
        <x:f>IF(OR(Match_Data!S837="",Match_Data!T837=""),"",Match_Data!S837+Match_Data!T837)</x:f>
      </x:c>
      <x:c r="L837" t="str">
        <x:f>IF(OR(Match_Data!U837="",Match_Data!V837=""),"",Match_Data!U837-Match_Data!V837)</x:f>
      </x:c>
      <x:c r="M837" s="32" t="str">
        <x:f>IF(Match_Data!Y837="","",1/Match_Data!Y837)</x:f>
      </x:c>
      <x:c r="N837" s="32" t="str">
        <x:f>IF(Match_Data!AA837="","",1/Match_Data!AA837)</x:f>
      </x:c>
      <x:c r="O837" s="32" t="str">
        <x:f>IF(OR(M837="",N837=""),"",N837-M837)</x:f>
      </x:c>
      <x:c r="P837" t="str">
        <x:f>IF(Match_Data!J837="","",IF(Match_Data!J837="OVER",1,0))</x:f>
      </x:c>
    </x:row>
    <x:row r="838">
      <x:c r="A838" t="n">
        <x:f>Match_Data!A838</x:f>
        <x:v>0</x:v>
      </x:c>
      <x:c r="B838" s="28" t="n">
        <x:f>Match_Data!B838</x:f>
        <x:v>0</x:v>
      </x:c>
      <x:c r="C838" t="n">
        <x:f>Match_Data!C838</x:f>
        <x:v>0</x:v>
      </x:c>
      <x:c r="D838" t="n">
        <x:f>Match_Data!E838</x:f>
        <x:v>0</x:v>
      </x:c>
      <x:c r="E838" t="n">
        <x:f>Match_Data!F838</x:f>
        <x:v>0</x:v>
      </x:c>
      <x:c r="F838" t="n">
        <x:f>Match_Data!AC838</x:f>
        <x:v>0</x:v>
      </x:c>
      <x:c r="G838" t="str">
        <x:f>IF(OR(Match_Data!K838="",Match_Data!L838=""),"",AVERAGE(Match_Data!K838:L838))</x:f>
      </x:c>
      <x:c r="H838" t="str">
        <x:f>IF(OR(Match_Data!M838="",Match_Data!N838=""),"",AVERAGE(Match_Data!M838:N838))</x:f>
      </x:c>
      <x:c r="I838" t="str">
        <x:f>IF(OR(Match_Data!O838="",Match_Data!Q838=""),"",Match_Data!O838+Match_Data!Q838)</x:f>
      </x:c>
      <x:c r="J838" t="str">
        <x:f>IF(OR(Match_Data!P838="",Match_Data!R838=""),"",Match_Data!P838+Match_Data!R838)</x:f>
      </x:c>
      <x:c r="K838" t="str">
        <x:f>IF(OR(Match_Data!S838="",Match_Data!T838=""),"",Match_Data!S838+Match_Data!T838)</x:f>
      </x:c>
      <x:c r="L838" t="str">
        <x:f>IF(OR(Match_Data!U838="",Match_Data!V838=""),"",Match_Data!U838-Match_Data!V838)</x:f>
      </x:c>
      <x:c r="M838" s="32" t="str">
        <x:f>IF(Match_Data!Y838="","",1/Match_Data!Y838)</x:f>
      </x:c>
      <x:c r="N838" s="32" t="str">
        <x:f>IF(Match_Data!AA838="","",1/Match_Data!AA838)</x:f>
      </x:c>
      <x:c r="O838" s="32" t="str">
        <x:f>IF(OR(M838="",N838=""),"",N838-M838)</x:f>
      </x:c>
      <x:c r="P838" t="str">
        <x:f>IF(Match_Data!J838="","",IF(Match_Data!J838="OVER",1,0))</x:f>
      </x:c>
    </x:row>
    <x:row r="839">
      <x:c r="A839" t="n">
        <x:f>Match_Data!A839</x:f>
        <x:v>0</x:v>
      </x:c>
      <x:c r="B839" s="28" t="n">
        <x:f>Match_Data!B839</x:f>
        <x:v>0</x:v>
      </x:c>
      <x:c r="C839" t="n">
        <x:f>Match_Data!C839</x:f>
        <x:v>0</x:v>
      </x:c>
      <x:c r="D839" t="n">
        <x:f>Match_Data!E839</x:f>
        <x:v>0</x:v>
      </x:c>
      <x:c r="E839" t="n">
        <x:f>Match_Data!F839</x:f>
        <x:v>0</x:v>
      </x:c>
      <x:c r="F839" t="n">
        <x:f>Match_Data!AC839</x:f>
        <x:v>0</x:v>
      </x:c>
      <x:c r="G839" t="str">
        <x:f>IF(OR(Match_Data!K839="",Match_Data!L839=""),"",AVERAGE(Match_Data!K839:L839))</x:f>
      </x:c>
      <x:c r="H839" t="str">
        <x:f>IF(OR(Match_Data!M839="",Match_Data!N839=""),"",AVERAGE(Match_Data!M839:N839))</x:f>
      </x:c>
      <x:c r="I839" t="str">
        <x:f>IF(OR(Match_Data!O839="",Match_Data!Q839=""),"",Match_Data!O839+Match_Data!Q839)</x:f>
      </x:c>
      <x:c r="J839" t="str">
        <x:f>IF(OR(Match_Data!P839="",Match_Data!R839=""),"",Match_Data!P839+Match_Data!R839)</x:f>
      </x:c>
      <x:c r="K839" t="str">
        <x:f>IF(OR(Match_Data!S839="",Match_Data!T839=""),"",Match_Data!S839+Match_Data!T839)</x:f>
      </x:c>
      <x:c r="L839" t="str">
        <x:f>IF(OR(Match_Data!U839="",Match_Data!V839=""),"",Match_Data!U839-Match_Data!V839)</x:f>
      </x:c>
      <x:c r="M839" s="32" t="str">
        <x:f>IF(Match_Data!Y839="","",1/Match_Data!Y839)</x:f>
      </x:c>
      <x:c r="N839" s="32" t="str">
        <x:f>IF(Match_Data!AA839="","",1/Match_Data!AA839)</x:f>
      </x:c>
      <x:c r="O839" s="32" t="str">
        <x:f>IF(OR(M839="",N839=""),"",N839-M839)</x:f>
      </x:c>
      <x:c r="P839" t="str">
        <x:f>IF(Match_Data!J839="","",IF(Match_Data!J839="OVER",1,0))</x:f>
      </x:c>
    </x:row>
    <x:row r="840">
      <x:c r="A840" t="n">
        <x:f>Match_Data!A840</x:f>
        <x:v>0</x:v>
      </x:c>
      <x:c r="B840" s="28" t="n">
        <x:f>Match_Data!B840</x:f>
        <x:v>0</x:v>
      </x:c>
      <x:c r="C840" t="n">
        <x:f>Match_Data!C840</x:f>
        <x:v>0</x:v>
      </x:c>
      <x:c r="D840" t="n">
        <x:f>Match_Data!E840</x:f>
        <x:v>0</x:v>
      </x:c>
      <x:c r="E840" t="n">
        <x:f>Match_Data!F840</x:f>
        <x:v>0</x:v>
      </x:c>
      <x:c r="F840" t="n">
        <x:f>Match_Data!AC840</x:f>
        <x:v>0</x:v>
      </x:c>
      <x:c r="G840" t="str">
        <x:f>IF(OR(Match_Data!K840="",Match_Data!L840=""),"",AVERAGE(Match_Data!K840:L840))</x:f>
      </x:c>
      <x:c r="H840" t="str">
        <x:f>IF(OR(Match_Data!M840="",Match_Data!N840=""),"",AVERAGE(Match_Data!M840:N840))</x:f>
      </x:c>
      <x:c r="I840" t="str">
        <x:f>IF(OR(Match_Data!O840="",Match_Data!Q840=""),"",Match_Data!O840+Match_Data!Q840)</x:f>
      </x:c>
      <x:c r="J840" t="str">
        <x:f>IF(OR(Match_Data!P840="",Match_Data!R840=""),"",Match_Data!P840+Match_Data!R840)</x:f>
      </x:c>
      <x:c r="K840" t="str">
        <x:f>IF(OR(Match_Data!S840="",Match_Data!T840=""),"",Match_Data!S840+Match_Data!T840)</x:f>
      </x:c>
      <x:c r="L840" t="str">
        <x:f>IF(OR(Match_Data!U840="",Match_Data!V840=""),"",Match_Data!U840-Match_Data!V840)</x:f>
      </x:c>
      <x:c r="M840" s="32" t="str">
        <x:f>IF(Match_Data!Y840="","",1/Match_Data!Y840)</x:f>
      </x:c>
      <x:c r="N840" s="32" t="str">
        <x:f>IF(Match_Data!AA840="","",1/Match_Data!AA840)</x:f>
      </x:c>
      <x:c r="O840" s="32" t="str">
        <x:f>IF(OR(M840="",N840=""),"",N840-M840)</x:f>
      </x:c>
      <x:c r="P840" t="str">
        <x:f>IF(Match_Data!J840="","",IF(Match_Data!J840="OVER",1,0))</x:f>
      </x:c>
    </x:row>
    <x:row r="841">
      <x:c r="A841" t="n">
        <x:f>Match_Data!A841</x:f>
        <x:v>0</x:v>
      </x:c>
      <x:c r="B841" s="28" t="n">
        <x:f>Match_Data!B841</x:f>
        <x:v>0</x:v>
      </x:c>
      <x:c r="C841" t="n">
        <x:f>Match_Data!C841</x:f>
        <x:v>0</x:v>
      </x:c>
      <x:c r="D841" t="n">
        <x:f>Match_Data!E841</x:f>
        <x:v>0</x:v>
      </x:c>
      <x:c r="E841" t="n">
        <x:f>Match_Data!F841</x:f>
        <x:v>0</x:v>
      </x:c>
      <x:c r="F841" t="n">
        <x:f>Match_Data!AC841</x:f>
        <x:v>0</x:v>
      </x:c>
      <x:c r="G841" t="str">
        <x:f>IF(OR(Match_Data!K841="",Match_Data!L841=""),"",AVERAGE(Match_Data!K841:L841))</x:f>
      </x:c>
      <x:c r="H841" t="str">
        <x:f>IF(OR(Match_Data!M841="",Match_Data!N841=""),"",AVERAGE(Match_Data!M841:N841))</x:f>
      </x:c>
      <x:c r="I841" t="str">
        <x:f>IF(OR(Match_Data!O841="",Match_Data!Q841=""),"",Match_Data!O841+Match_Data!Q841)</x:f>
      </x:c>
      <x:c r="J841" t="str">
        <x:f>IF(OR(Match_Data!P841="",Match_Data!R841=""),"",Match_Data!P841+Match_Data!R841)</x:f>
      </x:c>
      <x:c r="K841" t="str">
        <x:f>IF(OR(Match_Data!S841="",Match_Data!T841=""),"",Match_Data!S841+Match_Data!T841)</x:f>
      </x:c>
      <x:c r="L841" t="str">
        <x:f>IF(OR(Match_Data!U841="",Match_Data!V841=""),"",Match_Data!U841-Match_Data!V841)</x:f>
      </x:c>
      <x:c r="M841" s="32" t="str">
        <x:f>IF(Match_Data!Y841="","",1/Match_Data!Y841)</x:f>
      </x:c>
      <x:c r="N841" s="32" t="str">
        <x:f>IF(Match_Data!AA841="","",1/Match_Data!AA841)</x:f>
      </x:c>
      <x:c r="O841" s="32" t="str">
        <x:f>IF(OR(M841="",N841=""),"",N841-M841)</x:f>
      </x:c>
      <x:c r="P841" t="str">
        <x:f>IF(Match_Data!J841="","",IF(Match_Data!J841="OVER",1,0))</x:f>
      </x:c>
    </x:row>
    <x:row r="842">
      <x:c r="A842" t="n">
        <x:f>Match_Data!A842</x:f>
        <x:v>0</x:v>
      </x:c>
      <x:c r="B842" s="28" t="n">
        <x:f>Match_Data!B842</x:f>
        <x:v>0</x:v>
      </x:c>
      <x:c r="C842" t="n">
        <x:f>Match_Data!C842</x:f>
        <x:v>0</x:v>
      </x:c>
      <x:c r="D842" t="n">
        <x:f>Match_Data!E842</x:f>
        <x:v>0</x:v>
      </x:c>
      <x:c r="E842" t="n">
        <x:f>Match_Data!F842</x:f>
        <x:v>0</x:v>
      </x:c>
      <x:c r="F842" t="n">
        <x:f>Match_Data!AC842</x:f>
        <x:v>0</x:v>
      </x:c>
      <x:c r="G842" t="str">
        <x:f>IF(OR(Match_Data!K842="",Match_Data!L842=""),"",AVERAGE(Match_Data!K842:L842))</x:f>
      </x:c>
      <x:c r="H842" t="str">
        <x:f>IF(OR(Match_Data!M842="",Match_Data!N842=""),"",AVERAGE(Match_Data!M842:N842))</x:f>
      </x:c>
      <x:c r="I842" t="str">
        <x:f>IF(OR(Match_Data!O842="",Match_Data!Q842=""),"",Match_Data!O842+Match_Data!Q842)</x:f>
      </x:c>
      <x:c r="J842" t="str">
        <x:f>IF(OR(Match_Data!P842="",Match_Data!R842=""),"",Match_Data!P842+Match_Data!R842)</x:f>
      </x:c>
      <x:c r="K842" t="str">
        <x:f>IF(OR(Match_Data!S842="",Match_Data!T842=""),"",Match_Data!S842+Match_Data!T842)</x:f>
      </x:c>
      <x:c r="L842" t="str">
        <x:f>IF(OR(Match_Data!U842="",Match_Data!V842=""),"",Match_Data!U842-Match_Data!V842)</x:f>
      </x:c>
      <x:c r="M842" s="32" t="str">
        <x:f>IF(Match_Data!Y842="","",1/Match_Data!Y842)</x:f>
      </x:c>
      <x:c r="N842" s="32" t="str">
        <x:f>IF(Match_Data!AA842="","",1/Match_Data!AA842)</x:f>
      </x:c>
      <x:c r="O842" s="32" t="str">
        <x:f>IF(OR(M842="",N842=""),"",N842-M842)</x:f>
      </x:c>
      <x:c r="P842" t="str">
        <x:f>IF(Match_Data!J842="","",IF(Match_Data!J842="OVER",1,0))</x:f>
      </x:c>
    </x:row>
    <x:row r="843">
      <x:c r="A843" t="n">
        <x:f>Match_Data!A843</x:f>
        <x:v>0</x:v>
      </x:c>
      <x:c r="B843" s="28" t="n">
        <x:f>Match_Data!B843</x:f>
        <x:v>0</x:v>
      </x:c>
      <x:c r="C843" t="n">
        <x:f>Match_Data!C843</x:f>
        <x:v>0</x:v>
      </x:c>
      <x:c r="D843" t="n">
        <x:f>Match_Data!E843</x:f>
        <x:v>0</x:v>
      </x:c>
      <x:c r="E843" t="n">
        <x:f>Match_Data!F843</x:f>
        <x:v>0</x:v>
      </x:c>
      <x:c r="F843" t="n">
        <x:f>Match_Data!AC843</x:f>
        <x:v>0</x:v>
      </x:c>
      <x:c r="G843" t="str">
        <x:f>IF(OR(Match_Data!K843="",Match_Data!L843=""),"",AVERAGE(Match_Data!K843:L843))</x:f>
      </x:c>
      <x:c r="H843" t="str">
        <x:f>IF(OR(Match_Data!M843="",Match_Data!N843=""),"",AVERAGE(Match_Data!M843:N843))</x:f>
      </x:c>
      <x:c r="I843" t="str">
        <x:f>IF(OR(Match_Data!O843="",Match_Data!Q843=""),"",Match_Data!O843+Match_Data!Q843)</x:f>
      </x:c>
      <x:c r="J843" t="str">
        <x:f>IF(OR(Match_Data!P843="",Match_Data!R843=""),"",Match_Data!P843+Match_Data!R843)</x:f>
      </x:c>
      <x:c r="K843" t="str">
        <x:f>IF(OR(Match_Data!S843="",Match_Data!T843=""),"",Match_Data!S843+Match_Data!T843)</x:f>
      </x:c>
      <x:c r="L843" t="str">
        <x:f>IF(OR(Match_Data!U843="",Match_Data!V843=""),"",Match_Data!U843-Match_Data!V843)</x:f>
      </x:c>
      <x:c r="M843" s="32" t="str">
        <x:f>IF(Match_Data!Y843="","",1/Match_Data!Y843)</x:f>
      </x:c>
      <x:c r="N843" s="32" t="str">
        <x:f>IF(Match_Data!AA843="","",1/Match_Data!AA843)</x:f>
      </x:c>
      <x:c r="O843" s="32" t="str">
        <x:f>IF(OR(M843="",N843=""),"",N843-M843)</x:f>
      </x:c>
      <x:c r="P843" t="str">
        <x:f>IF(Match_Data!J843="","",IF(Match_Data!J843="OVER",1,0))</x:f>
      </x:c>
    </x:row>
    <x:row r="844">
      <x:c r="A844" t="n">
        <x:f>Match_Data!A844</x:f>
        <x:v>0</x:v>
      </x:c>
      <x:c r="B844" s="28" t="n">
        <x:f>Match_Data!B844</x:f>
        <x:v>0</x:v>
      </x:c>
      <x:c r="C844" t="n">
        <x:f>Match_Data!C844</x:f>
        <x:v>0</x:v>
      </x:c>
      <x:c r="D844" t="n">
        <x:f>Match_Data!E844</x:f>
        <x:v>0</x:v>
      </x:c>
      <x:c r="E844" t="n">
        <x:f>Match_Data!F844</x:f>
        <x:v>0</x:v>
      </x:c>
      <x:c r="F844" t="n">
        <x:f>Match_Data!AC844</x:f>
        <x:v>0</x:v>
      </x:c>
      <x:c r="G844" t="str">
        <x:f>IF(OR(Match_Data!K844="",Match_Data!L844=""),"",AVERAGE(Match_Data!K844:L844))</x:f>
      </x:c>
      <x:c r="H844" t="str">
        <x:f>IF(OR(Match_Data!M844="",Match_Data!N844=""),"",AVERAGE(Match_Data!M844:N844))</x:f>
      </x:c>
      <x:c r="I844" t="str">
        <x:f>IF(OR(Match_Data!O844="",Match_Data!Q844=""),"",Match_Data!O844+Match_Data!Q844)</x:f>
      </x:c>
      <x:c r="J844" t="str">
        <x:f>IF(OR(Match_Data!P844="",Match_Data!R844=""),"",Match_Data!P844+Match_Data!R844)</x:f>
      </x:c>
      <x:c r="K844" t="str">
        <x:f>IF(OR(Match_Data!S844="",Match_Data!T844=""),"",Match_Data!S844+Match_Data!T844)</x:f>
      </x:c>
      <x:c r="L844" t="str">
        <x:f>IF(OR(Match_Data!U844="",Match_Data!V844=""),"",Match_Data!U844-Match_Data!V844)</x:f>
      </x:c>
      <x:c r="M844" s="32" t="str">
        <x:f>IF(Match_Data!Y844="","",1/Match_Data!Y844)</x:f>
      </x:c>
      <x:c r="N844" s="32" t="str">
        <x:f>IF(Match_Data!AA844="","",1/Match_Data!AA844)</x:f>
      </x:c>
      <x:c r="O844" s="32" t="str">
        <x:f>IF(OR(M844="",N844=""),"",N844-M844)</x:f>
      </x:c>
      <x:c r="P844" t="str">
        <x:f>IF(Match_Data!J844="","",IF(Match_Data!J844="OVER",1,0))</x:f>
      </x:c>
    </x:row>
    <x:row r="845">
      <x:c r="A845" t="n">
        <x:f>Match_Data!A845</x:f>
        <x:v>0</x:v>
      </x:c>
      <x:c r="B845" s="28" t="n">
        <x:f>Match_Data!B845</x:f>
        <x:v>0</x:v>
      </x:c>
      <x:c r="C845" t="n">
        <x:f>Match_Data!C845</x:f>
        <x:v>0</x:v>
      </x:c>
      <x:c r="D845" t="n">
        <x:f>Match_Data!E845</x:f>
        <x:v>0</x:v>
      </x:c>
      <x:c r="E845" t="n">
        <x:f>Match_Data!F845</x:f>
        <x:v>0</x:v>
      </x:c>
      <x:c r="F845" t="n">
        <x:f>Match_Data!AC845</x:f>
        <x:v>0</x:v>
      </x:c>
      <x:c r="G845" t="str">
        <x:f>IF(OR(Match_Data!K845="",Match_Data!L845=""),"",AVERAGE(Match_Data!K845:L845))</x:f>
      </x:c>
      <x:c r="H845" t="str">
        <x:f>IF(OR(Match_Data!M845="",Match_Data!N845=""),"",AVERAGE(Match_Data!M845:N845))</x:f>
      </x:c>
      <x:c r="I845" t="str">
        <x:f>IF(OR(Match_Data!O845="",Match_Data!Q845=""),"",Match_Data!O845+Match_Data!Q845)</x:f>
      </x:c>
      <x:c r="J845" t="str">
        <x:f>IF(OR(Match_Data!P845="",Match_Data!R845=""),"",Match_Data!P845+Match_Data!R845)</x:f>
      </x:c>
      <x:c r="K845" t="str">
        <x:f>IF(OR(Match_Data!S845="",Match_Data!T845=""),"",Match_Data!S845+Match_Data!T845)</x:f>
      </x:c>
      <x:c r="L845" t="str">
        <x:f>IF(OR(Match_Data!U845="",Match_Data!V845=""),"",Match_Data!U845-Match_Data!V845)</x:f>
      </x:c>
      <x:c r="M845" s="32" t="str">
        <x:f>IF(Match_Data!Y845="","",1/Match_Data!Y845)</x:f>
      </x:c>
      <x:c r="N845" s="32" t="str">
        <x:f>IF(Match_Data!AA845="","",1/Match_Data!AA845)</x:f>
      </x:c>
      <x:c r="O845" s="32" t="str">
        <x:f>IF(OR(M845="",N845=""),"",N845-M845)</x:f>
      </x:c>
      <x:c r="P845" t="str">
        <x:f>IF(Match_Data!J845="","",IF(Match_Data!J845="OVER",1,0))</x:f>
      </x:c>
    </x:row>
    <x:row r="846">
      <x:c r="A846" t="n">
        <x:f>Match_Data!A846</x:f>
        <x:v>0</x:v>
      </x:c>
      <x:c r="B846" s="28" t="n">
        <x:f>Match_Data!B846</x:f>
        <x:v>0</x:v>
      </x:c>
      <x:c r="C846" t="n">
        <x:f>Match_Data!C846</x:f>
        <x:v>0</x:v>
      </x:c>
      <x:c r="D846" t="n">
        <x:f>Match_Data!E846</x:f>
        <x:v>0</x:v>
      </x:c>
      <x:c r="E846" t="n">
        <x:f>Match_Data!F846</x:f>
        <x:v>0</x:v>
      </x:c>
      <x:c r="F846" t="n">
        <x:f>Match_Data!AC846</x:f>
        <x:v>0</x:v>
      </x:c>
      <x:c r="G846" t="str">
        <x:f>IF(OR(Match_Data!K846="",Match_Data!L846=""),"",AVERAGE(Match_Data!K846:L846))</x:f>
      </x:c>
      <x:c r="H846" t="str">
        <x:f>IF(OR(Match_Data!M846="",Match_Data!N846=""),"",AVERAGE(Match_Data!M846:N846))</x:f>
      </x:c>
      <x:c r="I846" t="str">
        <x:f>IF(OR(Match_Data!O846="",Match_Data!Q846=""),"",Match_Data!O846+Match_Data!Q846)</x:f>
      </x:c>
      <x:c r="J846" t="str">
        <x:f>IF(OR(Match_Data!P846="",Match_Data!R846=""),"",Match_Data!P846+Match_Data!R846)</x:f>
      </x:c>
      <x:c r="K846" t="str">
        <x:f>IF(OR(Match_Data!S846="",Match_Data!T846=""),"",Match_Data!S846+Match_Data!T846)</x:f>
      </x:c>
      <x:c r="L846" t="str">
        <x:f>IF(OR(Match_Data!U846="",Match_Data!V846=""),"",Match_Data!U846-Match_Data!V846)</x:f>
      </x:c>
      <x:c r="M846" s="32" t="str">
        <x:f>IF(Match_Data!Y846="","",1/Match_Data!Y846)</x:f>
      </x:c>
      <x:c r="N846" s="32" t="str">
        <x:f>IF(Match_Data!AA846="","",1/Match_Data!AA846)</x:f>
      </x:c>
      <x:c r="O846" s="32" t="str">
        <x:f>IF(OR(M846="",N846=""),"",N846-M846)</x:f>
      </x:c>
      <x:c r="P846" t="str">
        <x:f>IF(Match_Data!J846="","",IF(Match_Data!J846="OVER",1,0))</x:f>
      </x:c>
    </x:row>
    <x:row r="847">
      <x:c r="A847" t="n">
        <x:f>Match_Data!A847</x:f>
        <x:v>0</x:v>
      </x:c>
      <x:c r="B847" s="28" t="n">
        <x:f>Match_Data!B847</x:f>
        <x:v>0</x:v>
      </x:c>
      <x:c r="C847" t="n">
        <x:f>Match_Data!C847</x:f>
        <x:v>0</x:v>
      </x:c>
      <x:c r="D847" t="n">
        <x:f>Match_Data!E847</x:f>
        <x:v>0</x:v>
      </x:c>
      <x:c r="E847" t="n">
        <x:f>Match_Data!F847</x:f>
        <x:v>0</x:v>
      </x:c>
      <x:c r="F847" t="n">
        <x:f>Match_Data!AC847</x:f>
        <x:v>0</x:v>
      </x:c>
      <x:c r="G847" t="str">
        <x:f>IF(OR(Match_Data!K847="",Match_Data!L847=""),"",AVERAGE(Match_Data!K847:L847))</x:f>
      </x:c>
      <x:c r="H847" t="str">
        <x:f>IF(OR(Match_Data!M847="",Match_Data!N847=""),"",AVERAGE(Match_Data!M847:N847))</x:f>
      </x:c>
      <x:c r="I847" t="str">
        <x:f>IF(OR(Match_Data!O847="",Match_Data!Q847=""),"",Match_Data!O847+Match_Data!Q847)</x:f>
      </x:c>
      <x:c r="J847" t="str">
        <x:f>IF(OR(Match_Data!P847="",Match_Data!R847=""),"",Match_Data!P847+Match_Data!R847)</x:f>
      </x:c>
      <x:c r="K847" t="str">
        <x:f>IF(OR(Match_Data!S847="",Match_Data!T847=""),"",Match_Data!S847+Match_Data!T847)</x:f>
      </x:c>
      <x:c r="L847" t="str">
        <x:f>IF(OR(Match_Data!U847="",Match_Data!V847=""),"",Match_Data!U847-Match_Data!V847)</x:f>
      </x:c>
      <x:c r="M847" s="32" t="str">
        <x:f>IF(Match_Data!Y847="","",1/Match_Data!Y847)</x:f>
      </x:c>
      <x:c r="N847" s="32" t="str">
        <x:f>IF(Match_Data!AA847="","",1/Match_Data!AA847)</x:f>
      </x:c>
      <x:c r="O847" s="32" t="str">
        <x:f>IF(OR(M847="",N847=""),"",N847-M847)</x:f>
      </x:c>
      <x:c r="P847" t="str">
        <x:f>IF(Match_Data!J847="","",IF(Match_Data!J847="OVER",1,0))</x:f>
      </x:c>
    </x:row>
    <x:row r="848">
      <x:c r="A848" t="n">
        <x:f>Match_Data!A848</x:f>
        <x:v>0</x:v>
      </x:c>
      <x:c r="B848" s="28" t="n">
        <x:f>Match_Data!B848</x:f>
        <x:v>0</x:v>
      </x:c>
      <x:c r="C848" t="n">
        <x:f>Match_Data!C848</x:f>
        <x:v>0</x:v>
      </x:c>
      <x:c r="D848" t="n">
        <x:f>Match_Data!E848</x:f>
        <x:v>0</x:v>
      </x:c>
      <x:c r="E848" t="n">
        <x:f>Match_Data!F848</x:f>
        <x:v>0</x:v>
      </x:c>
      <x:c r="F848" t="n">
        <x:f>Match_Data!AC848</x:f>
        <x:v>0</x:v>
      </x:c>
      <x:c r="G848" t="str">
        <x:f>IF(OR(Match_Data!K848="",Match_Data!L848=""),"",AVERAGE(Match_Data!K848:L848))</x:f>
      </x:c>
      <x:c r="H848" t="str">
        <x:f>IF(OR(Match_Data!M848="",Match_Data!N848=""),"",AVERAGE(Match_Data!M848:N848))</x:f>
      </x:c>
      <x:c r="I848" t="str">
        <x:f>IF(OR(Match_Data!O848="",Match_Data!Q848=""),"",Match_Data!O848+Match_Data!Q848)</x:f>
      </x:c>
      <x:c r="J848" t="str">
        <x:f>IF(OR(Match_Data!P848="",Match_Data!R848=""),"",Match_Data!P848+Match_Data!R848)</x:f>
      </x:c>
      <x:c r="K848" t="str">
        <x:f>IF(OR(Match_Data!S848="",Match_Data!T848=""),"",Match_Data!S848+Match_Data!T848)</x:f>
      </x:c>
      <x:c r="L848" t="str">
        <x:f>IF(OR(Match_Data!U848="",Match_Data!V848=""),"",Match_Data!U848-Match_Data!V848)</x:f>
      </x:c>
      <x:c r="M848" s="32" t="str">
        <x:f>IF(Match_Data!Y848="","",1/Match_Data!Y848)</x:f>
      </x:c>
      <x:c r="N848" s="32" t="str">
        <x:f>IF(Match_Data!AA848="","",1/Match_Data!AA848)</x:f>
      </x:c>
      <x:c r="O848" s="32" t="str">
        <x:f>IF(OR(M848="",N848=""),"",N848-M848)</x:f>
      </x:c>
      <x:c r="P848" t="str">
        <x:f>IF(Match_Data!J848="","",IF(Match_Data!J848="OVER",1,0))</x:f>
      </x:c>
    </x:row>
    <x:row r="849">
      <x:c r="A849" t="n">
        <x:f>Match_Data!A849</x:f>
        <x:v>0</x:v>
      </x:c>
      <x:c r="B849" s="28" t="n">
        <x:f>Match_Data!B849</x:f>
        <x:v>0</x:v>
      </x:c>
      <x:c r="C849" t="n">
        <x:f>Match_Data!C849</x:f>
        <x:v>0</x:v>
      </x:c>
      <x:c r="D849" t="n">
        <x:f>Match_Data!E849</x:f>
        <x:v>0</x:v>
      </x:c>
      <x:c r="E849" t="n">
        <x:f>Match_Data!F849</x:f>
        <x:v>0</x:v>
      </x:c>
      <x:c r="F849" t="n">
        <x:f>Match_Data!AC849</x:f>
        <x:v>0</x:v>
      </x:c>
      <x:c r="G849" t="str">
        <x:f>IF(OR(Match_Data!K849="",Match_Data!L849=""),"",AVERAGE(Match_Data!K849:L849))</x:f>
      </x:c>
      <x:c r="H849" t="str">
        <x:f>IF(OR(Match_Data!M849="",Match_Data!N849=""),"",AVERAGE(Match_Data!M849:N849))</x:f>
      </x:c>
      <x:c r="I849" t="str">
        <x:f>IF(OR(Match_Data!O849="",Match_Data!Q849=""),"",Match_Data!O849+Match_Data!Q849)</x:f>
      </x:c>
      <x:c r="J849" t="str">
        <x:f>IF(OR(Match_Data!P849="",Match_Data!R849=""),"",Match_Data!P849+Match_Data!R849)</x:f>
      </x:c>
      <x:c r="K849" t="str">
        <x:f>IF(OR(Match_Data!S849="",Match_Data!T849=""),"",Match_Data!S849+Match_Data!T849)</x:f>
      </x:c>
      <x:c r="L849" t="str">
        <x:f>IF(OR(Match_Data!U849="",Match_Data!V849=""),"",Match_Data!U849-Match_Data!V849)</x:f>
      </x:c>
      <x:c r="M849" s="32" t="str">
        <x:f>IF(Match_Data!Y849="","",1/Match_Data!Y849)</x:f>
      </x:c>
      <x:c r="N849" s="32" t="str">
        <x:f>IF(Match_Data!AA849="","",1/Match_Data!AA849)</x:f>
      </x:c>
      <x:c r="O849" s="32" t="str">
        <x:f>IF(OR(M849="",N849=""),"",N849-M849)</x:f>
      </x:c>
      <x:c r="P849" t="str">
        <x:f>IF(Match_Data!J849="","",IF(Match_Data!J849="OVER",1,0))</x:f>
      </x:c>
    </x:row>
    <x:row r="850">
      <x:c r="A850" t="n">
        <x:f>Match_Data!A850</x:f>
        <x:v>0</x:v>
      </x:c>
      <x:c r="B850" s="28" t="n">
        <x:f>Match_Data!B850</x:f>
        <x:v>0</x:v>
      </x:c>
      <x:c r="C850" t="n">
        <x:f>Match_Data!C850</x:f>
        <x:v>0</x:v>
      </x:c>
      <x:c r="D850" t="n">
        <x:f>Match_Data!E850</x:f>
        <x:v>0</x:v>
      </x:c>
      <x:c r="E850" t="n">
        <x:f>Match_Data!F850</x:f>
        <x:v>0</x:v>
      </x:c>
      <x:c r="F850" t="n">
        <x:f>Match_Data!AC850</x:f>
        <x:v>0</x:v>
      </x:c>
      <x:c r="G850" t="str">
        <x:f>IF(OR(Match_Data!K850="",Match_Data!L850=""),"",AVERAGE(Match_Data!K850:L850))</x:f>
      </x:c>
      <x:c r="H850" t="str">
        <x:f>IF(OR(Match_Data!M850="",Match_Data!N850=""),"",AVERAGE(Match_Data!M850:N850))</x:f>
      </x:c>
      <x:c r="I850" t="str">
        <x:f>IF(OR(Match_Data!O850="",Match_Data!Q850=""),"",Match_Data!O850+Match_Data!Q850)</x:f>
      </x:c>
      <x:c r="J850" t="str">
        <x:f>IF(OR(Match_Data!P850="",Match_Data!R850=""),"",Match_Data!P850+Match_Data!R850)</x:f>
      </x:c>
      <x:c r="K850" t="str">
        <x:f>IF(OR(Match_Data!S850="",Match_Data!T850=""),"",Match_Data!S850+Match_Data!T850)</x:f>
      </x:c>
      <x:c r="L850" t="str">
        <x:f>IF(OR(Match_Data!U850="",Match_Data!V850=""),"",Match_Data!U850-Match_Data!V850)</x:f>
      </x:c>
      <x:c r="M850" s="32" t="str">
        <x:f>IF(Match_Data!Y850="","",1/Match_Data!Y850)</x:f>
      </x:c>
      <x:c r="N850" s="32" t="str">
        <x:f>IF(Match_Data!AA850="","",1/Match_Data!AA850)</x:f>
      </x:c>
      <x:c r="O850" s="32" t="str">
        <x:f>IF(OR(M850="",N850=""),"",N850-M850)</x:f>
      </x:c>
      <x:c r="P850" t="str">
        <x:f>IF(Match_Data!J850="","",IF(Match_Data!J850="OVER",1,0))</x:f>
      </x:c>
    </x:row>
    <x:row r="851">
      <x:c r="A851" t="n">
        <x:f>Match_Data!A851</x:f>
        <x:v>0</x:v>
      </x:c>
      <x:c r="B851" s="28" t="n">
        <x:f>Match_Data!B851</x:f>
        <x:v>0</x:v>
      </x:c>
      <x:c r="C851" t="n">
        <x:f>Match_Data!C851</x:f>
        <x:v>0</x:v>
      </x:c>
      <x:c r="D851" t="n">
        <x:f>Match_Data!E851</x:f>
        <x:v>0</x:v>
      </x:c>
      <x:c r="E851" t="n">
        <x:f>Match_Data!F851</x:f>
        <x:v>0</x:v>
      </x:c>
      <x:c r="F851" t="n">
        <x:f>Match_Data!AC851</x:f>
        <x:v>0</x:v>
      </x:c>
      <x:c r="G851" t="str">
        <x:f>IF(OR(Match_Data!K851="",Match_Data!L851=""),"",AVERAGE(Match_Data!K851:L851))</x:f>
      </x:c>
      <x:c r="H851" t="str">
        <x:f>IF(OR(Match_Data!M851="",Match_Data!N851=""),"",AVERAGE(Match_Data!M851:N851))</x:f>
      </x:c>
      <x:c r="I851" t="str">
        <x:f>IF(OR(Match_Data!O851="",Match_Data!Q851=""),"",Match_Data!O851+Match_Data!Q851)</x:f>
      </x:c>
      <x:c r="J851" t="str">
        <x:f>IF(OR(Match_Data!P851="",Match_Data!R851=""),"",Match_Data!P851+Match_Data!R851)</x:f>
      </x:c>
      <x:c r="K851" t="str">
        <x:f>IF(OR(Match_Data!S851="",Match_Data!T851=""),"",Match_Data!S851+Match_Data!T851)</x:f>
      </x:c>
      <x:c r="L851" t="str">
        <x:f>IF(OR(Match_Data!U851="",Match_Data!V851=""),"",Match_Data!U851-Match_Data!V851)</x:f>
      </x:c>
      <x:c r="M851" s="32" t="str">
        <x:f>IF(Match_Data!Y851="","",1/Match_Data!Y851)</x:f>
      </x:c>
      <x:c r="N851" s="32" t="str">
        <x:f>IF(Match_Data!AA851="","",1/Match_Data!AA851)</x:f>
      </x:c>
      <x:c r="O851" s="32" t="str">
        <x:f>IF(OR(M851="",N851=""),"",N851-M851)</x:f>
      </x:c>
      <x:c r="P851" t="str">
        <x:f>IF(Match_Data!J851="","",IF(Match_Data!J851="OVER",1,0))</x:f>
      </x:c>
    </x:row>
    <x:row r="852">
      <x:c r="A852" t="n">
        <x:f>Match_Data!A852</x:f>
        <x:v>0</x:v>
      </x:c>
      <x:c r="B852" s="28" t="n">
        <x:f>Match_Data!B852</x:f>
        <x:v>0</x:v>
      </x:c>
      <x:c r="C852" t="n">
        <x:f>Match_Data!C852</x:f>
        <x:v>0</x:v>
      </x:c>
      <x:c r="D852" t="n">
        <x:f>Match_Data!E852</x:f>
        <x:v>0</x:v>
      </x:c>
      <x:c r="E852" t="n">
        <x:f>Match_Data!F852</x:f>
        <x:v>0</x:v>
      </x:c>
      <x:c r="F852" t="n">
        <x:f>Match_Data!AC852</x:f>
        <x:v>0</x:v>
      </x:c>
      <x:c r="G852" t="str">
        <x:f>IF(OR(Match_Data!K852="",Match_Data!L852=""),"",AVERAGE(Match_Data!K852:L852))</x:f>
      </x:c>
      <x:c r="H852" t="str">
        <x:f>IF(OR(Match_Data!M852="",Match_Data!N852=""),"",AVERAGE(Match_Data!M852:N852))</x:f>
      </x:c>
      <x:c r="I852" t="str">
        <x:f>IF(OR(Match_Data!O852="",Match_Data!Q852=""),"",Match_Data!O852+Match_Data!Q852)</x:f>
      </x:c>
      <x:c r="J852" t="str">
        <x:f>IF(OR(Match_Data!P852="",Match_Data!R852=""),"",Match_Data!P852+Match_Data!R852)</x:f>
      </x:c>
      <x:c r="K852" t="str">
        <x:f>IF(OR(Match_Data!S852="",Match_Data!T852=""),"",Match_Data!S852+Match_Data!T852)</x:f>
      </x:c>
      <x:c r="L852" t="str">
        <x:f>IF(OR(Match_Data!U852="",Match_Data!V852=""),"",Match_Data!U852-Match_Data!V852)</x:f>
      </x:c>
      <x:c r="M852" s="32" t="str">
        <x:f>IF(Match_Data!Y852="","",1/Match_Data!Y852)</x:f>
      </x:c>
      <x:c r="N852" s="32" t="str">
        <x:f>IF(Match_Data!AA852="","",1/Match_Data!AA852)</x:f>
      </x:c>
      <x:c r="O852" s="32" t="str">
        <x:f>IF(OR(M852="",N852=""),"",N852-M852)</x:f>
      </x:c>
      <x:c r="P852" t="str">
        <x:f>IF(Match_Data!J852="","",IF(Match_Data!J852="OVER",1,0))</x:f>
      </x:c>
    </x:row>
    <x:row r="853">
      <x:c r="A853" t="n">
        <x:f>Match_Data!A853</x:f>
        <x:v>0</x:v>
      </x:c>
      <x:c r="B853" s="28" t="n">
        <x:f>Match_Data!B853</x:f>
        <x:v>0</x:v>
      </x:c>
      <x:c r="C853" t="n">
        <x:f>Match_Data!C853</x:f>
        <x:v>0</x:v>
      </x:c>
      <x:c r="D853" t="n">
        <x:f>Match_Data!E853</x:f>
        <x:v>0</x:v>
      </x:c>
      <x:c r="E853" t="n">
        <x:f>Match_Data!F853</x:f>
        <x:v>0</x:v>
      </x:c>
      <x:c r="F853" t="n">
        <x:f>Match_Data!AC853</x:f>
        <x:v>0</x:v>
      </x:c>
      <x:c r="G853" t="str">
        <x:f>IF(OR(Match_Data!K853="",Match_Data!L853=""),"",AVERAGE(Match_Data!K853:L853))</x:f>
      </x:c>
      <x:c r="H853" t="str">
        <x:f>IF(OR(Match_Data!M853="",Match_Data!N853=""),"",AVERAGE(Match_Data!M853:N853))</x:f>
      </x:c>
      <x:c r="I853" t="str">
        <x:f>IF(OR(Match_Data!O853="",Match_Data!Q853=""),"",Match_Data!O853+Match_Data!Q853)</x:f>
      </x:c>
      <x:c r="J853" t="str">
        <x:f>IF(OR(Match_Data!P853="",Match_Data!R853=""),"",Match_Data!P853+Match_Data!R853)</x:f>
      </x:c>
      <x:c r="K853" t="str">
        <x:f>IF(OR(Match_Data!S853="",Match_Data!T853=""),"",Match_Data!S853+Match_Data!T853)</x:f>
      </x:c>
      <x:c r="L853" t="str">
        <x:f>IF(OR(Match_Data!U853="",Match_Data!V853=""),"",Match_Data!U853-Match_Data!V853)</x:f>
      </x:c>
      <x:c r="M853" s="32" t="str">
        <x:f>IF(Match_Data!Y853="","",1/Match_Data!Y853)</x:f>
      </x:c>
      <x:c r="N853" s="32" t="str">
        <x:f>IF(Match_Data!AA853="","",1/Match_Data!AA853)</x:f>
      </x:c>
      <x:c r="O853" s="32" t="str">
        <x:f>IF(OR(M853="",N853=""),"",N853-M853)</x:f>
      </x:c>
      <x:c r="P853" t="str">
        <x:f>IF(Match_Data!J853="","",IF(Match_Data!J853="OVER",1,0))</x:f>
      </x:c>
    </x:row>
    <x:row r="854">
      <x:c r="A854" t="n">
        <x:f>Match_Data!A854</x:f>
        <x:v>0</x:v>
      </x:c>
      <x:c r="B854" s="28" t="n">
        <x:f>Match_Data!B854</x:f>
        <x:v>0</x:v>
      </x:c>
      <x:c r="C854" t="n">
        <x:f>Match_Data!C854</x:f>
        <x:v>0</x:v>
      </x:c>
      <x:c r="D854" t="n">
        <x:f>Match_Data!E854</x:f>
        <x:v>0</x:v>
      </x:c>
      <x:c r="E854" t="n">
        <x:f>Match_Data!F854</x:f>
        <x:v>0</x:v>
      </x:c>
      <x:c r="F854" t="n">
        <x:f>Match_Data!AC854</x:f>
        <x:v>0</x:v>
      </x:c>
      <x:c r="G854" t="str">
        <x:f>IF(OR(Match_Data!K854="",Match_Data!L854=""),"",AVERAGE(Match_Data!K854:L854))</x:f>
      </x:c>
      <x:c r="H854" t="str">
        <x:f>IF(OR(Match_Data!M854="",Match_Data!N854=""),"",AVERAGE(Match_Data!M854:N854))</x:f>
      </x:c>
      <x:c r="I854" t="str">
        <x:f>IF(OR(Match_Data!O854="",Match_Data!Q854=""),"",Match_Data!O854+Match_Data!Q854)</x:f>
      </x:c>
      <x:c r="J854" t="str">
        <x:f>IF(OR(Match_Data!P854="",Match_Data!R854=""),"",Match_Data!P854+Match_Data!R854)</x:f>
      </x:c>
      <x:c r="K854" t="str">
        <x:f>IF(OR(Match_Data!S854="",Match_Data!T854=""),"",Match_Data!S854+Match_Data!T854)</x:f>
      </x:c>
      <x:c r="L854" t="str">
        <x:f>IF(OR(Match_Data!U854="",Match_Data!V854=""),"",Match_Data!U854-Match_Data!V854)</x:f>
      </x:c>
      <x:c r="M854" s="32" t="str">
        <x:f>IF(Match_Data!Y854="","",1/Match_Data!Y854)</x:f>
      </x:c>
      <x:c r="N854" s="32" t="str">
        <x:f>IF(Match_Data!AA854="","",1/Match_Data!AA854)</x:f>
      </x:c>
      <x:c r="O854" s="32" t="str">
        <x:f>IF(OR(M854="",N854=""),"",N854-M854)</x:f>
      </x:c>
      <x:c r="P854" t="str">
        <x:f>IF(Match_Data!J854="","",IF(Match_Data!J854="OVER",1,0))</x:f>
      </x:c>
    </x:row>
    <x:row r="855">
      <x:c r="A855" t="n">
        <x:f>Match_Data!A855</x:f>
        <x:v>0</x:v>
      </x:c>
      <x:c r="B855" s="28" t="n">
        <x:f>Match_Data!B855</x:f>
        <x:v>0</x:v>
      </x:c>
      <x:c r="C855" t="n">
        <x:f>Match_Data!C855</x:f>
        <x:v>0</x:v>
      </x:c>
      <x:c r="D855" t="n">
        <x:f>Match_Data!E855</x:f>
        <x:v>0</x:v>
      </x:c>
      <x:c r="E855" t="n">
        <x:f>Match_Data!F855</x:f>
        <x:v>0</x:v>
      </x:c>
      <x:c r="F855" t="n">
        <x:f>Match_Data!AC855</x:f>
        <x:v>0</x:v>
      </x:c>
      <x:c r="G855" t="str">
        <x:f>IF(OR(Match_Data!K855="",Match_Data!L855=""),"",AVERAGE(Match_Data!K855:L855))</x:f>
      </x:c>
      <x:c r="H855" t="str">
        <x:f>IF(OR(Match_Data!M855="",Match_Data!N855=""),"",AVERAGE(Match_Data!M855:N855))</x:f>
      </x:c>
      <x:c r="I855" t="str">
        <x:f>IF(OR(Match_Data!O855="",Match_Data!Q855=""),"",Match_Data!O855+Match_Data!Q855)</x:f>
      </x:c>
      <x:c r="J855" t="str">
        <x:f>IF(OR(Match_Data!P855="",Match_Data!R855=""),"",Match_Data!P855+Match_Data!R855)</x:f>
      </x:c>
      <x:c r="K855" t="str">
        <x:f>IF(OR(Match_Data!S855="",Match_Data!T855=""),"",Match_Data!S855+Match_Data!T855)</x:f>
      </x:c>
      <x:c r="L855" t="str">
        <x:f>IF(OR(Match_Data!U855="",Match_Data!V855=""),"",Match_Data!U855-Match_Data!V855)</x:f>
      </x:c>
      <x:c r="M855" s="32" t="str">
        <x:f>IF(Match_Data!Y855="","",1/Match_Data!Y855)</x:f>
      </x:c>
      <x:c r="N855" s="32" t="str">
        <x:f>IF(Match_Data!AA855="","",1/Match_Data!AA855)</x:f>
      </x:c>
      <x:c r="O855" s="32" t="str">
        <x:f>IF(OR(M855="",N855=""),"",N855-M855)</x:f>
      </x:c>
      <x:c r="P855" t="str">
        <x:f>IF(Match_Data!J855="","",IF(Match_Data!J855="OVER",1,0))</x:f>
      </x:c>
    </x:row>
    <x:row r="856">
      <x:c r="A856" t="n">
        <x:f>Match_Data!A856</x:f>
        <x:v>0</x:v>
      </x:c>
      <x:c r="B856" s="28" t="n">
        <x:f>Match_Data!B856</x:f>
        <x:v>0</x:v>
      </x:c>
      <x:c r="C856" t="n">
        <x:f>Match_Data!C856</x:f>
        <x:v>0</x:v>
      </x:c>
      <x:c r="D856" t="n">
        <x:f>Match_Data!E856</x:f>
        <x:v>0</x:v>
      </x:c>
      <x:c r="E856" t="n">
        <x:f>Match_Data!F856</x:f>
        <x:v>0</x:v>
      </x:c>
      <x:c r="F856" t="n">
        <x:f>Match_Data!AC856</x:f>
        <x:v>0</x:v>
      </x:c>
      <x:c r="G856" t="str">
        <x:f>IF(OR(Match_Data!K856="",Match_Data!L856=""),"",AVERAGE(Match_Data!K856:L856))</x:f>
      </x:c>
      <x:c r="H856" t="str">
        <x:f>IF(OR(Match_Data!M856="",Match_Data!N856=""),"",AVERAGE(Match_Data!M856:N856))</x:f>
      </x:c>
      <x:c r="I856" t="str">
        <x:f>IF(OR(Match_Data!O856="",Match_Data!Q856=""),"",Match_Data!O856+Match_Data!Q856)</x:f>
      </x:c>
      <x:c r="J856" t="str">
        <x:f>IF(OR(Match_Data!P856="",Match_Data!R856=""),"",Match_Data!P856+Match_Data!R856)</x:f>
      </x:c>
      <x:c r="K856" t="str">
        <x:f>IF(OR(Match_Data!S856="",Match_Data!T856=""),"",Match_Data!S856+Match_Data!T856)</x:f>
      </x:c>
      <x:c r="L856" t="str">
        <x:f>IF(OR(Match_Data!U856="",Match_Data!V856=""),"",Match_Data!U856-Match_Data!V856)</x:f>
      </x:c>
      <x:c r="M856" s="32" t="str">
        <x:f>IF(Match_Data!Y856="","",1/Match_Data!Y856)</x:f>
      </x:c>
      <x:c r="N856" s="32" t="str">
        <x:f>IF(Match_Data!AA856="","",1/Match_Data!AA856)</x:f>
      </x:c>
      <x:c r="O856" s="32" t="str">
        <x:f>IF(OR(M856="",N856=""),"",N856-M856)</x:f>
      </x:c>
      <x:c r="P856" t="str">
        <x:f>IF(Match_Data!J856="","",IF(Match_Data!J856="OVER",1,0))</x:f>
      </x:c>
    </x:row>
    <x:row r="857">
      <x:c r="A857" t="n">
        <x:f>Match_Data!A857</x:f>
        <x:v>0</x:v>
      </x:c>
      <x:c r="B857" s="28" t="n">
        <x:f>Match_Data!B857</x:f>
        <x:v>0</x:v>
      </x:c>
      <x:c r="C857" t="n">
        <x:f>Match_Data!C857</x:f>
        <x:v>0</x:v>
      </x:c>
      <x:c r="D857" t="n">
        <x:f>Match_Data!E857</x:f>
        <x:v>0</x:v>
      </x:c>
      <x:c r="E857" t="n">
        <x:f>Match_Data!F857</x:f>
        <x:v>0</x:v>
      </x:c>
      <x:c r="F857" t="n">
        <x:f>Match_Data!AC857</x:f>
        <x:v>0</x:v>
      </x:c>
      <x:c r="G857" t="str">
        <x:f>IF(OR(Match_Data!K857="",Match_Data!L857=""),"",AVERAGE(Match_Data!K857:L857))</x:f>
      </x:c>
      <x:c r="H857" t="str">
        <x:f>IF(OR(Match_Data!M857="",Match_Data!N857=""),"",AVERAGE(Match_Data!M857:N857))</x:f>
      </x:c>
      <x:c r="I857" t="str">
        <x:f>IF(OR(Match_Data!O857="",Match_Data!Q857=""),"",Match_Data!O857+Match_Data!Q857)</x:f>
      </x:c>
      <x:c r="J857" t="str">
        <x:f>IF(OR(Match_Data!P857="",Match_Data!R857=""),"",Match_Data!P857+Match_Data!R857)</x:f>
      </x:c>
      <x:c r="K857" t="str">
        <x:f>IF(OR(Match_Data!S857="",Match_Data!T857=""),"",Match_Data!S857+Match_Data!T857)</x:f>
      </x:c>
      <x:c r="L857" t="str">
        <x:f>IF(OR(Match_Data!U857="",Match_Data!V857=""),"",Match_Data!U857-Match_Data!V857)</x:f>
      </x:c>
      <x:c r="M857" s="32" t="str">
        <x:f>IF(Match_Data!Y857="","",1/Match_Data!Y857)</x:f>
      </x:c>
      <x:c r="N857" s="32" t="str">
        <x:f>IF(Match_Data!AA857="","",1/Match_Data!AA857)</x:f>
      </x:c>
      <x:c r="O857" s="32" t="str">
        <x:f>IF(OR(M857="",N857=""),"",N857-M857)</x:f>
      </x:c>
      <x:c r="P857" t="str">
        <x:f>IF(Match_Data!J857="","",IF(Match_Data!J857="OVER",1,0))</x:f>
      </x:c>
    </x:row>
    <x:row r="858">
      <x:c r="A858" t="n">
        <x:f>Match_Data!A858</x:f>
        <x:v>0</x:v>
      </x:c>
      <x:c r="B858" s="28" t="n">
        <x:f>Match_Data!B858</x:f>
        <x:v>0</x:v>
      </x:c>
      <x:c r="C858" t="n">
        <x:f>Match_Data!C858</x:f>
        <x:v>0</x:v>
      </x:c>
      <x:c r="D858" t="n">
        <x:f>Match_Data!E858</x:f>
        <x:v>0</x:v>
      </x:c>
      <x:c r="E858" t="n">
        <x:f>Match_Data!F858</x:f>
        <x:v>0</x:v>
      </x:c>
      <x:c r="F858" t="n">
        <x:f>Match_Data!AC858</x:f>
        <x:v>0</x:v>
      </x:c>
      <x:c r="G858" t="str">
        <x:f>IF(OR(Match_Data!K858="",Match_Data!L858=""),"",AVERAGE(Match_Data!K858:L858))</x:f>
      </x:c>
      <x:c r="H858" t="str">
        <x:f>IF(OR(Match_Data!M858="",Match_Data!N858=""),"",AVERAGE(Match_Data!M858:N858))</x:f>
      </x:c>
      <x:c r="I858" t="str">
        <x:f>IF(OR(Match_Data!O858="",Match_Data!Q858=""),"",Match_Data!O858+Match_Data!Q858)</x:f>
      </x:c>
      <x:c r="J858" t="str">
        <x:f>IF(OR(Match_Data!P858="",Match_Data!R858=""),"",Match_Data!P858+Match_Data!R858)</x:f>
      </x:c>
      <x:c r="K858" t="str">
        <x:f>IF(OR(Match_Data!S858="",Match_Data!T858=""),"",Match_Data!S858+Match_Data!T858)</x:f>
      </x:c>
      <x:c r="L858" t="str">
        <x:f>IF(OR(Match_Data!U858="",Match_Data!V858=""),"",Match_Data!U858-Match_Data!V858)</x:f>
      </x:c>
      <x:c r="M858" s="32" t="str">
        <x:f>IF(Match_Data!Y858="","",1/Match_Data!Y858)</x:f>
      </x:c>
      <x:c r="N858" s="32" t="str">
        <x:f>IF(Match_Data!AA858="","",1/Match_Data!AA858)</x:f>
      </x:c>
      <x:c r="O858" s="32" t="str">
        <x:f>IF(OR(M858="",N858=""),"",N858-M858)</x:f>
      </x:c>
      <x:c r="P858" t="str">
        <x:f>IF(Match_Data!J858="","",IF(Match_Data!J858="OVER",1,0))</x:f>
      </x:c>
    </x:row>
    <x:row r="859">
      <x:c r="A859" t="n">
        <x:f>Match_Data!A859</x:f>
        <x:v>0</x:v>
      </x:c>
      <x:c r="B859" s="28" t="n">
        <x:f>Match_Data!B859</x:f>
        <x:v>0</x:v>
      </x:c>
      <x:c r="C859" t="n">
        <x:f>Match_Data!C859</x:f>
        <x:v>0</x:v>
      </x:c>
      <x:c r="D859" t="n">
        <x:f>Match_Data!E859</x:f>
        <x:v>0</x:v>
      </x:c>
      <x:c r="E859" t="n">
        <x:f>Match_Data!F859</x:f>
        <x:v>0</x:v>
      </x:c>
      <x:c r="F859" t="n">
        <x:f>Match_Data!AC859</x:f>
        <x:v>0</x:v>
      </x:c>
      <x:c r="G859" t="str">
        <x:f>IF(OR(Match_Data!K859="",Match_Data!L859=""),"",AVERAGE(Match_Data!K859:L859))</x:f>
      </x:c>
      <x:c r="H859" t="str">
        <x:f>IF(OR(Match_Data!M859="",Match_Data!N859=""),"",AVERAGE(Match_Data!M859:N859))</x:f>
      </x:c>
      <x:c r="I859" t="str">
        <x:f>IF(OR(Match_Data!O859="",Match_Data!Q859=""),"",Match_Data!O859+Match_Data!Q859)</x:f>
      </x:c>
      <x:c r="J859" t="str">
        <x:f>IF(OR(Match_Data!P859="",Match_Data!R859=""),"",Match_Data!P859+Match_Data!R859)</x:f>
      </x:c>
      <x:c r="K859" t="str">
        <x:f>IF(OR(Match_Data!S859="",Match_Data!T859=""),"",Match_Data!S859+Match_Data!T859)</x:f>
      </x:c>
      <x:c r="L859" t="str">
        <x:f>IF(OR(Match_Data!U859="",Match_Data!V859=""),"",Match_Data!U859-Match_Data!V859)</x:f>
      </x:c>
      <x:c r="M859" s="32" t="str">
        <x:f>IF(Match_Data!Y859="","",1/Match_Data!Y859)</x:f>
      </x:c>
      <x:c r="N859" s="32" t="str">
        <x:f>IF(Match_Data!AA859="","",1/Match_Data!AA859)</x:f>
      </x:c>
      <x:c r="O859" s="32" t="str">
        <x:f>IF(OR(M859="",N859=""),"",N859-M859)</x:f>
      </x:c>
      <x:c r="P859" t="str">
        <x:f>IF(Match_Data!J859="","",IF(Match_Data!J859="OVER",1,0))</x:f>
      </x:c>
    </x:row>
    <x:row r="860">
      <x:c r="A860" t="n">
        <x:f>Match_Data!A860</x:f>
        <x:v>0</x:v>
      </x:c>
      <x:c r="B860" s="28" t="n">
        <x:f>Match_Data!B860</x:f>
        <x:v>0</x:v>
      </x:c>
      <x:c r="C860" t="n">
        <x:f>Match_Data!C860</x:f>
        <x:v>0</x:v>
      </x:c>
      <x:c r="D860" t="n">
        <x:f>Match_Data!E860</x:f>
        <x:v>0</x:v>
      </x:c>
      <x:c r="E860" t="n">
        <x:f>Match_Data!F860</x:f>
        <x:v>0</x:v>
      </x:c>
      <x:c r="F860" t="n">
        <x:f>Match_Data!AC860</x:f>
        <x:v>0</x:v>
      </x:c>
      <x:c r="G860" t="str">
        <x:f>IF(OR(Match_Data!K860="",Match_Data!L860=""),"",AVERAGE(Match_Data!K860:L860))</x:f>
      </x:c>
      <x:c r="H860" t="str">
        <x:f>IF(OR(Match_Data!M860="",Match_Data!N860=""),"",AVERAGE(Match_Data!M860:N860))</x:f>
      </x:c>
      <x:c r="I860" t="str">
        <x:f>IF(OR(Match_Data!O860="",Match_Data!Q860=""),"",Match_Data!O860+Match_Data!Q860)</x:f>
      </x:c>
      <x:c r="J860" t="str">
        <x:f>IF(OR(Match_Data!P860="",Match_Data!R860=""),"",Match_Data!P860+Match_Data!R860)</x:f>
      </x:c>
      <x:c r="K860" t="str">
        <x:f>IF(OR(Match_Data!S860="",Match_Data!T860=""),"",Match_Data!S860+Match_Data!T860)</x:f>
      </x:c>
      <x:c r="L860" t="str">
        <x:f>IF(OR(Match_Data!U860="",Match_Data!V860=""),"",Match_Data!U860-Match_Data!V860)</x:f>
      </x:c>
      <x:c r="M860" s="32" t="str">
        <x:f>IF(Match_Data!Y860="","",1/Match_Data!Y860)</x:f>
      </x:c>
      <x:c r="N860" s="32" t="str">
        <x:f>IF(Match_Data!AA860="","",1/Match_Data!AA860)</x:f>
      </x:c>
      <x:c r="O860" s="32" t="str">
        <x:f>IF(OR(M860="",N860=""),"",N860-M860)</x:f>
      </x:c>
      <x:c r="P860" t="str">
        <x:f>IF(Match_Data!J860="","",IF(Match_Data!J860="OVER",1,0))</x:f>
      </x:c>
    </x:row>
    <x:row r="861">
      <x:c r="A861" t="n">
        <x:f>Match_Data!A861</x:f>
        <x:v>0</x:v>
      </x:c>
      <x:c r="B861" s="28" t="n">
        <x:f>Match_Data!B861</x:f>
        <x:v>0</x:v>
      </x:c>
      <x:c r="C861" t="n">
        <x:f>Match_Data!C861</x:f>
        <x:v>0</x:v>
      </x:c>
      <x:c r="D861" t="n">
        <x:f>Match_Data!E861</x:f>
        <x:v>0</x:v>
      </x:c>
      <x:c r="E861" t="n">
        <x:f>Match_Data!F861</x:f>
        <x:v>0</x:v>
      </x:c>
      <x:c r="F861" t="n">
        <x:f>Match_Data!AC861</x:f>
        <x:v>0</x:v>
      </x:c>
      <x:c r="G861" t="str">
        <x:f>IF(OR(Match_Data!K861="",Match_Data!L861=""),"",AVERAGE(Match_Data!K861:L861))</x:f>
      </x:c>
      <x:c r="H861" t="str">
        <x:f>IF(OR(Match_Data!M861="",Match_Data!N861=""),"",AVERAGE(Match_Data!M861:N861))</x:f>
      </x:c>
      <x:c r="I861" t="str">
        <x:f>IF(OR(Match_Data!O861="",Match_Data!Q861=""),"",Match_Data!O861+Match_Data!Q861)</x:f>
      </x:c>
      <x:c r="J861" t="str">
        <x:f>IF(OR(Match_Data!P861="",Match_Data!R861=""),"",Match_Data!P861+Match_Data!R861)</x:f>
      </x:c>
      <x:c r="K861" t="str">
        <x:f>IF(OR(Match_Data!S861="",Match_Data!T861=""),"",Match_Data!S861+Match_Data!T861)</x:f>
      </x:c>
      <x:c r="L861" t="str">
        <x:f>IF(OR(Match_Data!U861="",Match_Data!V861=""),"",Match_Data!U861-Match_Data!V861)</x:f>
      </x:c>
      <x:c r="M861" s="32" t="str">
        <x:f>IF(Match_Data!Y861="","",1/Match_Data!Y861)</x:f>
      </x:c>
      <x:c r="N861" s="32" t="str">
        <x:f>IF(Match_Data!AA861="","",1/Match_Data!AA861)</x:f>
      </x:c>
      <x:c r="O861" s="32" t="str">
        <x:f>IF(OR(M861="",N861=""),"",N861-M861)</x:f>
      </x:c>
      <x:c r="P861" t="str">
        <x:f>IF(Match_Data!J861="","",IF(Match_Data!J861="OVER",1,0))</x:f>
      </x:c>
    </x:row>
    <x:row r="862">
      <x:c r="A862" t="n">
        <x:f>Match_Data!A862</x:f>
        <x:v>0</x:v>
      </x:c>
      <x:c r="B862" s="28" t="n">
        <x:f>Match_Data!B862</x:f>
        <x:v>0</x:v>
      </x:c>
      <x:c r="C862" t="n">
        <x:f>Match_Data!C862</x:f>
        <x:v>0</x:v>
      </x:c>
      <x:c r="D862" t="n">
        <x:f>Match_Data!E862</x:f>
        <x:v>0</x:v>
      </x:c>
      <x:c r="E862" t="n">
        <x:f>Match_Data!F862</x:f>
        <x:v>0</x:v>
      </x:c>
      <x:c r="F862" t="n">
        <x:f>Match_Data!AC862</x:f>
        <x:v>0</x:v>
      </x:c>
      <x:c r="G862" t="str">
        <x:f>IF(OR(Match_Data!K862="",Match_Data!L862=""),"",AVERAGE(Match_Data!K862:L862))</x:f>
      </x:c>
      <x:c r="H862" t="str">
        <x:f>IF(OR(Match_Data!M862="",Match_Data!N862=""),"",AVERAGE(Match_Data!M862:N862))</x:f>
      </x:c>
      <x:c r="I862" t="str">
        <x:f>IF(OR(Match_Data!O862="",Match_Data!Q862=""),"",Match_Data!O862+Match_Data!Q862)</x:f>
      </x:c>
      <x:c r="J862" t="str">
        <x:f>IF(OR(Match_Data!P862="",Match_Data!R862=""),"",Match_Data!P862+Match_Data!R862)</x:f>
      </x:c>
      <x:c r="K862" t="str">
        <x:f>IF(OR(Match_Data!S862="",Match_Data!T862=""),"",Match_Data!S862+Match_Data!T862)</x:f>
      </x:c>
      <x:c r="L862" t="str">
        <x:f>IF(OR(Match_Data!U862="",Match_Data!V862=""),"",Match_Data!U862-Match_Data!V862)</x:f>
      </x:c>
      <x:c r="M862" s="32" t="str">
        <x:f>IF(Match_Data!Y862="","",1/Match_Data!Y862)</x:f>
      </x:c>
      <x:c r="N862" s="32" t="str">
        <x:f>IF(Match_Data!AA862="","",1/Match_Data!AA862)</x:f>
      </x:c>
      <x:c r="O862" s="32" t="str">
        <x:f>IF(OR(M862="",N862=""),"",N862-M862)</x:f>
      </x:c>
      <x:c r="P862" t="str">
        <x:f>IF(Match_Data!J862="","",IF(Match_Data!J862="OVER",1,0))</x:f>
      </x:c>
    </x:row>
    <x:row r="863">
      <x:c r="A863" t="n">
        <x:f>Match_Data!A863</x:f>
        <x:v>0</x:v>
      </x:c>
      <x:c r="B863" s="28" t="n">
        <x:f>Match_Data!B863</x:f>
        <x:v>0</x:v>
      </x:c>
      <x:c r="C863" t="n">
        <x:f>Match_Data!C863</x:f>
        <x:v>0</x:v>
      </x:c>
      <x:c r="D863" t="n">
        <x:f>Match_Data!E863</x:f>
        <x:v>0</x:v>
      </x:c>
      <x:c r="E863" t="n">
        <x:f>Match_Data!F863</x:f>
        <x:v>0</x:v>
      </x:c>
      <x:c r="F863" t="n">
        <x:f>Match_Data!AC863</x:f>
        <x:v>0</x:v>
      </x:c>
      <x:c r="G863" t="str">
        <x:f>IF(OR(Match_Data!K863="",Match_Data!L863=""),"",AVERAGE(Match_Data!K863:L863))</x:f>
      </x:c>
      <x:c r="H863" t="str">
        <x:f>IF(OR(Match_Data!M863="",Match_Data!N863=""),"",AVERAGE(Match_Data!M863:N863))</x:f>
      </x:c>
      <x:c r="I863" t="str">
        <x:f>IF(OR(Match_Data!O863="",Match_Data!Q863=""),"",Match_Data!O863+Match_Data!Q863)</x:f>
      </x:c>
      <x:c r="J863" t="str">
        <x:f>IF(OR(Match_Data!P863="",Match_Data!R863=""),"",Match_Data!P863+Match_Data!R863)</x:f>
      </x:c>
      <x:c r="K863" t="str">
        <x:f>IF(OR(Match_Data!S863="",Match_Data!T863=""),"",Match_Data!S863+Match_Data!T863)</x:f>
      </x:c>
      <x:c r="L863" t="str">
        <x:f>IF(OR(Match_Data!U863="",Match_Data!V863=""),"",Match_Data!U863-Match_Data!V863)</x:f>
      </x:c>
      <x:c r="M863" s="32" t="str">
        <x:f>IF(Match_Data!Y863="","",1/Match_Data!Y863)</x:f>
      </x:c>
      <x:c r="N863" s="32" t="str">
        <x:f>IF(Match_Data!AA863="","",1/Match_Data!AA863)</x:f>
      </x:c>
      <x:c r="O863" s="32" t="str">
        <x:f>IF(OR(M863="",N863=""),"",N863-M863)</x:f>
      </x:c>
      <x:c r="P863" t="str">
        <x:f>IF(Match_Data!J863="","",IF(Match_Data!J863="OVER",1,0))</x:f>
      </x:c>
    </x:row>
    <x:row r="864">
      <x:c r="A864" t="n">
        <x:f>Match_Data!A864</x:f>
        <x:v>0</x:v>
      </x:c>
      <x:c r="B864" s="28" t="n">
        <x:f>Match_Data!B864</x:f>
        <x:v>0</x:v>
      </x:c>
      <x:c r="C864" t="n">
        <x:f>Match_Data!C864</x:f>
        <x:v>0</x:v>
      </x:c>
      <x:c r="D864" t="n">
        <x:f>Match_Data!E864</x:f>
        <x:v>0</x:v>
      </x:c>
      <x:c r="E864" t="n">
        <x:f>Match_Data!F864</x:f>
        <x:v>0</x:v>
      </x:c>
      <x:c r="F864" t="n">
        <x:f>Match_Data!AC864</x:f>
        <x:v>0</x:v>
      </x:c>
      <x:c r="G864" t="str">
        <x:f>IF(OR(Match_Data!K864="",Match_Data!L864=""),"",AVERAGE(Match_Data!K864:L864))</x:f>
      </x:c>
      <x:c r="H864" t="str">
        <x:f>IF(OR(Match_Data!M864="",Match_Data!N864=""),"",AVERAGE(Match_Data!M864:N864))</x:f>
      </x:c>
      <x:c r="I864" t="str">
        <x:f>IF(OR(Match_Data!O864="",Match_Data!Q864=""),"",Match_Data!O864+Match_Data!Q864)</x:f>
      </x:c>
      <x:c r="J864" t="str">
        <x:f>IF(OR(Match_Data!P864="",Match_Data!R864=""),"",Match_Data!P864+Match_Data!R864)</x:f>
      </x:c>
      <x:c r="K864" t="str">
        <x:f>IF(OR(Match_Data!S864="",Match_Data!T864=""),"",Match_Data!S864+Match_Data!T864)</x:f>
      </x:c>
      <x:c r="L864" t="str">
        <x:f>IF(OR(Match_Data!U864="",Match_Data!V864=""),"",Match_Data!U864-Match_Data!V864)</x:f>
      </x:c>
      <x:c r="M864" s="32" t="str">
        <x:f>IF(Match_Data!Y864="","",1/Match_Data!Y864)</x:f>
      </x:c>
      <x:c r="N864" s="32" t="str">
        <x:f>IF(Match_Data!AA864="","",1/Match_Data!AA864)</x:f>
      </x:c>
      <x:c r="O864" s="32" t="str">
        <x:f>IF(OR(M864="",N864=""),"",N864-M864)</x:f>
      </x:c>
      <x:c r="P864" t="str">
        <x:f>IF(Match_Data!J864="","",IF(Match_Data!J864="OVER",1,0))</x:f>
      </x:c>
    </x:row>
    <x:row r="865">
      <x:c r="A865" t="n">
        <x:f>Match_Data!A865</x:f>
        <x:v>0</x:v>
      </x:c>
      <x:c r="B865" s="28" t="n">
        <x:f>Match_Data!B865</x:f>
        <x:v>0</x:v>
      </x:c>
      <x:c r="C865" t="n">
        <x:f>Match_Data!C865</x:f>
        <x:v>0</x:v>
      </x:c>
      <x:c r="D865" t="n">
        <x:f>Match_Data!E865</x:f>
        <x:v>0</x:v>
      </x:c>
      <x:c r="E865" t="n">
        <x:f>Match_Data!F865</x:f>
        <x:v>0</x:v>
      </x:c>
      <x:c r="F865" t="n">
        <x:f>Match_Data!AC865</x:f>
        <x:v>0</x:v>
      </x:c>
      <x:c r="G865" t="str">
        <x:f>IF(OR(Match_Data!K865="",Match_Data!L865=""),"",AVERAGE(Match_Data!K865:L865))</x:f>
      </x:c>
      <x:c r="H865" t="str">
        <x:f>IF(OR(Match_Data!M865="",Match_Data!N865=""),"",AVERAGE(Match_Data!M865:N865))</x:f>
      </x:c>
      <x:c r="I865" t="str">
        <x:f>IF(OR(Match_Data!O865="",Match_Data!Q865=""),"",Match_Data!O865+Match_Data!Q865)</x:f>
      </x:c>
      <x:c r="J865" t="str">
        <x:f>IF(OR(Match_Data!P865="",Match_Data!R865=""),"",Match_Data!P865+Match_Data!R865)</x:f>
      </x:c>
      <x:c r="K865" t="str">
        <x:f>IF(OR(Match_Data!S865="",Match_Data!T865=""),"",Match_Data!S865+Match_Data!T865)</x:f>
      </x:c>
      <x:c r="L865" t="str">
        <x:f>IF(OR(Match_Data!U865="",Match_Data!V865=""),"",Match_Data!U865-Match_Data!V865)</x:f>
      </x:c>
      <x:c r="M865" s="32" t="str">
        <x:f>IF(Match_Data!Y865="","",1/Match_Data!Y865)</x:f>
      </x:c>
      <x:c r="N865" s="32" t="str">
        <x:f>IF(Match_Data!AA865="","",1/Match_Data!AA865)</x:f>
      </x:c>
      <x:c r="O865" s="32" t="str">
        <x:f>IF(OR(M865="",N865=""),"",N865-M865)</x:f>
      </x:c>
      <x:c r="P865" t="str">
        <x:f>IF(Match_Data!J865="","",IF(Match_Data!J865="OVER",1,0))</x:f>
      </x:c>
    </x:row>
    <x:row r="866">
      <x:c r="A866" t="n">
        <x:f>Match_Data!A866</x:f>
        <x:v>0</x:v>
      </x:c>
      <x:c r="B866" s="28" t="n">
        <x:f>Match_Data!B866</x:f>
        <x:v>0</x:v>
      </x:c>
      <x:c r="C866" t="n">
        <x:f>Match_Data!C866</x:f>
        <x:v>0</x:v>
      </x:c>
      <x:c r="D866" t="n">
        <x:f>Match_Data!E866</x:f>
        <x:v>0</x:v>
      </x:c>
      <x:c r="E866" t="n">
        <x:f>Match_Data!F866</x:f>
        <x:v>0</x:v>
      </x:c>
      <x:c r="F866" t="n">
        <x:f>Match_Data!AC866</x:f>
        <x:v>0</x:v>
      </x:c>
      <x:c r="G866" t="str">
        <x:f>IF(OR(Match_Data!K866="",Match_Data!L866=""),"",AVERAGE(Match_Data!K866:L866))</x:f>
      </x:c>
      <x:c r="H866" t="str">
        <x:f>IF(OR(Match_Data!M866="",Match_Data!N866=""),"",AVERAGE(Match_Data!M866:N866))</x:f>
      </x:c>
      <x:c r="I866" t="str">
        <x:f>IF(OR(Match_Data!O866="",Match_Data!Q866=""),"",Match_Data!O866+Match_Data!Q866)</x:f>
      </x:c>
      <x:c r="J866" t="str">
        <x:f>IF(OR(Match_Data!P866="",Match_Data!R866=""),"",Match_Data!P866+Match_Data!R866)</x:f>
      </x:c>
      <x:c r="K866" t="str">
        <x:f>IF(OR(Match_Data!S866="",Match_Data!T866=""),"",Match_Data!S866+Match_Data!T866)</x:f>
      </x:c>
      <x:c r="L866" t="str">
        <x:f>IF(OR(Match_Data!U866="",Match_Data!V866=""),"",Match_Data!U866-Match_Data!V866)</x:f>
      </x:c>
      <x:c r="M866" s="32" t="str">
        <x:f>IF(Match_Data!Y866="","",1/Match_Data!Y866)</x:f>
      </x:c>
      <x:c r="N866" s="32" t="str">
        <x:f>IF(Match_Data!AA866="","",1/Match_Data!AA866)</x:f>
      </x:c>
      <x:c r="O866" s="32" t="str">
        <x:f>IF(OR(M866="",N866=""),"",N866-M866)</x:f>
      </x:c>
      <x:c r="P866" t="str">
        <x:f>IF(Match_Data!J866="","",IF(Match_Data!J866="OVER",1,0))</x:f>
      </x:c>
    </x:row>
    <x:row r="867">
      <x:c r="A867" t="n">
        <x:f>Match_Data!A867</x:f>
        <x:v>0</x:v>
      </x:c>
      <x:c r="B867" s="28" t="n">
        <x:f>Match_Data!B867</x:f>
        <x:v>0</x:v>
      </x:c>
      <x:c r="C867" t="n">
        <x:f>Match_Data!C867</x:f>
        <x:v>0</x:v>
      </x:c>
      <x:c r="D867" t="n">
        <x:f>Match_Data!E867</x:f>
        <x:v>0</x:v>
      </x:c>
      <x:c r="E867" t="n">
        <x:f>Match_Data!F867</x:f>
        <x:v>0</x:v>
      </x:c>
      <x:c r="F867" t="n">
        <x:f>Match_Data!AC867</x:f>
        <x:v>0</x:v>
      </x:c>
      <x:c r="G867" t="str">
        <x:f>IF(OR(Match_Data!K867="",Match_Data!L867=""),"",AVERAGE(Match_Data!K867:L867))</x:f>
      </x:c>
      <x:c r="H867" t="str">
        <x:f>IF(OR(Match_Data!M867="",Match_Data!N867=""),"",AVERAGE(Match_Data!M867:N867))</x:f>
      </x:c>
      <x:c r="I867" t="str">
        <x:f>IF(OR(Match_Data!O867="",Match_Data!Q867=""),"",Match_Data!O867+Match_Data!Q867)</x:f>
      </x:c>
      <x:c r="J867" t="str">
        <x:f>IF(OR(Match_Data!P867="",Match_Data!R867=""),"",Match_Data!P867+Match_Data!R867)</x:f>
      </x:c>
      <x:c r="K867" t="str">
        <x:f>IF(OR(Match_Data!S867="",Match_Data!T867=""),"",Match_Data!S867+Match_Data!T867)</x:f>
      </x:c>
      <x:c r="L867" t="str">
        <x:f>IF(OR(Match_Data!U867="",Match_Data!V867=""),"",Match_Data!U867-Match_Data!V867)</x:f>
      </x:c>
      <x:c r="M867" s="32" t="str">
        <x:f>IF(Match_Data!Y867="","",1/Match_Data!Y867)</x:f>
      </x:c>
      <x:c r="N867" s="32" t="str">
        <x:f>IF(Match_Data!AA867="","",1/Match_Data!AA867)</x:f>
      </x:c>
      <x:c r="O867" s="32" t="str">
        <x:f>IF(OR(M867="",N867=""),"",N867-M867)</x:f>
      </x:c>
      <x:c r="P867" t="str">
        <x:f>IF(Match_Data!J867="","",IF(Match_Data!J867="OVER",1,0))</x:f>
      </x:c>
    </x:row>
    <x:row r="868">
      <x:c r="A868" t="n">
        <x:f>Match_Data!A868</x:f>
        <x:v>0</x:v>
      </x:c>
      <x:c r="B868" s="28" t="n">
        <x:f>Match_Data!B868</x:f>
        <x:v>0</x:v>
      </x:c>
      <x:c r="C868" t="n">
        <x:f>Match_Data!C868</x:f>
        <x:v>0</x:v>
      </x:c>
      <x:c r="D868" t="n">
        <x:f>Match_Data!E868</x:f>
        <x:v>0</x:v>
      </x:c>
      <x:c r="E868" t="n">
        <x:f>Match_Data!F868</x:f>
        <x:v>0</x:v>
      </x:c>
      <x:c r="F868" t="n">
        <x:f>Match_Data!AC868</x:f>
        <x:v>0</x:v>
      </x:c>
      <x:c r="G868" t="str">
        <x:f>IF(OR(Match_Data!K868="",Match_Data!L868=""),"",AVERAGE(Match_Data!K868:L868))</x:f>
      </x:c>
      <x:c r="H868" t="str">
        <x:f>IF(OR(Match_Data!M868="",Match_Data!N868=""),"",AVERAGE(Match_Data!M868:N868))</x:f>
      </x:c>
      <x:c r="I868" t="str">
        <x:f>IF(OR(Match_Data!O868="",Match_Data!Q868=""),"",Match_Data!O868+Match_Data!Q868)</x:f>
      </x:c>
      <x:c r="J868" t="str">
        <x:f>IF(OR(Match_Data!P868="",Match_Data!R868=""),"",Match_Data!P868+Match_Data!R868)</x:f>
      </x:c>
      <x:c r="K868" t="str">
        <x:f>IF(OR(Match_Data!S868="",Match_Data!T868=""),"",Match_Data!S868+Match_Data!T868)</x:f>
      </x:c>
      <x:c r="L868" t="str">
        <x:f>IF(OR(Match_Data!U868="",Match_Data!V868=""),"",Match_Data!U868-Match_Data!V868)</x:f>
      </x:c>
      <x:c r="M868" s="32" t="str">
        <x:f>IF(Match_Data!Y868="","",1/Match_Data!Y868)</x:f>
      </x:c>
      <x:c r="N868" s="32" t="str">
        <x:f>IF(Match_Data!AA868="","",1/Match_Data!AA868)</x:f>
      </x:c>
      <x:c r="O868" s="32" t="str">
        <x:f>IF(OR(M868="",N868=""),"",N868-M868)</x:f>
      </x:c>
      <x:c r="P868" t="str">
        <x:f>IF(Match_Data!J868="","",IF(Match_Data!J868="OVER",1,0))</x:f>
      </x:c>
    </x:row>
    <x:row r="869">
      <x:c r="A869" t="n">
        <x:f>Match_Data!A869</x:f>
        <x:v>0</x:v>
      </x:c>
      <x:c r="B869" s="28" t="n">
        <x:f>Match_Data!B869</x:f>
        <x:v>0</x:v>
      </x:c>
      <x:c r="C869" t="n">
        <x:f>Match_Data!C869</x:f>
        <x:v>0</x:v>
      </x:c>
      <x:c r="D869" t="n">
        <x:f>Match_Data!E869</x:f>
        <x:v>0</x:v>
      </x:c>
      <x:c r="E869" t="n">
        <x:f>Match_Data!F869</x:f>
        <x:v>0</x:v>
      </x:c>
      <x:c r="F869" t="n">
        <x:f>Match_Data!AC869</x:f>
        <x:v>0</x:v>
      </x:c>
      <x:c r="G869" t="str">
        <x:f>IF(OR(Match_Data!K869="",Match_Data!L869=""),"",AVERAGE(Match_Data!K869:L869))</x:f>
      </x:c>
      <x:c r="H869" t="str">
        <x:f>IF(OR(Match_Data!M869="",Match_Data!N869=""),"",AVERAGE(Match_Data!M869:N869))</x:f>
      </x:c>
      <x:c r="I869" t="str">
        <x:f>IF(OR(Match_Data!O869="",Match_Data!Q869=""),"",Match_Data!O869+Match_Data!Q869)</x:f>
      </x:c>
      <x:c r="J869" t="str">
        <x:f>IF(OR(Match_Data!P869="",Match_Data!R869=""),"",Match_Data!P869+Match_Data!R869)</x:f>
      </x:c>
      <x:c r="K869" t="str">
        <x:f>IF(OR(Match_Data!S869="",Match_Data!T869=""),"",Match_Data!S869+Match_Data!T869)</x:f>
      </x:c>
      <x:c r="L869" t="str">
        <x:f>IF(OR(Match_Data!U869="",Match_Data!V869=""),"",Match_Data!U869-Match_Data!V869)</x:f>
      </x:c>
      <x:c r="M869" s="32" t="str">
        <x:f>IF(Match_Data!Y869="","",1/Match_Data!Y869)</x:f>
      </x:c>
      <x:c r="N869" s="32" t="str">
        <x:f>IF(Match_Data!AA869="","",1/Match_Data!AA869)</x:f>
      </x:c>
      <x:c r="O869" s="32" t="str">
        <x:f>IF(OR(M869="",N869=""),"",N869-M869)</x:f>
      </x:c>
      <x:c r="P869" t="str">
        <x:f>IF(Match_Data!J869="","",IF(Match_Data!J869="OVER",1,0))</x:f>
      </x:c>
    </x:row>
    <x:row r="870">
      <x:c r="A870" t="n">
        <x:f>Match_Data!A870</x:f>
        <x:v>0</x:v>
      </x:c>
      <x:c r="B870" s="28" t="n">
        <x:f>Match_Data!B870</x:f>
        <x:v>0</x:v>
      </x:c>
      <x:c r="C870" t="n">
        <x:f>Match_Data!C870</x:f>
        <x:v>0</x:v>
      </x:c>
      <x:c r="D870" t="n">
        <x:f>Match_Data!E870</x:f>
        <x:v>0</x:v>
      </x:c>
      <x:c r="E870" t="n">
        <x:f>Match_Data!F870</x:f>
        <x:v>0</x:v>
      </x:c>
      <x:c r="F870" t="n">
        <x:f>Match_Data!AC870</x:f>
        <x:v>0</x:v>
      </x:c>
      <x:c r="G870" t="str">
        <x:f>IF(OR(Match_Data!K870="",Match_Data!L870=""),"",AVERAGE(Match_Data!K870:L870))</x:f>
      </x:c>
      <x:c r="H870" t="str">
        <x:f>IF(OR(Match_Data!M870="",Match_Data!N870=""),"",AVERAGE(Match_Data!M870:N870))</x:f>
      </x:c>
      <x:c r="I870" t="str">
        <x:f>IF(OR(Match_Data!O870="",Match_Data!Q870=""),"",Match_Data!O870+Match_Data!Q870)</x:f>
      </x:c>
      <x:c r="J870" t="str">
        <x:f>IF(OR(Match_Data!P870="",Match_Data!R870=""),"",Match_Data!P870+Match_Data!R870)</x:f>
      </x:c>
      <x:c r="K870" t="str">
        <x:f>IF(OR(Match_Data!S870="",Match_Data!T870=""),"",Match_Data!S870+Match_Data!T870)</x:f>
      </x:c>
      <x:c r="L870" t="str">
        <x:f>IF(OR(Match_Data!U870="",Match_Data!V870=""),"",Match_Data!U870-Match_Data!V870)</x:f>
      </x:c>
      <x:c r="M870" s="32" t="str">
        <x:f>IF(Match_Data!Y870="","",1/Match_Data!Y870)</x:f>
      </x:c>
      <x:c r="N870" s="32" t="str">
        <x:f>IF(Match_Data!AA870="","",1/Match_Data!AA870)</x:f>
      </x:c>
      <x:c r="O870" s="32" t="str">
        <x:f>IF(OR(M870="",N870=""),"",N870-M870)</x:f>
      </x:c>
      <x:c r="P870" t="str">
        <x:f>IF(Match_Data!J870="","",IF(Match_Data!J870="OVER",1,0))</x:f>
      </x:c>
    </x:row>
    <x:row r="871">
      <x:c r="A871" t="n">
        <x:f>Match_Data!A871</x:f>
        <x:v>0</x:v>
      </x:c>
      <x:c r="B871" s="28" t="n">
        <x:f>Match_Data!B871</x:f>
        <x:v>0</x:v>
      </x:c>
      <x:c r="C871" t="n">
        <x:f>Match_Data!C871</x:f>
        <x:v>0</x:v>
      </x:c>
      <x:c r="D871" t="n">
        <x:f>Match_Data!E871</x:f>
        <x:v>0</x:v>
      </x:c>
      <x:c r="E871" t="n">
        <x:f>Match_Data!F871</x:f>
        <x:v>0</x:v>
      </x:c>
      <x:c r="F871" t="n">
        <x:f>Match_Data!AC871</x:f>
        <x:v>0</x:v>
      </x:c>
      <x:c r="G871" t="str">
        <x:f>IF(OR(Match_Data!K871="",Match_Data!L871=""),"",AVERAGE(Match_Data!K871:L871))</x:f>
      </x:c>
      <x:c r="H871" t="str">
        <x:f>IF(OR(Match_Data!M871="",Match_Data!N871=""),"",AVERAGE(Match_Data!M871:N871))</x:f>
      </x:c>
      <x:c r="I871" t="str">
        <x:f>IF(OR(Match_Data!O871="",Match_Data!Q871=""),"",Match_Data!O871+Match_Data!Q871)</x:f>
      </x:c>
      <x:c r="J871" t="str">
        <x:f>IF(OR(Match_Data!P871="",Match_Data!R871=""),"",Match_Data!P871+Match_Data!R871)</x:f>
      </x:c>
      <x:c r="K871" t="str">
        <x:f>IF(OR(Match_Data!S871="",Match_Data!T871=""),"",Match_Data!S871+Match_Data!T871)</x:f>
      </x:c>
      <x:c r="L871" t="str">
        <x:f>IF(OR(Match_Data!U871="",Match_Data!V871=""),"",Match_Data!U871-Match_Data!V871)</x:f>
      </x:c>
      <x:c r="M871" s="32" t="str">
        <x:f>IF(Match_Data!Y871="","",1/Match_Data!Y871)</x:f>
      </x:c>
      <x:c r="N871" s="32" t="str">
        <x:f>IF(Match_Data!AA871="","",1/Match_Data!AA871)</x:f>
      </x:c>
      <x:c r="O871" s="32" t="str">
        <x:f>IF(OR(M871="",N871=""),"",N871-M871)</x:f>
      </x:c>
      <x:c r="P871" t="str">
        <x:f>IF(Match_Data!J871="","",IF(Match_Data!J871="OVER",1,0))</x:f>
      </x:c>
    </x:row>
    <x:row r="872">
      <x:c r="A872" t="n">
        <x:f>Match_Data!A872</x:f>
        <x:v>0</x:v>
      </x:c>
      <x:c r="B872" s="28" t="n">
        <x:f>Match_Data!B872</x:f>
        <x:v>0</x:v>
      </x:c>
      <x:c r="C872" t="n">
        <x:f>Match_Data!C872</x:f>
        <x:v>0</x:v>
      </x:c>
      <x:c r="D872" t="n">
        <x:f>Match_Data!E872</x:f>
        <x:v>0</x:v>
      </x:c>
      <x:c r="E872" t="n">
        <x:f>Match_Data!F872</x:f>
        <x:v>0</x:v>
      </x:c>
      <x:c r="F872" t="n">
        <x:f>Match_Data!AC872</x:f>
        <x:v>0</x:v>
      </x:c>
      <x:c r="G872" t="str">
        <x:f>IF(OR(Match_Data!K872="",Match_Data!L872=""),"",AVERAGE(Match_Data!K872:L872))</x:f>
      </x:c>
      <x:c r="H872" t="str">
        <x:f>IF(OR(Match_Data!M872="",Match_Data!N872=""),"",AVERAGE(Match_Data!M872:N872))</x:f>
      </x:c>
      <x:c r="I872" t="str">
        <x:f>IF(OR(Match_Data!O872="",Match_Data!Q872=""),"",Match_Data!O872+Match_Data!Q872)</x:f>
      </x:c>
      <x:c r="J872" t="str">
        <x:f>IF(OR(Match_Data!P872="",Match_Data!R872=""),"",Match_Data!P872+Match_Data!R872)</x:f>
      </x:c>
      <x:c r="K872" t="str">
        <x:f>IF(OR(Match_Data!S872="",Match_Data!T872=""),"",Match_Data!S872+Match_Data!T872)</x:f>
      </x:c>
      <x:c r="L872" t="str">
        <x:f>IF(OR(Match_Data!U872="",Match_Data!V872=""),"",Match_Data!U872-Match_Data!V872)</x:f>
      </x:c>
      <x:c r="M872" s="32" t="str">
        <x:f>IF(Match_Data!Y872="","",1/Match_Data!Y872)</x:f>
      </x:c>
      <x:c r="N872" s="32" t="str">
        <x:f>IF(Match_Data!AA872="","",1/Match_Data!AA872)</x:f>
      </x:c>
      <x:c r="O872" s="32" t="str">
        <x:f>IF(OR(M872="",N872=""),"",N872-M872)</x:f>
      </x:c>
      <x:c r="P872" t="str">
        <x:f>IF(Match_Data!J872="","",IF(Match_Data!J872="OVER",1,0))</x:f>
      </x:c>
    </x:row>
    <x:row r="873">
      <x:c r="A873" t="n">
        <x:f>Match_Data!A873</x:f>
        <x:v>0</x:v>
      </x:c>
      <x:c r="B873" s="28" t="n">
        <x:f>Match_Data!B873</x:f>
        <x:v>0</x:v>
      </x:c>
      <x:c r="C873" t="n">
        <x:f>Match_Data!C873</x:f>
        <x:v>0</x:v>
      </x:c>
      <x:c r="D873" t="n">
        <x:f>Match_Data!E873</x:f>
        <x:v>0</x:v>
      </x:c>
      <x:c r="E873" t="n">
        <x:f>Match_Data!F873</x:f>
        <x:v>0</x:v>
      </x:c>
      <x:c r="F873" t="n">
        <x:f>Match_Data!AC873</x:f>
        <x:v>0</x:v>
      </x:c>
      <x:c r="G873" t="str">
        <x:f>IF(OR(Match_Data!K873="",Match_Data!L873=""),"",AVERAGE(Match_Data!K873:L873))</x:f>
      </x:c>
      <x:c r="H873" t="str">
        <x:f>IF(OR(Match_Data!M873="",Match_Data!N873=""),"",AVERAGE(Match_Data!M873:N873))</x:f>
      </x:c>
      <x:c r="I873" t="str">
        <x:f>IF(OR(Match_Data!O873="",Match_Data!Q873=""),"",Match_Data!O873+Match_Data!Q873)</x:f>
      </x:c>
      <x:c r="J873" t="str">
        <x:f>IF(OR(Match_Data!P873="",Match_Data!R873=""),"",Match_Data!P873+Match_Data!R873)</x:f>
      </x:c>
      <x:c r="K873" t="str">
        <x:f>IF(OR(Match_Data!S873="",Match_Data!T873=""),"",Match_Data!S873+Match_Data!T873)</x:f>
      </x:c>
      <x:c r="L873" t="str">
        <x:f>IF(OR(Match_Data!U873="",Match_Data!V873=""),"",Match_Data!U873-Match_Data!V873)</x:f>
      </x:c>
      <x:c r="M873" s="32" t="str">
        <x:f>IF(Match_Data!Y873="","",1/Match_Data!Y873)</x:f>
      </x:c>
      <x:c r="N873" s="32" t="str">
        <x:f>IF(Match_Data!AA873="","",1/Match_Data!AA873)</x:f>
      </x:c>
      <x:c r="O873" s="32" t="str">
        <x:f>IF(OR(M873="",N873=""),"",N873-M873)</x:f>
      </x:c>
      <x:c r="P873" t="str">
        <x:f>IF(Match_Data!J873="","",IF(Match_Data!J873="OVER",1,0))</x:f>
      </x:c>
    </x:row>
    <x:row r="874">
      <x:c r="A874" t="n">
        <x:f>Match_Data!A874</x:f>
        <x:v>0</x:v>
      </x:c>
      <x:c r="B874" s="28" t="n">
        <x:f>Match_Data!B874</x:f>
        <x:v>0</x:v>
      </x:c>
      <x:c r="C874" t="n">
        <x:f>Match_Data!C874</x:f>
        <x:v>0</x:v>
      </x:c>
      <x:c r="D874" t="n">
        <x:f>Match_Data!E874</x:f>
        <x:v>0</x:v>
      </x:c>
      <x:c r="E874" t="n">
        <x:f>Match_Data!F874</x:f>
        <x:v>0</x:v>
      </x:c>
      <x:c r="F874" t="n">
        <x:f>Match_Data!AC874</x:f>
        <x:v>0</x:v>
      </x:c>
      <x:c r="G874" t="str">
        <x:f>IF(OR(Match_Data!K874="",Match_Data!L874=""),"",AVERAGE(Match_Data!K874:L874))</x:f>
      </x:c>
      <x:c r="H874" t="str">
        <x:f>IF(OR(Match_Data!M874="",Match_Data!N874=""),"",AVERAGE(Match_Data!M874:N874))</x:f>
      </x:c>
      <x:c r="I874" t="str">
        <x:f>IF(OR(Match_Data!O874="",Match_Data!Q874=""),"",Match_Data!O874+Match_Data!Q874)</x:f>
      </x:c>
      <x:c r="J874" t="str">
        <x:f>IF(OR(Match_Data!P874="",Match_Data!R874=""),"",Match_Data!P874+Match_Data!R874)</x:f>
      </x:c>
      <x:c r="K874" t="str">
        <x:f>IF(OR(Match_Data!S874="",Match_Data!T874=""),"",Match_Data!S874+Match_Data!T874)</x:f>
      </x:c>
      <x:c r="L874" t="str">
        <x:f>IF(OR(Match_Data!U874="",Match_Data!V874=""),"",Match_Data!U874-Match_Data!V874)</x:f>
      </x:c>
      <x:c r="M874" s="32" t="str">
        <x:f>IF(Match_Data!Y874="","",1/Match_Data!Y874)</x:f>
      </x:c>
      <x:c r="N874" s="32" t="str">
        <x:f>IF(Match_Data!AA874="","",1/Match_Data!AA874)</x:f>
      </x:c>
      <x:c r="O874" s="32" t="str">
        <x:f>IF(OR(M874="",N874=""),"",N874-M874)</x:f>
      </x:c>
      <x:c r="P874" t="str">
        <x:f>IF(Match_Data!J874="","",IF(Match_Data!J874="OVER",1,0))</x:f>
      </x:c>
    </x:row>
    <x:row r="875">
      <x:c r="A875" t="n">
        <x:f>Match_Data!A875</x:f>
        <x:v>0</x:v>
      </x:c>
      <x:c r="B875" s="28" t="n">
        <x:f>Match_Data!B875</x:f>
        <x:v>0</x:v>
      </x:c>
      <x:c r="C875" t="n">
        <x:f>Match_Data!C875</x:f>
        <x:v>0</x:v>
      </x:c>
      <x:c r="D875" t="n">
        <x:f>Match_Data!E875</x:f>
        <x:v>0</x:v>
      </x:c>
      <x:c r="E875" t="n">
        <x:f>Match_Data!F875</x:f>
        <x:v>0</x:v>
      </x:c>
      <x:c r="F875" t="n">
        <x:f>Match_Data!AC875</x:f>
        <x:v>0</x:v>
      </x:c>
      <x:c r="G875" t="str">
        <x:f>IF(OR(Match_Data!K875="",Match_Data!L875=""),"",AVERAGE(Match_Data!K875:L875))</x:f>
      </x:c>
      <x:c r="H875" t="str">
        <x:f>IF(OR(Match_Data!M875="",Match_Data!N875=""),"",AVERAGE(Match_Data!M875:N875))</x:f>
      </x:c>
      <x:c r="I875" t="str">
        <x:f>IF(OR(Match_Data!O875="",Match_Data!Q875=""),"",Match_Data!O875+Match_Data!Q875)</x:f>
      </x:c>
      <x:c r="J875" t="str">
        <x:f>IF(OR(Match_Data!P875="",Match_Data!R875=""),"",Match_Data!P875+Match_Data!R875)</x:f>
      </x:c>
      <x:c r="K875" t="str">
        <x:f>IF(OR(Match_Data!S875="",Match_Data!T875=""),"",Match_Data!S875+Match_Data!T875)</x:f>
      </x:c>
      <x:c r="L875" t="str">
        <x:f>IF(OR(Match_Data!U875="",Match_Data!V875=""),"",Match_Data!U875-Match_Data!V875)</x:f>
      </x:c>
      <x:c r="M875" s="32" t="str">
        <x:f>IF(Match_Data!Y875="","",1/Match_Data!Y875)</x:f>
      </x:c>
      <x:c r="N875" s="32" t="str">
        <x:f>IF(Match_Data!AA875="","",1/Match_Data!AA875)</x:f>
      </x:c>
      <x:c r="O875" s="32" t="str">
        <x:f>IF(OR(M875="",N875=""),"",N875-M875)</x:f>
      </x:c>
      <x:c r="P875" t="str">
        <x:f>IF(Match_Data!J875="","",IF(Match_Data!J875="OVER",1,0))</x:f>
      </x:c>
    </x:row>
    <x:row r="876">
      <x:c r="A876" t="n">
        <x:f>Match_Data!A876</x:f>
        <x:v>0</x:v>
      </x:c>
      <x:c r="B876" s="28" t="n">
        <x:f>Match_Data!B876</x:f>
        <x:v>0</x:v>
      </x:c>
      <x:c r="C876" t="n">
        <x:f>Match_Data!C876</x:f>
        <x:v>0</x:v>
      </x:c>
      <x:c r="D876" t="n">
        <x:f>Match_Data!E876</x:f>
        <x:v>0</x:v>
      </x:c>
      <x:c r="E876" t="n">
        <x:f>Match_Data!F876</x:f>
        <x:v>0</x:v>
      </x:c>
      <x:c r="F876" t="n">
        <x:f>Match_Data!AC876</x:f>
        <x:v>0</x:v>
      </x:c>
      <x:c r="G876" t="str">
        <x:f>IF(OR(Match_Data!K876="",Match_Data!L876=""),"",AVERAGE(Match_Data!K876:L876))</x:f>
      </x:c>
      <x:c r="H876" t="str">
        <x:f>IF(OR(Match_Data!M876="",Match_Data!N876=""),"",AVERAGE(Match_Data!M876:N876))</x:f>
      </x:c>
      <x:c r="I876" t="str">
        <x:f>IF(OR(Match_Data!O876="",Match_Data!Q876=""),"",Match_Data!O876+Match_Data!Q876)</x:f>
      </x:c>
      <x:c r="J876" t="str">
        <x:f>IF(OR(Match_Data!P876="",Match_Data!R876=""),"",Match_Data!P876+Match_Data!R876)</x:f>
      </x:c>
      <x:c r="K876" t="str">
        <x:f>IF(OR(Match_Data!S876="",Match_Data!T876=""),"",Match_Data!S876+Match_Data!T876)</x:f>
      </x:c>
      <x:c r="L876" t="str">
        <x:f>IF(OR(Match_Data!U876="",Match_Data!V876=""),"",Match_Data!U876-Match_Data!V876)</x:f>
      </x:c>
      <x:c r="M876" s="32" t="str">
        <x:f>IF(Match_Data!Y876="","",1/Match_Data!Y876)</x:f>
      </x:c>
      <x:c r="N876" s="32" t="str">
        <x:f>IF(Match_Data!AA876="","",1/Match_Data!AA876)</x:f>
      </x:c>
      <x:c r="O876" s="32" t="str">
        <x:f>IF(OR(M876="",N876=""),"",N876-M876)</x:f>
      </x:c>
      <x:c r="P876" t="str">
        <x:f>IF(Match_Data!J876="","",IF(Match_Data!J876="OVER",1,0))</x:f>
      </x:c>
    </x:row>
    <x:row r="877">
      <x:c r="A877" t="n">
        <x:f>Match_Data!A877</x:f>
        <x:v>0</x:v>
      </x:c>
      <x:c r="B877" s="28" t="n">
        <x:f>Match_Data!B877</x:f>
        <x:v>0</x:v>
      </x:c>
      <x:c r="C877" t="n">
        <x:f>Match_Data!C877</x:f>
        <x:v>0</x:v>
      </x:c>
      <x:c r="D877" t="n">
        <x:f>Match_Data!E877</x:f>
        <x:v>0</x:v>
      </x:c>
      <x:c r="E877" t="n">
        <x:f>Match_Data!F877</x:f>
        <x:v>0</x:v>
      </x:c>
      <x:c r="F877" t="n">
        <x:f>Match_Data!AC877</x:f>
        <x:v>0</x:v>
      </x:c>
      <x:c r="G877" t="str">
        <x:f>IF(OR(Match_Data!K877="",Match_Data!L877=""),"",AVERAGE(Match_Data!K877:L877))</x:f>
      </x:c>
      <x:c r="H877" t="str">
        <x:f>IF(OR(Match_Data!M877="",Match_Data!N877=""),"",AVERAGE(Match_Data!M877:N877))</x:f>
      </x:c>
      <x:c r="I877" t="str">
        <x:f>IF(OR(Match_Data!O877="",Match_Data!Q877=""),"",Match_Data!O877+Match_Data!Q877)</x:f>
      </x:c>
      <x:c r="J877" t="str">
        <x:f>IF(OR(Match_Data!P877="",Match_Data!R877=""),"",Match_Data!P877+Match_Data!R877)</x:f>
      </x:c>
      <x:c r="K877" t="str">
        <x:f>IF(OR(Match_Data!S877="",Match_Data!T877=""),"",Match_Data!S877+Match_Data!T877)</x:f>
      </x:c>
      <x:c r="L877" t="str">
        <x:f>IF(OR(Match_Data!U877="",Match_Data!V877=""),"",Match_Data!U877-Match_Data!V877)</x:f>
      </x:c>
      <x:c r="M877" s="32" t="str">
        <x:f>IF(Match_Data!Y877="","",1/Match_Data!Y877)</x:f>
      </x:c>
      <x:c r="N877" s="32" t="str">
        <x:f>IF(Match_Data!AA877="","",1/Match_Data!AA877)</x:f>
      </x:c>
      <x:c r="O877" s="32" t="str">
        <x:f>IF(OR(M877="",N877=""),"",N877-M877)</x:f>
      </x:c>
      <x:c r="P877" t="str">
        <x:f>IF(Match_Data!J877="","",IF(Match_Data!J877="OVER",1,0))</x:f>
      </x:c>
    </x:row>
    <x:row r="878">
      <x:c r="A878" t="n">
        <x:f>Match_Data!A878</x:f>
        <x:v>0</x:v>
      </x:c>
      <x:c r="B878" s="28" t="n">
        <x:f>Match_Data!B878</x:f>
        <x:v>0</x:v>
      </x:c>
      <x:c r="C878" t="n">
        <x:f>Match_Data!C878</x:f>
        <x:v>0</x:v>
      </x:c>
      <x:c r="D878" t="n">
        <x:f>Match_Data!E878</x:f>
        <x:v>0</x:v>
      </x:c>
      <x:c r="E878" t="n">
        <x:f>Match_Data!F878</x:f>
        <x:v>0</x:v>
      </x:c>
      <x:c r="F878" t="n">
        <x:f>Match_Data!AC878</x:f>
        <x:v>0</x:v>
      </x:c>
      <x:c r="G878" t="str">
        <x:f>IF(OR(Match_Data!K878="",Match_Data!L878=""),"",AVERAGE(Match_Data!K878:L878))</x:f>
      </x:c>
      <x:c r="H878" t="str">
        <x:f>IF(OR(Match_Data!M878="",Match_Data!N878=""),"",AVERAGE(Match_Data!M878:N878))</x:f>
      </x:c>
      <x:c r="I878" t="str">
        <x:f>IF(OR(Match_Data!O878="",Match_Data!Q878=""),"",Match_Data!O878+Match_Data!Q878)</x:f>
      </x:c>
      <x:c r="J878" t="str">
        <x:f>IF(OR(Match_Data!P878="",Match_Data!R878=""),"",Match_Data!P878+Match_Data!R878)</x:f>
      </x:c>
      <x:c r="K878" t="str">
        <x:f>IF(OR(Match_Data!S878="",Match_Data!T878=""),"",Match_Data!S878+Match_Data!T878)</x:f>
      </x:c>
      <x:c r="L878" t="str">
        <x:f>IF(OR(Match_Data!U878="",Match_Data!V878=""),"",Match_Data!U878-Match_Data!V878)</x:f>
      </x:c>
      <x:c r="M878" s="32" t="str">
        <x:f>IF(Match_Data!Y878="","",1/Match_Data!Y878)</x:f>
      </x:c>
      <x:c r="N878" s="32" t="str">
        <x:f>IF(Match_Data!AA878="","",1/Match_Data!AA878)</x:f>
      </x:c>
      <x:c r="O878" s="32" t="str">
        <x:f>IF(OR(M878="",N878=""),"",N878-M878)</x:f>
      </x:c>
      <x:c r="P878" t="str">
        <x:f>IF(Match_Data!J878="","",IF(Match_Data!J878="OVER",1,0))</x:f>
      </x:c>
    </x:row>
    <x:row r="879">
      <x:c r="A879" t="n">
        <x:f>Match_Data!A879</x:f>
        <x:v>0</x:v>
      </x:c>
      <x:c r="B879" s="28" t="n">
        <x:f>Match_Data!B879</x:f>
        <x:v>0</x:v>
      </x:c>
      <x:c r="C879" t="n">
        <x:f>Match_Data!C879</x:f>
        <x:v>0</x:v>
      </x:c>
      <x:c r="D879" t="n">
        <x:f>Match_Data!E879</x:f>
        <x:v>0</x:v>
      </x:c>
      <x:c r="E879" t="n">
        <x:f>Match_Data!F879</x:f>
        <x:v>0</x:v>
      </x:c>
      <x:c r="F879" t="n">
        <x:f>Match_Data!AC879</x:f>
        <x:v>0</x:v>
      </x:c>
      <x:c r="G879" t="str">
        <x:f>IF(OR(Match_Data!K879="",Match_Data!L879=""),"",AVERAGE(Match_Data!K879:L879))</x:f>
      </x:c>
      <x:c r="H879" t="str">
        <x:f>IF(OR(Match_Data!M879="",Match_Data!N879=""),"",AVERAGE(Match_Data!M879:N879))</x:f>
      </x:c>
      <x:c r="I879" t="str">
        <x:f>IF(OR(Match_Data!O879="",Match_Data!Q879=""),"",Match_Data!O879+Match_Data!Q879)</x:f>
      </x:c>
      <x:c r="J879" t="str">
        <x:f>IF(OR(Match_Data!P879="",Match_Data!R879=""),"",Match_Data!P879+Match_Data!R879)</x:f>
      </x:c>
      <x:c r="K879" t="str">
        <x:f>IF(OR(Match_Data!S879="",Match_Data!T879=""),"",Match_Data!S879+Match_Data!T879)</x:f>
      </x:c>
      <x:c r="L879" t="str">
        <x:f>IF(OR(Match_Data!U879="",Match_Data!V879=""),"",Match_Data!U879-Match_Data!V879)</x:f>
      </x:c>
      <x:c r="M879" s="32" t="str">
        <x:f>IF(Match_Data!Y879="","",1/Match_Data!Y879)</x:f>
      </x:c>
      <x:c r="N879" s="32" t="str">
        <x:f>IF(Match_Data!AA879="","",1/Match_Data!AA879)</x:f>
      </x:c>
      <x:c r="O879" s="32" t="str">
        <x:f>IF(OR(M879="",N879=""),"",N879-M879)</x:f>
      </x:c>
      <x:c r="P879" t="str">
        <x:f>IF(Match_Data!J879="","",IF(Match_Data!J879="OVER",1,0))</x:f>
      </x:c>
    </x:row>
    <x:row r="880">
      <x:c r="A880" t="n">
        <x:f>Match_Data!A880</x:f>
        <x:v>0</x:v>
      </x:c>
      <x:c r="B880" s="28" t="n">
        <x:f>Match_Data!B880</x:f>
        <x:v>0</x:v>
      </x:c>
      <x:c r="C880" t="n">
        <x:f>Match_Data!C880</x:f>
        <x:v>0</x:v>
      </x:c>
      <x:c r="D880" t="n">
        <x:f>Match_Data!E880</x:f>
        <x:v>0</x:v>
      </x:c>
      <x:c r="E880" t="n">
        <x:f>Match_Data!F880</x:f>
        <x:v>0</x:v>
      </x:c>
      <x:c r="F880" t="n">
        <x:f>Match_Data!AC880</x:f>
        <x:v>0</x:v>
      </x:c>
      <x:c r="G880" t="str">
        <x:f>IF(OR(Match_Data!K880="",Match_Data!L880=""),"",AVERAGE(Match_Data!K880:L880))</x:f>
      </x:c>
      <x:c r="H880" t="str">
        <x:f>IF(OR(Match_Data!M880="",Match_Data!N880=""),"",AVERAGE(Match_Data!M880:N880))</x:f>
      </x:c>
      <x:c r="I880" t="str">
        <x:f>IF(OR(Match_Data!O880="",Match_Data!Q880=""),"",Match_Data!O880+Match_Data!Q880)</x:f>
      </x:c>
      <x:c r="J880" t="str">
        <x:f>IF(OR(Match_Data!P880="",Match_Data!R880=""),"",Match_Data!P880+Match_Data!R880)</x:f>
      </x:c>
      <x:c r="K880" t="str">
        <x:f>IF(OR(Match_Data!S880="",Match_Data!T880=""),"",Match_Data!S880+Match_Data!T880)</x:f>
      </x:c>
      <x:c r="L880" t="str">
        <x:f>IF(OR(Match_Data!U880="",Match_Data!V880=""),"",Match_Data!U880-Match_Data!V880)</x:f>
      </x:c>
      <x:c r="M880" s="32" t="str">
        <x:f>IF(Match_Data!Y880="","",1/Match_Data!Y880)</x:f>
      </x:c>
      <x:c r="N880" s="32" t="str">
        <x:f>IF(Match_Data!AA880="","",1/Match_Data!AA880)</x:f>
      </x:c>
      <x:c r="O880" s="32" t="str">
        <x:f>IF(OR(M880="",N880=""),"",N880-M880)</x:f>
      </x:c>
      <x:c r="P880" t="str">
        <x:f>IF(Match_Data!J880="","",IF(Match_Data!J880="OVER",1,0))</x:f>
      </x:c>
    </x:row>
    <x:row r="881">
      <x:c r="A881" t="n">
        <x:f>Match_Data!A881</x:f>
        <x:v>0</x:v>
      </x:c>
      <x:c r="B881" s="28" t="n">
        <x:f>Match_Data!B881</x:f>
        <x:v>0</x:v>
      </x:c>
      <x:c r="C881" t="n">
        <x:f>Match_Data!C881</x:f>
        <x:v>0</x:v>
      </x:c>
      <x:c r="D881" t="n">
        <x:f>Match_Data!E881</x:f>
        <x:v>0</x:v>
      </x:c>
      <x:c r="E881" t="n">
        <x:f>Match_Data!F881</x:f>
        <x:v>0</x:v>
      </x:c>
      <x:c r="F881" t="n">
        <x:f>Match_Data!AC881</x:f>
        <x:v>0</x:v>
      </x:c>
      <x:c r="G881" t="str">
        <x:f>IF(OR(Match_Data!K881="",Match_Data!L881=""),"",AVERAGE(Match_Data!K881:L881))</x:f>
      </x:c>
      <x:c r="H881" t="str">
        <x:f>IF(OR(Match_Data!M881="",Match_Data!N881=""),"",AVERAGE(Match_Data!M881:N881))</x:f>
      </x:c>
      <x:c r="I881" t="str">
        <x:f>IF(OR(Match_Data!O881="",Match_Data!Q881=""),"",Match_Data!O881+Match_Data!Q881)</x:f>
      </x:c>
      <x:c r="J881" t="str">
        <x:f>IF(OR(Match_Data!P881="",Match_Data!R881=""),"",Match_Data!P881+Match_Data!R881)</x:f>
      </x:c>
      <x:c r="K881" t="str">
        <x:f>IF(OR(Match_Data!S881="",Match_Data!T881=""),"",Match_Data!S881+Match_Data!T881)</x:f>
      </x:c>
      <x:c r="L881" t="str">
        <x:f>IF(OR(Match_Data!U881="",Match_Data!V881=""),"",Match_Data!U881-Match_Data!V881)</x:f>
      </x:c>
      <x:c r="M881" s="32" t="str">
        <x:f>IF(Match_Data!Y881="","",1/Match_Data!Y881)</x:f>
      </x:c>
      <x:c r="N881" s="32" t="str">
        <x:f>IF(Match_Data!AA881="","",1/Match_Data!AA881)</x:f>
      </x:c>
      <x:c r="O881" s="32" t="str">
        <x:f>IF(OR(M881="",N881=""),"",N881-M881)</x:f>
      </x:c>
      <x:c r="P881" t="str">
        <x:f>IF(Match_Data!J881="","",IF(Match_Data!J881="OVER",1,0))</x:f>
      </x:c>
    </x:row>
    <x:row r="882">
      <x:c r="A882" t="n">
        <x:f>Match_Data!A882</x:f>
        <x:v>0</x:v>
      </x:c>
      <x:c r="B882" s="28" t="n">
        <x:f>Match_Data!B882</x:f>
        <x:v>0</x:v>
      </x:c>
      <x:c r="C882" t="n">
        <x:f>Match_Data!C882</x:f>
        <x:v>0</x:v>
      </x:c>
      <x:c r="D882" t="n">
        <x:f>Match_Data!E882</x:f>
        <x:v>0</x:v>
      </x:c>
      <x:c r="E882" t="n">
        <x:f>Match_Data!F882</x:f>
        <x:v>0</x:v>
      </x:c>
      <x:c r="F882" t="n">
        <x:f>Match_Data!AC882</x:f>
        <x:v>0</x:v>
      </x:c>
      <x:c r="G882" t="str">
        <x:f>IF(OR(Match_Data!K882="",Match_Data!L882=""),"",AVERAGE(Match_Data!K882:L882))</x:f>
      </x:c>
      <x:c r="H882" t="str">
        <x:f>IF(OR(Match_Data!M882="",Match_Data!N882=""),"",AVERAGE(Match_Data!M882:N882))</x:f>
      </x:c>
      <x:c r="I882" t="str">
        <x:f>IF(OR(Match_Data!O882="",Match_Data!Q882=""),"",Match_Data!O882+Match_Data!Q882)</x:f>
      </x:c>
      <x:c r="J882" t="str">
        <x:f>IF(OR(Match_Data!P882="",Match_Data!R882=""),"",Match_Data!P882+Match_Data!R882)</x:f>
      </x:c>
      <x:c r="K882" t="str">
        <x:f>IF(OR(Match_Data!S882="",Match_Data!T882=""),"",Match_Data!S882+Match_Data!T882)</x:f>
      </x:c>
      <x:c r="L882" t="str">
        <x:f>IF(OR(Match_Data!U882="",Match_Data!V882=""),"",Match_Data!U882-Match_Data!V882)</x:f>
      </x:c>
      <x:c r="M882" s="32" t="str">
        <x:f>IF(Match_Data!Y882="","",1/Match_Data!Y882)</x:f>
      </x:c>
      <x:c r="N882" s="32" t="str">
        <x:f>IF(Match_Data!AA882="","",1/Match_Data!AA882)</x:f>
      </x:c>
      <x:c r="O882" s="32" t="str">
        <x:f>IF(OR(M882="",N882=""),"",N882-M882)</x:f>
      </x:c>
      <x:c r="P882" t="str">
        <x:f>IF(Match_Data!J882="","",IF(Match_Data!J882="OVER",1,0))</x:f>
      </x:c>
    </x:row>
    <x:row r="883">
      <x:c r="A883" t="n">
        <x:f>Match_Data!A883</x:f>
        <x:v>0</x:v>
      </x:c>
      <x:c r="B883" s="28" t="n">
        <x:f>Match_Data!B883</x:f>
        <x:v>0</x:v>
      </x:c>
      <x:c r="C883" t="n">
        <x:f>Match_Data!C883</x:f>
        <x:v>0</x:v>
      </x:c>
      <x:c r="D883" t="n">
        <x:f>Match_Data!E883</x:f>
        <x:v>0</x:v>
      </x:c>
      <x:c r="E883" t="n">
        <x:f>Match_Data!F883</x:f>
        <x:v>0</x:v>
      </x:c>
      <x:c r="F883" t="n">
        <x:f>Match_Data!AC883</x:f>
        <x:v>0</x:v>
      </x:c>
      <x:c r="G883" t="str">
        <x:f>IF(OR(Match_Data!K883="",Match_Data!L883=""),"",AVERAGE(Match_Data!K883:L883))</x:f>
      </x:c>
      <x:c r="H883" t="str">
        <x:f>IF(OR(Match_Data!M883="",Match_Data!N883=""),"",AVERAGE(Match_Data!M883:N883))</x:f>
      </x:c>
      <x:c r="I883" t="str">
        <x:f>IF(OR(Match_Data!O883="",Match_Data!Q883=""),"",Match_Data!O883+Match_Data!Q883)</x:f>
      </x:c>
      <x:c r="J883" t="str">
        <x:f>IF(OR(Match_Data!P883="",Match_Data!R883=""),"",Match_Data!P883+Match_Data!R883)</x:f>
      </x:c>
      <x:c r="K883" t="str">
        <x:f>IF(OR(Match_Data!S883="",Match_Data!T883=""),"",Match_Data!S883+Match_Data!T883)</x:f>
      </x:c>
      <x:c r="L883" t="str">
        <x:f>IF(OR(Match_Data!U883="",Match_Data!V883=""),"",Match_Data!U883-Match_Data!V883)</x:f>
      </x:c>
      <x:c r="M883" s="32" t="str">
        <x:f>IF(Match_Data!Y883="","",1/Match_Data!Y883)</x:f>
      </x:c>
      <x:c r="N883" s="32" t="str">
        <x:f>IF(Match_Data!AA883="","",1/Match_Data!AA883)</x:f>
      </x:c>
      <x:c r="O883" s="32" t="str">
        <x:f>IF(OR(M883="",N883=""),"",N883-M883)</x:f>
      </x:c>
      <x:c r="P883" t="str">
        <x:f>IF(Match_Data!J883="","",IF(Match_Data!J883="OVER",1,0))</x:f>
      </x:c>
    </x:row>
    <x:row r="884">
      <x:c r="A884" t="n">
        <x:f>Match_Data!A884</x:f>
        <x:v>0</x:v>
      </x:c>
      <x:c r="B884" s="28" t="n">
        <x:f>Match_Data!B884</x:f>
        <x:v>0</x:v>
      </x:c>
      <x:c r="C884" t="n">
        <x:f>Match_Data!C884</x:f>
        <x:v>0</x:v>
      </x:c>
      <x:c r="D884" t="n">
        <x:f>Match_Data!E884</x:f>
        <x:v>0</x:v>
      </x:c>
      <x:c r="E884" t="n">
        <x:f>Match_Data!F884</x:f>
        <x:v>0</x:v>
      </x:c>
      <x:c r="F884" t="n">
        <x:f>Match_Data!AC884</x:f>
        <x:v>0</x:v>
      </x:c>
      <x:c r="G884" t="str">
        <x:f>IF(OR(Match_Data!K884="",Match_Data!L884=""),"",AVERAGE(Match_Data!K884:L884))</x:f>
      </x:c>
      <x:c r="H884" t="str">
        <x:f>IF(OR(Match_Data!M884="",Match_Data!N884=""),"",AVERAGE(Match_Data!M884:N884))</x:f>
      </x:c>
      <x:c r="I884" t="str">
        <x:f>IF(OR(Match_Data!O884="",Match_Data!Q884=""),"",Match_Data!O884+Match_Data!Q884)</x:f>
      </x:c>
      <x:c r="J884" t="str">
        <x:f>IF(OR(Match_Data!P884="",Match_Data!R884=""),"",Match_Data!P884+Match_Data!R884)</x:f>
      </x:c>
      <x:c r="K884" t="str">
        <x:f>IF(OR(Match_Data!S884="",Match_Data!T884=""),"",Match_Data!S884+Match_Data!T884)</x:f>
      </x:c>
      <x:c r="L884" t="str">
        <x:f>IF(OR(Match_Data!U884="",Match_Data!V884=""),"",Match_Data!U884-Match_Data!V884)</x:f>
      </x:c>
      <x:c r="M884" s="32" t="str">
        <x:f>IF(Match_Data!Y884="","",1/Match_Data!Y884)</x:f>
      </x:c>
      <x:c r="N884" s="32" t="str">
        <x:f>IF(Match_Data!AA884="","",1/Match_Data!AA884)</x:f>
      </x:c>
      <x:c r="O884" s="32" t="str">
        <x:f>IF(OR(M884="",N884=""),"",N884-M884)</x:f>
      </x:c>
      <x:c r="P884" t="str">
        <x:f>IF(Match_Data!J884="","",IF(Match_Data!J884="OVER",1,0))</x:f>
      </x:c>
    </x:row>
    <x:row r="885">
      <x:c r="A885" t="n">
        <x:f>Match_Data!A885</x:f>
        <x:v>0</x:v>
      </x:c>
      <x:c r="B885" s="28" t="n">
        <x:f>Match_Data!B885</x:f>
        <x:v>0</x:v>
      </x:c>
      <x:c r="C885" t="n">
        <x:f>Match_Data!C885</x:f>
        <x:v>0</x:v>
      </x:c>
      <x:c r="D885" t="n">
        <x:f>Match_Data!E885</x:f>
        <x:v>0</x:v>
      </x:c>
      <x:c r="E885" t="n">
        <x:f>Match_Data!F885</x:f>
        <x:v>0</x:v>
      </x:c>
      <x:c r="F885" t="n">
        <x:f>Match_Data!AC885</x:f>
        <x:v>0</x:v>
      </x:c>
      <x:c r="G885" t="str">
        <x:f>IF(OR(Match_Data!K885="",Match_Data!L885=""),"",AVERAGE(Match_Data!K885:L885))</x:f>
      </x:c>
      <x:c r="H885" t="str">
        <x:f>IF(OR(Match_Data!M885="",Match_Data!N885=""),"",AVERAGE(Match_Data!M885:N885))</x:f>
      </x:c>
      <x:c r="I885" t="str">
        <x:f>IF(OR(Match_Data!O885="",Match_Data!Q885=""),"",Match_Data!O885+Match_Data!Q885)</x:f>
      </x:c>
      <x:c r="J885" t="str">
        <x:f>IF(OR(Match_Data!P885="",Match_Data!R885=""),"",Match_Data!P885+Match_Data!R885)</x:f>
      </x:c>
      <x:c r="K885" t="str">
        <x:f>IF(OR(Match_Data!S885="",Match_Data!T885=""),"",Match_Data!S885+Match_Data!T885)</x:f>
      </x:c>
      <x:c r="L885" t="str">
        <x:f>IF(OR(Match_Data!U885="",Match_Data!V885=""),"",Match_Data!U885-Match_Data!V885)</x:f>
      </x:c>
      <x:c r="M885" s="32" t="str">
        <x:f>IF(Match_Data!Y885="","",1/Match_Data!Y885)</x:f>
      </x:c>
      <x:c r="N885" s="32" t="str">
        <x:f>IF(Match_Data!AA885="","",1/Match_Data!AA885)</x:f>
      </x:c>
      <x:c r="O885" s="32" t="str">
        <x:f>IF(OR(M885="",N885=""),"",N885-M885)</x:f>
      </x:c>
      <x:c r="P885" t="str">
        <x:f>IF(Match_Data!J885="","",IF(Match_Data!J885="OVER",1,0))</x:f>
      </x:c>
    </x:row>
    <x:row r="886">
      <x:c r="A886" t="n">
        <x:f>Match_Data!A886</x:f>
        <x:v>0</x:v>
      </x:c>
      <x:c r="B886" s="28" t="n">
        <x:f>Match_Data!B886</x:f>
        <x:v>0</x:v>
      </x:c>
      <x:c r="C886" t="n">
        <x:f>Match_Data!C886</x:f>
        <x:v>0</x:v>
      </x:c>
      <x:c r="D886" t="n">
        <x:f>Match_Data!E886</x:f>
        <x:v>0</x:v>
      </x:c>
      <x:c r="E886" t="n">
        <x:f>Match_Data!F886</x:f>
        <x:v>0</x:v>
      </x:c>
      <x:c r="F886" t="n">
        <x:f>Match_Data!AC886</x:f>
        <x:v>0</x:v>
      </x:c>
      <x:c r="G886" t="str">
        <x:f>IF(OR(Match_Data!K886="",Match_Data!L886=""),"",AVERAGE(Match_Data!K886:L886))</x:f>
      </x:c>
      <x:c r="H886" t="str">
        <x:f>IF(OR(Match_Data!M886="",Match_Data!N886=""),"",AVERAGE(Match_Data!M886:N886))</x:f>
      </x:c>
      <x:c r="I886" t="str">
        <x:f>IF(OR(Match_Data!O886="",Match_Data!Q886=""),"",Match_Data!O886+Match_Data!Q886)</x:f>
      </x:c>
      <x:c r="J886" t="str">
        <x:f>IF(OR(Match_Data!P886="",Match_Data!R886=""),"",Match_Data!P886+Match_Data!R886)</x:f>
      </x:c>
      <x:c r="K886" t="str">
        <x:f>IF(OR(Match_Data!S886="",Match_Data!T886=""),"",Match_Data!S886+Match_Data!T886)</x:f>
      </x:c>
      <x:c r="L886" t="str">
        <x:f>IF(OR(Match_Data!U886="",Match_Data!V886=""),"",Match_Data!U886-Match_Data!V886)</x:f>
      </x:c>
      <x:c r="M886" s="32" t="str">
        <x:f>IF(Match_Data!Y886="","",1/Match_Data!Y886)</x:f>
      </x:c>
      <x:c r="N886" s="32" t="str">
        <x:f>IF(Match_Data!AA886="","",1/Match_Data!AA886)</x:f>
      </x:c>
      <x:c r="O886" s="32" t="str">
        <x:f>IF(OR(M886="",N886=""),"",N886-M886)</x:f>
      </x:c>
      <x:c r="P886" t="str">
        <x:f>IF(Match_Data!J886="","",IF(Match_Data!J886="OVER",1,0))</x:f>
      </x:c>
    </x:row>
    <x:row r="887">
      <x:c r="A887" t="n">
        <x:f>Match_Data!A887</x:f>
        <x:v>0</x:v>
      </x:c>
      <x:c r="B887" s="28" t="n">
        <x:f>Match_Data!B887</x:f>
        <x:v>0</x:v>
      </x:c>
      <x:c r="C887" t="n">
        <x:f>Match_Data!C887</x:f>
        <x:v>0</x:v>
      </x:c>
      <x:c r="D887" t="n">
        <x:f>Match_Data!E887</x:f>
        <x:v>0</x:v>
      </x:c>
      <x:c r="E887" t="n">
        <x:f>Match_Data!F887</x:f>
        <x:v>0</x:v>
      </x:c>
      <x:c r="F887" t="n">
        <x:f>Match_Data!AC887</x:f>
        <x:v>0</x:v>
      </x:c>
      <x:c r="G887" t="str">
        <x:f>IF(OR(Match_Data!K887="",Match_Data!L887=""),"",AVERAGE(Match_Data!K887:L887))</x:f>
      </x:c>
      <x:c r="H887" t="str">
        <x:f>IF(OR(Match_Data!M887="",Match_Data!N887=""),"",AVERAGE(Match_Data!M887:N887))</x:f>
      </x:c>
      <x:c r="I887" t="str">
        <x:f>IF(OR(Match_Data!O887="",Match_Data!Q887=""),"",Match_Data!O887+Match_Data!Q887)</x:f>
      </x:c>
      <x:c r="J887" t="str">
        <x:f>IF(OR(Match_Data!P887="",Match_Data!R887=""),"",Match_Data!P887+Match_Data!R887)</x:f>
      </x:c>
      <x:c r="K887" t="str">
        <x:f>IF(OR(Match_Data!S887="",Match_Data!T887=""),"",Match_Data!S887+Match_Data!T887)</x:f>
      </x:c>
      <x:c r="L887" t="str">
        <x:f>IF(OR(Match_Data!U887="",Match_Data!V887=""),"",Match_Data!U887-Match_Data!V887)</x:f>
      </x:c>
      <x:c r="M887" s="32" t="str">
        <x:f>IF(Match_Data!Y887="","",1/Match_Data!Y887)</x:f>
      </x:c>
      <x:c r="N887" s="32" t="str">
        <x:f>IF(Match_Data!AA887="","",1/Match_Data!AA887)</x:f>
      </x:c>
      <x:c r="O887" s="32" t="str">
        <x:f>IF(OR(M887="",N887=""),"",N887-M887)</x:f>
      </x:c>
      <x:c r="P887" t="str">
        <x:f>IF(Match_Data!J887="","",IF(Match_Data!J887="OVER",1,0))</x:f>
      </x:c>
    </x:row>
    <x:row r="888">
      <x:c r="A888" t="n">
        <x:f>Match_Data!A888</x:f>
        <x:v>0</x:v>
      </x:c>
      <x:c r="B888" s="28" t="n">
        <x:f>Match_Data!B888</x:f>
        <x:v>0</x:v>
      </x:c>
      <x:c r="C888" t="n">
        <x:f>Match_Data!C888</x:f>
        <x:v>0</x:v>
      </x:c>
      <x:c r="D888" t="n">
        <x:f>Match_Data!E888</x:f>
        <x:v>0</x:v>
      </x:c>
      <x:c r="E888" t="n">
        <x:f>Match_Data!F888</x:f>
        <x:v>0</x:v>
      </x:c>
      <x:c r="F888" t="n">
        <x:f>Match_Data!AC888</x:f>
        <x:v>0</x:v>
      </x:c>
      <x:c r="G888" t="str">
        <x:f>IF(OR(Match_Data!K888="",Match_Data!L888=""),"",AVERAGE(Match_Data!K888:L888))</x:f>
      </x:c>
      <x:c r="H888" t="str">
        <x:f>IF(OR(Match_Data!M888="",Match_Data!N888=""),"",AVERAGE(Match_Data!M888:N888))</x:f>
      </x:c>
      <x:c r="I888" t="str">
        <x:f>IF(OR(Match_Data!O888="",Match_Data!Q888=""),"",Match_Data!O888+Match_Data!Q888)</x:f>
      </x:c>
      <x:c r="J888" t="str">
        <x:f>IF(OR(Match_Data!P888="",Match_Data!R888=""),"",Match_Data!P888+Match_Data!R888)</x:f>
      </x:c>
      <x:c r="K888" t="str">
        <x:f>IF(OR(Match_Data!S888="",Match_Data!T888=""),"",Match_Data!S888+Match_Data!T888)</x:f>
      </x:c>
      <x:c r="L888" t="str">
        <x:f>IF(OR(Match_Data!U888="",Match_Data!V888=""),"",Match_Data!U888-Match_Data!V888)</x:f>
      </x:c>
      <x:c r="M888" s="32" t="str">
        <x:f>IF(Match_Data!Y888="","",1/Match_Data!Y888)</x:f>
      </x:c>
      <x:c r="N888" s="32" t="str">
        <x:f>IF(Match_Data!AA888="","",1/Match_Data!AA888)</x:f>
      </x:c>
      <x:c r="O888" s="32" t="str">
        <x:f>IF(OR(M888="",N888=""),"",N888-M888)</x:f>
      </x:c>
      <x:c r="P888" t="str">
        <x:f>IF(Match_Data!J888="","",IF(Match_Data!J888="OVER",1,0))</x:f>
      </x:c>
    </x:row>
    <x:row r="889">
      <x:c r="A889" t="n">
        <x:f>Match_Data!A889</x:f>
        <x:v>0</x:v>
      </x:c>
      <x:c r="B889" s="28" t="n">
        <x:f>Match_Data!B889</x:f>
        <x:v>0</x:v>
      </x:c>
      <x:c r="C889" t="n">
        <x:f>Match_Data!C889</x:f>
        <x:v>0</x:v>
      </x:c>
      <x:c r="D889" t="n">
        <x:f>Match_Data!E889</x:f>
        <x:v>0</x:v>
      </x:c>
      <x:c r="E889" t="n">
        <x:f>Match_Data!F889</x:f>
        <x:v>0</x:v>
      </x:c>
      <x:c r="F889" t="n">
        <x:f>Match_Data!AC889</x:f>
        <x:v>0</x:v>
      </x:c>
      <x:c r="G889" t="str">
        <x:f>IF(OR(Match_Data!K889="",Match_Data!L889=""),"",AVERAGE(Match_Data!K889:L889))</x:f>
      </x:c>
      <x:c r="H889" t="str">
        <x:f>IF(OR(Match_Data!M889="",Match_Data!N889=""),"",AVERAGE(Match_Data!M889:N889))</x:f>
      </x:c>
      <x:c r="I889" t="str">
        <x:f>IF(OR(Match_Data!O889="",Match_Data!Q889=""),"",Match_Data!O889+Match_Data!Q889)</x:f>
      </x:c>
      <x:c r="J889" t="str">
        <x:f>IF(OR(Match_Data!P889="",Match_Data!R889=""),"",Match_Data!P889+Match_Data!R889)</x:f>
      </x:c>
      <x:c r="K889" t="str">
        <x:f>IF(OR(Match_Data!S889="",Match_Data!T889=""),"",Match_Data!S889+Match_Data!T889)</x:f>
      </x:c>
      <x:c r="L889" t="str">
        <x:f>IF(OR(Match_Data!U889="",Match_Data!V889=""),"",Match_Data!U889-Match_Data!V889)</x:f>
      </x:c>
      <x:c r="M889" s="32" t="str">
        <x:f>IF(Match_Data!Y889="","",1/Match_Data!Y889)</x:f>
      </x:c>
      <x:c r="N889" s="32" t="str">
        <x:f>IF(Match_Data!AA889="","",1/Match_Data!AA889)</x:f>
      </x:c>
      <x:c r="O889" s="32" t="str">
        <x:f>IF(OR(M889="",N889=""),"",N889-M889)</x:f>
      </x:c>
      <x:c r="P889" t="str">
        <x:f>IF(Match_Data!J889="","",IF(Match_Data!J889="OVER",1,0))</x:f>
      </x:c>
    </x:row>
    <x:row r="890">
      <x:c r="A890" t="n">
        <x:f>Match_Data!A890</x:f>
        <x:v>0</x:v>
      </x:c>
      <x:c r="B890" s="28" t="n">
        <x:f>Match_Data!B890</x:f>
        <x:v>0</x:v>
      </x:c>
      <x:c r="C890" t="n">
        <x:f>Match_Data!C890</x:f>
        <x:v>0</x:v>
      </x:c>
      <x:c r="D890" t="n">
        <x:f>Match_Data!E890</x:f>
        <x:v>0</x:v>
      </x:c>
      <x:c r="E890" t="n">
        <x:f>Match_Data!F890</x:f>
        <x:v>0</x:v>
      </x:c>
      <x:c r="F890" t="n">
        <x:f>Match_Data!AC890</x:f>
        <x:v>0</x:v>
      </x:c>
      <x:c r="G890" t="str">
        <x:f>IF(OR(Match_Data!K890="",Match_Data!L890=""),"",AVERAGE(Match_Data!K890:L890))</x:f>
      </x:c>
      <x:c r="H890" t="str">
        <x:f>IF(OR(Match_Data!M890="",Match_Data!N890=""),"",AVERAGE(Match_Data!M890:N890))</x:f>
      </x:c>
      <x:c r="I890" t="str">
        <x:f>IF(OR(Match_Data!O890="",Match_Data!Q890=""),"",Match_Data!O890+Match_Data!Q890)</x:f>
      </x:c>
      <x:c r="J890" t="str">
        <x:f>IF(OR(Match_Data!P890="",Match_Data!R890=""),"",Match_Data!P890+Match_Data!R890)</x:f>
      </x:c>
      <x:c r="K890" t="str">
        <x:f>IF(OR(Match_Data!S890="",Match_Data!T890=""),"",Match_Data!S890+Match_Data!T890)</x:f>
      </x:c>
      <x:c r="L890" t="str">
        <x:f>IF(OR(Match_Data!U890="",Match_Data!V890=""),"",Match_Data!U890-Match_Data!V890)</x:f>
      </x:c>
      <x:c r="M890" s="32" t="str">
        <x:f>IF(Match_Data!Y890="","",1/Match_Data!Y890)</x:f>
      </x:c>
      <x:c r="N890" s="32" t="str">
        <x:f>IF(Match_Data!AA890="","",1/Match_Data!AA890)</x:f>
      </x:c>
      <x:c r="O890" s="32" t="str">
        <x:f>IF(OR(M890="",N890=""),"",N890-M890)</x:f>
      </x:c>
      <x:c r="P890" t="str">
        <x:f>IF(Match_Data!J890="","",IF(Match_Data!J890="OVER",1,0))</x:f>
      </x:c>
    </x:row>
    <x:row r="891">
      <x:c r="A891" t="n">
        <x:f>Match_Data!A891</x:f>
        <x:v>0</x:v>
      </x:c>
      <x:c r="B891" s="28" t="n">
        <x:f>Match_Data!B891</x:f>
        <x:v>0</x:v>
      </x:c>
      <x:c r="C891" t="n">
        <x:f>Match_Data!C891</x:f>
        <x:v>0</x:v>
      </x:c>
      <x:c r="D891" t="n">
        <x:f>Match_Data!E891</x:f>
        <x:v>0</x:v>
      </x:c>
      <x:c r="E891" t="n">
        <x:f>Match_Data!F891</x:f>
        <x:v>0</x:v>
      </x:c>
      <x:c r="F891" t="n">
        <x:f>Match_Data!AC891</x:f>
        <x:v>0</x:v>
      </x:c>
      <x:c r="G891" t="str">
        <x:f>IF(OR(Match_Data!K891="",Match_Data!L891=""),"",AVERAGE(Match_Data!K891:L891))</x:f>
      </x:c>
      <x:c r="H891" t="str">
        <x:f>IF(OR(Match_Data!M891="",Match_Data!N891=""),"",AVERAGE(Match_Data!M891:N891))</x:f>
      </x:c>
      <x:c r="I891" t="str">
        <x:f>IF(OR(Match_Data!O891="",Match_Data!Q891=""),"",Match_Data!O891+Match_Data!Q891)</x:f>
      </x:c>
      <x:c r="J891" t="str">
        <x:f>IF(OR(Match_Data!P891="",Match_Data!R891=""),"",Match_Data!P891+Match_Data!R891)</x:f>
      </x:c>
      <x:c r="K891" t="str">
        <x:f>IF(OR(Match_Data!S891="",Match_Data!T891=""),"",Match_Data!S891+Match_Data!T891)</x:f>
      </x:c>
      <x:c r="L891" t="str">
        <x:f>IF(OR(Match_Data!U891="",Match_Data!V891=""),"",Match_Data!U891-Match_Data!V891)</x:f>
      </x:c>
      <x:c r="M891" s="32" t="str">
        <x:f>IF(Match_Data!Y891="","",1/Match_Data!Y891)</x:f>
      </x:c>
      <x:c r="N891" s="32" t="str">
        <x:f>IF(Match_Data!AA891="","",1/Match_Data!AA891)</x:f>
      </x:c>
      <x:c r="O891" s="32" t="str">
        <x:f>IF(OR(M891="",N891=""),"",N891-M891)</x:f>
      </x:c>
      <x:c r="P891" t="str">
        <x:f>IF(Match_Data!J891="","",IF(Match_Data!J891="OVER",1,0))</x:f>
      </x:c>
    </x:row>
    <x:row r="892">
      <x:c r="A892" t="n">
        <x:f>Match_Data!A892</x:f>
        <x:v>0</x:v>
      </x:c>
      <x:c r="B892" s="28" t="n">
        <x:f>Match_Data!B892</x:f>
        <x:v>0</x:v>
      </x:c>
      <x:c r="C892" t="n">
        <x:f>Match_Data!C892</x:f>
        <x:v>0</x:v>
      </x:c>
      <x:c r="D892" t="n">
        <x:f>Match_Data!E892</x:f>
        <x:v>0</x:v>
      </x:c>
      <x:c r="E892" t="n">
        <x:f>Match_Data!F892</x:f>
        <x:v>0</x:v>
      </x:c>
      <x:c r="F892" t="n">
        <x:f>Match_Data!AC892</x:f>
        <x:v>0</x:v>
      </x:c>
      <x:c r="G892" t="str">
        <x:f>IF(OR(Match_Data!K892="",Match_Data!L892=""),"",AVERAGE(Match_Data!K892:L892))</x:f>
      </x:c>
      <x:c r="H892" t="str">
        <x:f>IF(OR(Match_Data!M892="",Match_Data!N892=""),"",AVERAGE(Match_Data!M892:N892))</x:f>
      </x:c>
      <x:c r="I892" t="str">
        <x:f>IF(OR(Match_Data!O892="",Match_Data!Q892=""),"",Match_Data!O892+Match_Data!Q892)</x:f>
      </x:c>
      <x:c r="J892" t="str">
        <x:f>IF(OR(Match_Data!P892="",Match_Data!R892=""),"",Match_Data!P892+Match_Data!R892)</x:f>
      </x:c>
      <x:c r="K892" t="str">
        <x:f>IF(OR(Match_Data!S892="",Match_Data!T892=""),"",Match_Data!S892+Match_Data!T892)</x:f>
      </x:c>
      <x:c r="L892" t="str">
        <x:f>IF(OR(Match_Data!U892="",Match_Data!V892=""),"",Match_Data!U892-Match_Data!V892)</x:f>
      </x:c>
      <x:c r="M892" s="32" t="str">
        <x:f>IF(Match_Data!Y892="","",1/Match_Data!Y892)</x:f>
      </x:c>
      <x:c r="N892" s="32" t="str">
        <x:f>IF(Match_Data!AA892="","",1/Match_Data!AA892)</x:f>
      </x:c>
      <x:c r="O892" s="32" t="str">
        <x:f>IF(OR(M892="",N892=""),"",N892-M892)</x:f>
      </x:c>
      <x:c r="P892" t="str">
        <x:f>IF(Match_Data!J892="","",IF(Match_Data!J892="OVER",1,0))</x:f>
      </x:c>
    </x:row>
    <x:row r="893">
      <x:c r="A893" t="n">
        <x:f>Match_Data!A893</x:f>
        <x:v>0</x:v>
      </x:c>
      <x:c r="B893" s="28" t="n">
        <x:f>Match_Data!B893</x:f>
        <x:v>0</x:v>
      </x:c>
      <x:c r="C893" t="n">
        <x:f>Match_Data!C893</x:f>
        <x:v>0</x:v>
      </x:c>
      <x:c r="D893" t="n">
        <x:f>Match_Data!E893</x:f>
        <x:v>0</x:v>
      </x:c>
      <x:c r="E893" t="n">
        <x:f>Match_Data!F893</x:f>
        <x:v>0</x:v>
      </x:c>
      <x:c r="F893" t="n">
        <x:f>Match_Data!AC893</x:f>
        <x:v>0</x:v>
      </x:c>
      <x:c r="G893" t="str">
        <x:f>IF(OR(Match_Data!K893="",Match_Data!L893=""),"",AVERAGE(Match_Data!K893:L893))</x:f>
      </x:c>
      <x:c r="H893" t="str">
        <x:f>IF(OR(Match_Data!M893="",Match_Data!N893=""),"",AVERAGE(Match_Data!M893:N893))</x:f>
      </x:c>
      <x:c r="I893" t="str">
        <x:f>IF(OR(Match_Data!O893="",Match_Data!Q893=""),"",Match_Data!O893+Match_Data!Q893)</x:f>
      </x:c>
      <x:c r="J893" t="str">
        <x:f>IF(OR(Match_Data!P893="",Match_Data!R893=""),"",Match_Data!P893+Match_Data!R893)</x:f>
      </x:c>
      <x:c r="K893" t="str">
        <x:f>IF(OR(Match_Data!S893="",Match_Data!T893=""),"",Match_Data!S893+Match_Data!T893)</x:f>
      </x:c>
      <x:c r="L893" t="str">
        <x:f>IF(OR(Match_Data!U893="",Match_Data!V893=""),"",Match_Data!U893-Match_Data!V893)</x:f>
      </x:c>
      <x:c r="M893" s="32" t="str">
        <x:f>IF(Match_Data!Y893="","",1/Match_Data!Y893)</x:f>
      </x:c>
      <x:c r="N893" s="32" t="str">
        <x:f>IF(Match_Data!AA893="","",1/Match_Data!AA893)</x:f>
      </x:c>
      <x:c r="O893" s="32" t="str">
        <x:f>IF(OR(M893="",N893=""),"",N893-M893)</x:f>
      </x:c>
      <x:c r="P893" t="str">
        <x:f>IF(Match_Data!J893="","",IF(Match_Data!J893="OVER",1,0))</x:f>
      </x:c>
    </x:row>
    <x:row r="894">
      <x:c r="A894" t="n">
        <x:f>Match_Data!A894</x:f>
        <x:v>0</x:v>
      </x:c>
      <x:c r="B894" s="28" t="n">
        <x:f>Match_Data!B894</x:f>
        <x:v>0</x:v>
      </x:c>
      <x:c r="C894" t="n">
        <x:f>Match_Data!C894</x:f>
        <x:v>0</x:v>
      </x:c>
      <x:c r="D894" t="n">
        <x:f>Match_Data!E894</x:f>
        <x:v>0</x:v>
      </x:c>
      <x:c r="E894" t="n">
        <x:f>Match_Data!F894</x:f>
        <x:v>0</x:v>
      </x:c>
      <x:c r="F894" t="n">
        <x:f>Match_Data!AC894</x:f>
        <x:v>0</x:v>
      </x:c>
      <x:c r="G894" t="str">
        <x:f>IF(OR(Match_Data!K894="",Match_Data!L894=""),"",AVERAGE(Match_Data!K894:L894))</x:f>
      </x:c>
      <x:c r="H894" t="str">
        <x:f>IF(OR(Match_Data!M894="",Match_Data!N894=""),"",AVERAGE(Match_Data!M894:N894))</x:f>
      </x:c>
      <x:c r="I894" t="str">
        <x:f>IF(OR(Match_Data!O894="",Match_Data!Q894=""),"",Match_Data!O894+Match_Data!Q894)</x:f>
      </x:c>
      <x:c r="J894" t="str">
        <x:f>IF(OR(Match_Data!P894="",Match_Data!R894=""),"",Match_Data!P894+Match_Data!R894)</x:f>
      </x:c>
      <x:c r="K894" t="str">
        <x:f>IF(OR(Match_Data!S894="",Match_Data!T894=""),"",Match_Data!S894+Match_Data!T894)</x:f>
      </x:c>
      <x:c r="L894" t="str">
        <x:f>IF(OR(Match_Data!U894="",Match_Data!V894=""),"",Match_Data!U894-Match_Data!V894)</x:f>
      </x:c>
      <x:c r="M894" s="32" t="str">
        <x:f>IF(Match_Data!Y894="","",1/Match_Data!Y894)</x:f>
      </x:c>
      <x:c r="N894" s="32" t="str">
        <x:f>IF(Match_Data!AA894="","",1/Match_Data!AA894)</x:f>
      </x:c>
      <x:c r="O894" s="32" t="str">
        <x:f>IF(OR(M894="",N894=""),"",N894-M894)</x:f>
      </x:c>
      <x:c r="P894" t="str">
        <x:f>IF(Match_Data!J894="","",IF(Match_Data!J894="OVER",1,0))</x:f>
      </x:c>
    </x:row>
    <x:row r="895">
      <x:c r="A895" t="n">
        <x:f>Match_Data!A895</x:f>
        <x:v>0</x:v>
      </x:c>
      <x:c r="B895" s="28" t="n">
        <x:f>Match_Data!B895</x:f>
        <x:v>0</x:v>
      </x:c>
      <x:c r="C895" t="n">
        <x:f>Match_Data!C895</x:f>
        <x:v>0</x:v>
      </x:c>
      <x:c r="D895" t="n">
        <x:f>Match_Data!E895</x:f>
        <x:v>0</x:v>
      </x:c>
      <x:c r="E895" t="n">
        <x:f>Match_Data!F895</x:f>
        <x:v>0</x:v>
      </x:c>
      <x:c r="F895" t="n">
        <x:f>Match_Data!AC895</x:f>
        <x:v>0</x:v>
      </x:c>
      <x:c r="G895" t="str">
        <x:f>IF(OR(Match_Data!K895="",Match_Data!L895=""),"",AVERAGE(Match_Data!K895:L895))</x:f>
      </x:c>
      <x:c r="H895" t="str">
        <x:f>IF(OR(Match_Data!M895="",Match_Data!N895=""),"",AVERAGE(Match_Data!M895:N895))</x:f>
      </x:c>
      <x:c r="I895" t="str">
        <x:f>IF(OR(Match_Data!O895="",Match_Data!Q895=""),"",Match_Data!O895+Match_Data!Q895)</x:f>
      </x:c>
      <x:c r="J895" t="str">
        <x:f>IF(OR(Match_Data!P895="",Match_Data!R895=""),"",Match_Data!P895+Match_Data!R895)</x:f>
      </x:c>
      <x:c r="K895" t="str">
        <x:f>IF(OR(Match_Data!S895="",Match_Data!T895=""),"",Match_Data!S895+Match_Data!T895)</x:f>
      </x:c>
      <x:c r="L895" t="str">
        <x:f>IF(OR(Match_Data!U895="",Match_Data!V895=""),"",Match_Data!U895-Match_Data!V895)</x:f>
      </x:c>
      <x:c r="M895" s="32" t="str">
        <x:f>IF(Match_Data!Y895="","",1/Match_Data!Y895)</x:f>
      </x:c>
      <x:c r="N895" s="32" t="str">
        <x:f>IF(Match_Data!AA895="","",1/Match_Data!AA895)</x:f>
      </x:c>
      <x:c r="O895" s="32" t="str">
        <x:f>IF(OR(M895="",N895=""),"",N895-M895)</x:f>
      </x:c>
      <x:c r="P895" t="str">
        <x:f>IF(Match_Data!J895="","",IF(Match_Data!J895="OVER",1,0))</x:f>
      </x:c>
    </x:row>
    <x:row r="896">
      <x:c r="A896" t="n">
        <x:f>Match_Data!A896</x:f>
        <x:v>0</x:v>
      </x:c>
      <x:c r="B896" s="28" t="n">
        <x:f>Match_Data!B896</x:f>
        <x:v>0</x:v>
      </x:c>
      <x:c r="C896" t="n">
        <x:f>Match_Data!C896</x:f>
        <x:v>0</x:v>
      </x:c>
      <x:c r="D896" t="n">
        <x:f>Match_Data!E896</x:f>
        <x:v>0</x:v>
      </x:c>
      <x:c r="E896" t="n">
        <x:f>Match_Data!F896</x:f>
        <x:v>0</x:v>
      </x:c>
      <x:c r="F896" t="n">
        <x:f>Match_Data!AC896</x:f>
        <x:v>0</x:v>
      </x:c>
      <x:c r="G896" t="str">
        <x:f>IF(OR(Match_Data!K896="",Match_Data!L896=""),"",AVERAGE(Match_Data!K896:L896))</x:f>
      </x:c>
      <x:c r="H896" t="str">
        <x:f>IF(OR(Match_Data!M896="",Match_Data!N896=""),"",AVERAGE(Match_Data!M896:N896))</x:f>
      </x:c>
      <x:c r="I896" t="str">
        <x:f>IF(OR(Match_Data!O896="",Match_Data!Q896=""),"",Match_Data!O896+Match_Data!Q896)</x:f>
      </x:c>
      <x:c r="J896" t="str">
        <x:f>IF(OR(Match_Data!P896="",Match_Data!R896=""),"",Match_Data!P896+Match_Data!R896)</x:f>
      </x:c>
      <x:c r="K896" t="str">
        <x:f>IF(OR(Match_Data!S896="",Match_Data!T896=""),"",Match_Data!S896+Match_Data!T896)</x:f>
      </x:c>
      <x:c r="L896" t="str">
        <x:f>IF(OR(Match_Data!U896="",Match_Data!V896=""),"",Match_Data!U896-Match_Data!V896)</x:f>
      </x:c>
      <x:c r="M896" s="32" t="str">
        <x:f>IF(Match_Data!Y896="","",1/Match_Data!Y896)</x:f>
      </x:c>
      <x:c r="N896" s="32" t="str">
        <x:f>IF(Match_Data!AA896="","",1/Match_Data!AA896)</x:f>
      </x:c>
      <x:c r="O896" s="32" t="str">
        <x:f>IF(OR(M896="",N896=""),"",N896-M896)</x:f>
      </x:c>
      <x:c r="P896" t="str">
        <x:f>IF(Match_Data!J896="","",IF(Match_Data!J896="OVER",1,0))</x:f>
      </x:c>
    </x:row>
    <x:row r="897">
      <x:c r="A897" t="n">
        <x:f>Match_Data!A897</x:f>
        <x:v>0</x:v>
      </x:c>
      <x:c r="B897" s="28" t="n">
        <x:f>Match_Data!B897</x:f>
        <x:v>0</x:v>
      </x:c>
      <x:c r="C897" t="n">
        <x:f>Match_Data!C897</x:f>
        <x:v>0</x:v>
      </x:c>
      <x:c r="D897" t="n">
        <x:f>Match_Data!E897</x:f>
        <x:v>0</x:v>
      </x:c>
      <x:c r="E897" t="n">
        <x:f>Match_Data!F897</x:f>
        <x:v>0</x:v>
      </x:c>
      <x:c r="F897" t="n">
        <x:f>Match_Data!AC897</x:f>
        <x:v>0</x:v>
      </x:c>
      <x:c r="G897" t="str">
        <x:f>IF(OR(Match_Data!K897="",Match_Data!L897=""),"",AVERAGE(Match_Data!K897:L897))</x:f>
      </x:c>
      <x:c r="H897" t="str">
        <x:f>IF(OR(Match_Data!M897="",Match_Data!N897=""),"",AVERAGE(Match_Data!M897:N897))</x:f>
      </x:c>
      <x:c r="I897" t="str">
        <x:f>IF(OR(Match_Data!O897="",Match_Data!Q897=""),"",Match_Data!O897+Match_Data!Q897)</x:f>
      </x:c>
      <x:c r="J897" t="str">
        <x:f>IF(OR(Match_Data!P897="",Match_Data!R897=""),"",Match_Data!P897+Match_Data!R897)</x:f>
      </x:c>
      <x:c r="K897" t="str">
        <x:f>IF(OR(Match_Data!S897="",Match_Data!T897=""),"",Match_Data!S897+Match_Data!T897)</x:f>
      </x:c>
      <x:c r="L897" t="str">
        <x:f>IF(OR(Match_Data!U897="",Match_Data!V897=""),"",Match_Data!U897-Match_Data!V897)</x:f>
      </x:c>
      <x:c r="M897" s="32" t="str">
        <x:f>IF(Match_Data!Y897="","",1/Match_Data!Y897)</x:f>
      </x:c>
      <x:c r="N897" s="32" t="str">
        <x:f>IF(Match_Data!AA897="","",1/Match_Data!AA897)</x:f>
      </x:c>
      <x:c r="O897" s="32" t="str">
        <x:f>IF(OR(M897="",N897=""),"",N897-M897)</x:f>
      </x:c>
      <x:c r="P897" t="str">
        <x:f>IF(Match_Data!J897="","",IF(Match_Data!J897="OVER",1,0))</x:f>
      </x:c>
    </x:row>
    <x:row r="898">
      <x:c r="A898" t="n">
        <x:f>Match_Data!A898</x:f>
        <x:v>0</x:v>
      </x:c>
      <x:c r="B898" s="28" t="n">
        <x:f>Match_Data!B898</x:f>
        <x:v>0</x:v>
      </x:c>
      <x:c r="C898" t="n">
        <x:f>Match_Data!C898</x:f>
        <x:v>0</x:v>
      </x:c>
      <x:c r="D898" t="n">
        <x:f>Match_Data!E898</x:f>
        <x:v>0</x:v>
      </x:c>
      <x:c r="E898" t="n">
        <x:f>Match_Data!F898</x:f>
        <x:v>0</x:v>
      </x:c>
      <x:c r="F898" t="n">
        <x:f>Match_Data!AC898</x:f>
        <x:v>0</x:v>
      </x:c>
      <x:c r="G898" t="str">
        <x:f>IF(OR(Match_Data!K898="",Match_Data!L898=""),"",AVERAGE(Match_Data!K898:L898))</x:f>
      </x:c>
      <x:c r="H898" t="str">
        <x:f>IF(OR(Match_Data!M898="",Match_Data!N898=""),"",AVERAGE(Match_Data!M898:N898))</x:f>
      </x:c>
      <x:c r="I898" t="str">
        <x:f>IF(OR(Match_Data!O898="",Match_Data!Q898=""),"",Match_Data!O898+Match_Data!Q898)</x:f>
      </x:c>
      <x:c r="J898" t="str">
        <x:f>IF(OR(Match_Data!P898="",Match_Data!R898=""),"",Match_Data!P898+Match_Data!R898)</x:f>
      </x:c>
      <x:c r="K898" t="str">
        <x:f>IF(OR(Match_Data!S898="",Match_Data!T898=""),"",Match_Data!S898+Match_Data!T898)</x:f>
      </x:c>
      <x:c r="L898" t="str">
        <x:f>IF(OR(Match_Data!U898="",Match_Data!V898=""),"",Match_Data!U898-Match_Data!V898)</x:f>
      </x:c>
      <x:c r="M898" s="32" t="str">
        <x:f>IF(Match_Data!Y898="","",1/Match_Data!Y898)</x:f>
      </x:c>
      <x:c r="N898" s="32" t="str">
        <x:f>IF(Match_Data!AA898="","",1/Match_Data!AA898)</x:f>
      </x:c>
      <x:c r="O898" s="32" t="str">
        <x:f>IF(OR(M898="",N898=""),"",N898-M898)</x:f>
      </x:c>
      <x:c r="P898" t="str">
        <x:f>IF(Match_Data!J898="","",IF(Match_Data!J898="OVER",1,0))</x:f>
      </x:c>
    </x:row>
    <x:row r="899">
      <x:c r="A899" t="n">
        <x:f>Match_Data!A899</x:f>
        <x:v>0</x:v>
      </x:c>
      <x:c r="B899" s="28" t="n">
        <x:f>Match_Data!B899</x:f>
        <x:v>0</x:v>
      </x:c>
      <x:c r="C899" t="n">
        <x:f>Match_Data!C899</x:f>
        <x:v>0</x:v>
      </x:c>
      <x:c r="D899" t="n">
        <x:f>Match_Data!E899</x:f>
        <x:v>0</x:v>
      </x:c>
      <x:c r="E899" t="n">
        <x:f>Match_Data!F899</x:f>
        <x:v>0</x:v>
      </x:c>
      <x:c r="F899" t="n">
        <x:f>Match_Data!AC899</x:f>
        <x:v>0</x:v>
      </x:c>
      <x:c r="G899" t="str">
        <x:f>IF(OR(Match_Data!K899="",Match_Data!L899=""),"",AVERAGE(Match_Data!K899:L899))</x:f>
      </x:c>
      <x:c r="H899" t="str">
        <x:f>IF(OR(Match_Data!M899="",Match_Data!N899=""),"",AVERAGE(Match_Data!M899:N899))</x:f>
      </x:c>
      <x:c r="I899" t="str">
        <x:f>IF(OR(Match_Data!O899="",Match_Data!Q899=""),"",Match_Data!O899+Match_Data!Q899)</x:f>
      </x:c>
      <x:c r="J899" t="str">
        <x:f>IF(OR(Match_Data!P899="",Match_Data!R899=""),"",Match_Data!P899+Match_Data!R899)</x:f>
      </x:c>
      <x:c r="K899" t="str">
        <x:f>IF(OR(Match_Data!S899="",Match_Data!T899=""),"",Match_Data!S899+Match_Data!T899)</x:f>
      </x:c>
      <x:c r="L899" t="str">
        <x:f>IF(OR(Match_Data!U899="",Match_Data!V899=""),"",Match_Data!U899-Match_Data!V899)</x:f>
      </x:c>
      <x:c r="M899" s="32" t="str">
        <x:f>IF(Match_Data!Y899="","",1/Match_Data!Y899)</x:f>
      </x:c>
      <x:c r="N899" s="32" t="str">
        <x:f>IF(Match_Data!AA899="","",1/Match_Data!AA899)</x:f>
      </x:c>
      <x:c r="O899" s="32" t="str">
        <x:f>IF(OR(M899="",N899=""),"",N899-M899)</x:f>
      </x:c>
      <x:c r="P899" t="str">
        <x:f>IF(Match_Data!J899="","",IF(Match_Data!J899="OVER",1,0))</x:f>
      </x:c>
    </x:row>
    <x:row r="900">
      <x:c r="A900" t="n">
        <x:f>Match_Data!A900</x:f>
        <x:v>0</x:v>
      </x:c>
      <x:c r="B900" s="28" t="n">
        <x:f>Match_Data!B900</x:f>
        <x:v>0</x:v>
      </x:c>
      <x:c r="C900" t="n">
        <x:f>Match_Data!C900</x:f>
        <x:v>0</x:v>
      </x:c>
      <x:c r="D900" t="n">
        <x:f>Match_Data!E900</x:f>
        <x:v>0</x:v>
      </x:c>
      <x:c r="E900" t="n">
        <x:f>Match_Data!F900</x:f>
        <x:v>0</x:v>
      </x:c>
      <x:c r="F900" t="n">
        <x:f>Match_Data!AC900</x:f>
        <x:v>0</x:v>
      </x:c>
      <x:c r="G900" t="str">
        <x:f>IF(OR(Match_Data!K900="",Match_Data!L900=""),"",AVERAGE(Match_Data!K900:L900))</x:f>
      </x:c>
      <x:c r="H900" t="str">
        <x:f>IF(OR(Match_Data!M900="",Match_Data!N900=""),"",AVERAGE(Match_Data!M900:N900))</x:f>
      </x:c>
      <x:c r="I900" t="str">
        <x:f>IF(OR(Match_Data!O900="",Match_Data!Q900=""),"",Match_Data!O900+Match_Data!Q900)</x:f>
      </x:c>
      <x:c r="J900" t="str">
        <x:f>IF(OR(Match_Data!P900="",Match_Data!R900=""),"",Match_Data!P900+Match_Data!R900)</x:f>
      </x:c>
      <x:c r="K900" t="str">
        <x:f>IF(OR(Match_Data!S900="",Match_Data!T900=""),"",Match_Data!S900+Match_Data!T900)</x:f>
      </x:c>
      <x:c r="L900" t="str">
        <x:f>IF(OR(Match_Data!U900="",Match_Data!V900=""),"",Match_Data!U900-Match_Data!V900)</x:f>
      </x:c>
      <x:c r="M900" s="32" t="str">
        <x:f>IF(Match_Data!Y900="","",1/Match_Data!Y900)</x:f>
      </x:c>
      <x:c r="N900" s="32" t="str">
        <x:f>IF(Match_Data!AA900="","",1/Match_Data!AA900)</x:f>
      </x:c>
      <x:c r="O900" s="32" t="str">
        <x:f>IF(OR(M900="",N900=""),"",N900-M900)</x:f>
      </x:c>
      <x:c r="P900" t="str">
        <x:f>IF(Match_Data!J900="","",IF(Match_Data!J900="OVER",1,0))</x:f>
      </x:c>
    </x:row>
    <x:row r="901">
      <x:c r="A901" t="n">
        <x:f>Match_Data!A901</x:f>
        <x:v>0</x:v>
      </x:c>
      <x:c r="B901" s="28" t="n">
        <x:f>Match_Data!B901</x:f>
        <x:v>0</x:v>
      </x:c>
      <x:c r="C901" t="n">
        <x:f>Match_Data!C901</x:f>
        <x:v>0</x:v>
      </x:c>
      <x:c r="D901" t="n">
        <x:f>Match_Data!E901</x:f>
        <x:v>0</x:v>
      </x:c>
      <x:c r="E901" t="n">
        <x:f>Match_Data!F901</x:f>
        <x:v>0</x:v>
      </x:c>
      <x:c r="F901" t="n">
        <x:f>Match_Data!AC901</x:f>
        <x:v>0</x:v>
      </x:c>
      <x:c r="G901" t="str">
        <x:f>IF(OR(Match_Data!K901="",Match_Data!L901=""),"",AVERAGE(Match_Data!K901:L901))</x:f>
      </x:c>
      <x:c r="H901" t="str">
        <x:f>IF(OR(Match_Data!M901="",Match_Data!N901=""),"",AVERAGE(Match_Data!M901:N901))</x:f>
      </x:c>
      <x:c r="I901" t="str">
        <x:f>IF(OR(Match_Data!O901="",Match_Data!Q901=""),"",Match_Data!O901+Match_Data!Q901)</x:f>
      </x:c>
      <x:c r="J901" t="str">
        <x:f>IF(OR(Match_Data!P901="",Match_Data!R901=""),"",Match_Data!P901+Match_Data!R901)</x:f>
      </x:c>
      <x:c r="K901" t="str">
        <x:f>IF(OR(Match_Data!S901="",Match_Data!T901=""),"",Match_Data!S901+Match_Data!T901)</x:f>
      </x:c>
      <x:c r="L901" t="str">
        <x:f>IF(OR(Match_Data!U901="",Match_Data!V901=""),"",Match_Data!U901-Match_Data!V901)</x:f>
      </x:c>
      <x:c r="M901" s="32" t="str">
        <x:f>IF(Match_Data!Y901="","",1/Match_Data!Y901)</x:f>
      </x:c>
      <x:c r="N901" s="32" t="str">
        <x:f>IF(Match_Data!AA901="","",1/Match_Data!AA901)</x:f>
      </x:c>
      <x:c r="O901" s="32" t="str">
        <x:f>IF(OR(M901="",N901=""),"",N901-M901)</x:f>
      </x:c>
      <x:c r="P901" t="str">
        <x:f>IF(Match_Data!J901="","",IF(Match_Data!J901="OVER",1,0))</x:f>
      </x:c>
    </x:row>
    <x:row r="902">
      <x:c r="A902" t="n">
        <x:f>Match_Data!A902</x:f>
        <x:v>0</x:v>
      </x:c>
      <x:c r="B902" s="28" t="n">
        <x:f>Match_Data!B902</x:f>
        <x:v>0</x:v>
      </x:c>
      <x:c r="C902" t="n">
        <x:f>Match_Data!C902</x:f>
        <x:v>0</x:v>
      </x:c>
      <x:c r="D902" t="n">
        <x:f>Match_Data!E902</x:f>
        <x:v>0</x:v>
      </x:c>
      <x:c r="E902" t="n">
        <x:f>Match_Data!F902</x:f>
        <x:v>0</x:v>
      </x:c>
      <x:c r="F902" t="n">
        <x:f>Match_Data!AC902</x:f>
        <x:v>0</x:v>
      </x:c>
      <x:c r="G902" t="str">
        <x:f>IF(OR(Match_Data!K902="",Match_Data!L902=""),"",AVERAGE(Match_Data!K902:L902))</x:f>
      </x:c>
      <x:c r="H902" t="str">
        <x:f>IF(OR(Match_Data!M902="",Match_Data!N902=""),"",AVERAGE(Match_Data!M902:N902))</x:f>
      </x:c>
      <x:c r="I902" t="str">
        <x:f>IF(OR(Match_Data!O902="",Match_Data!Q902=""),"",Match_Data!O902+Match_Data!Q902)</x:f>
      </x:c>
      <x:c r="J902" t="str">
        <x:f>IF(OR(Match_Data!P902="",Match_Data!R902=""),"",Match_Data!P902+Match_Data!R902)</x:f>
      </x:c>
      <x:c r="K902" t="str">
        <x:f>IF(OR(Match_Data!S902="",Match_Data!T902=""),"",Match_Data!S902+Match_Data!T902)</x:f>
      </x:c>
      <x:c r="L902" t="str">
        <x:f>IF(OR(Match_Data!U902="",Match_Data!V902=""),"",Match_Data!U902-Match_Data!V902)</x:f>
      </x:c>
      <x:c r="M902" s="32" t="str">
        <x:f>IF(Match_Data!Y902="","",1/Match_Data!Y902)</x:f>
      </x:c>
      <x:c r="N902" s="32" t="str">
        <x:f>IF(Match_Data!AA902="","",1/Match_Data!AA902)</x:f>
      </x:c>
      <x:c r="O902" s="32" t="str">
        <x:f>IF(OR(M902="",N902=""),"",N902-M902)</x:f>
      </x:c>
      <x:c r="P902" t="str">
        <x:f>IF(Match_Data!J902="","",IF(Match_Data!J902="OVER",1,0))</x:f>
      </x:c>
    </x:row>
    <x:row r="903">
      <x:c r="A903" t="n">
        <x:f>Match_Data!A903</x:f>
        <x:v>0</x:v>
      </x:c>
      <x:c r="B903" s="28" t="n">
        <x:f>Match_Data!B903</x:f>
        <x:v>0</x:v>
      </x:c>
      <x:c r="C903" t="n">
        <x:f>Match_Data!C903</x:f>
        <x:v>0</x:v>
      </x:c>
      <x:c r="D903" t="n">
        <x:f>Match_Data!E903</x:f>
        <x:v>0</x:v>
      </x:c>
      <x:c r="E903" t="n">
        <x:f>Match_Data!F903</x:f>
        <x:v>0</x:v>
      </x:c>
      <x:c r="F903" t="n">
        <x:f>Match_Data!AC903</x:f>
        <x:v>0</x:v>
      </x:c>
      <x:c r="G903" t="str">
        <x:f>IF(OR(Match_Data!K903="",Match_Data!L903=""),"",AVERAGE(Match_Data!K903:L903))</x:f>
      </x:c>
      <x:c r="H903" t="str">
        <x:f>IF(OR(Match_Data!M903="",Match_Data!N903=""),"",AVERAGE(Match_Data!M903:N903))</x:f>
      </x:c>
      <x:c r="I903" t="str">
        <x:f>IF(OR(Match_Data!O903="",Match_Data!Q903=""),"",Match_Data!O903+Match_Data!Q903)</x:f>
      </x:c>
      <x:c r="J903" t="str">
        <x:f>IF(OR(Match_Data!P903="",Match_Data!R903=""),"",Match_Data!P903+Match_Data!R903)</x:f>
      </x:c>
      <x:c r="K903" t="str">
        <x:f>IF(OR(Match_Data!S903="",Match_Data!T903=""),"",Match_Data!S903+Match_Data!T903)</x:f>
      </x:c>
      <x:c r="L903" t="str">
        <x:f>IF(OR(Match_Data!U903="",Match_Data!V903=""),"",Match_Data!U903-Match_Data!V903)</x:f>
      </x:c>
      <x:c r="M903" s="32" t="str">
        <x:f>IF(Match_Data!Y903="","",1/Match_Data!Y903)</x:f>
      </x:c>
      <x:c r="N903" s="32" t="str">
        <x:f>IF(Match_Data!AA903="","",1/Match_Data!AA903)</x:f>
      </x:c>
      <x:c r="O903" s="32" t="str">
        <x:f>IF(OR(M903="",N903=""),"",N903-M903)</x:f>
      </x:c>
      <x:c r="P903" t="str">
        <x:f>IF(Match_Data!J903="","",IF(Match_Data!J903="OVER",1,0))</x:f>
      </x:c>
    </x:row>
    <x:row r="904">
      <x:c r="A904" t="n">
        <x:f>Match_Data!A904</x:f>
        <x:v>0</x:v>
      </x:c>
      <x:c r="B904" s="28" t="n">
        <x:f>Match_Data!B904</x:f>
        <x:v>0</x:v>
      </x:c>
      <x:c r="C904" t="n">
        <x:f>Match_Data!C904</x:f>
        <x:v>0</x:v>
      </x:c>
      <x:c r="D904" t="n">
        <x:f>Match_Data!E904</x:f>
        <x:v>0</x:v>
      </x:c>
      <x:c r="E904" t="n">
        <x:f>Match_Data!F904</x:f>
        <x:v>0</x:v>
      </x:c>
      <x:c r="F904" t="n">
        <x:f>Match_Data!AC904</x:f>
        <x:v>0</x:v>
      </x:c>
      <x:c r="G904" t="str">
        <x:f>IF(OR(Match_Data!K904="",Match_Data!L904=""),"",AVERAGE(Match_Data!K904:L904))</x:f>
      </x:c>
      <x:c r="H904" t="str">
        <x:f>IF(OR(Match_Data!M904="",Match_Data!N904=""),"",AVERAGE(Match_Data!M904:N904))</x:f>
      </x:c>
      <x:c r="I904" t="str">
        <x:f>IF(OR(Match_Data!O904="",Match_Data!Q904=""),"",Match_Data!O904+Match_Data!Q904)</x:f>
      </x:c>
      <x:c r="J904" t="str">
        <x:f>IF(OR(Match_Data!P904="",Match_Data!R904=""),"",Match_Data!P904+Match_Data!R904)</x:f>
      </x:c>
      <x:c r="K904" t="str">
        <x:f>IF(OR(Match_Data!S904="",Match_Data!T904=""),"",Match_Data!S904+Match_Data!T904)</x:f>
      </x:c>
      <x:c r="L904" t="str">
        <x:f>IF(OR(Match_Data!U904="",Match_Data!V904=""),"",Match_Data!U904-Match_Data!V904)</x:f>
      </x:c>
      <x:c r="M904" s="32" t="str">
        <x:f>IF(Match_Data!Y904="","",1/Match_Data!Y904)</x:f>
      </x:c>
      <x:c r="N904" s="32" t="str">
        <x:f>IF(Match_Data!AA904="","",1/Match_Data!AA904)</x:f>
      </x:c>
      <x:c r="O904" s="32" t="str">
        <x:f>IF(OR(M904="",N904=""),"",N904-M904)</x:f>
      </x:c>
      <x:c r="P904" t="str">
        <x:f>IF(Match_Data!J904="","",IF(Match_Data!J904="OVER",1,0))</x:f>
      </x:c>
    </x:row>
    <x:row r="905">
      <x:c r="A905" t="n">
        <x:f>Match_Data!A905</x:f>
        <x:v>0</x:v>
      </x:c>
      <x:c r="B905" s="28" t="n">
        <x:f>Match_Data!B905</x:f>
        <x:v>0</x:v>
      </x:c>
      <x:c r="C905" t="n">
        <x:f>Match_Data!C905</x:f>
        <x:v>0</x:v>
      </x:c>
      <x:c r="D905" t="n">
        <x:f>Match_Data!E905</x:f>
        <x:v>0</x:v>
      </x:c>
      <x:c r="E905" t="n">
        <x:f>Match_Data!F905</x:f>
        <x:v>0</x:v>
      </x:c>
      <x:c r="F905" t="n">
        <x:f>Match_Data!AC905</x:f>
        <x:v>0</x:v>
      </x:c>
      <x:c r="G905" t="str">
        <x:f>IF(OR(Match_Data!K905="",Match_Data!L905=""),"",AVERAGE(Match_Data!K905:L905))</x:f>
      </x:c>
      <x:c r="H905" t="str">
        <x:f>IF(OR(Match_Data!M905="",Match_Data!N905=""),"",AVERAGE(Match_Data!M905:N905))</x:f>
      </x:c>
      <x:c r="I905" t="str">
        <x:f>IF(OR(Match_Data!O905="",Match_Data!Q905=""),"",Match_Data!O905+Match_Data!Q905)</x:f>
      </x:c>
      <x:c r="J905" t="str">
        <x:f>IF(OR(Match_Data!P905="",Match_Data!R905=""),"",Match_Data!P905+Match_Data!R905)</x:f>
      </x:c>
      <x:c r="K905" t="str">
        <x:f>IF(OR(Match_Data!S905="",Match_Data!T905=""),"",Match_Data!S905+Match_Data!T905)</x:f>
      </x:c>
      <x:c r="L905" t="str">
        <x:f>IF(OR(Match_Data!U905="",Match_Data!V905=""),"",Match_Data!U905-Match_Data!V905)</x:f>
      </x:c>
      <x:c r="M905" s="32" t="str">
        <x:f>IF(Match_Data!Y905="","",1/Match_Data!Y905)</x:f>
      </x:c>
      <x:c r="N905" s="32" t="str">
        <x:f>IF(Match_Data!AA905="","",1/Match_Data!AA905)</x:f>
      </x:c>
      <x:c r="O905" s="32" t="str">
        <x:f>IF(OR(M905="",N905=""),"",N905-M905)</x:f>
      </x:c>
      <x:c r="P905" t="str">
        <x:f>IF(Match_Data!J905="","",IF(Match_Data!J905="OVER",1,0))</x:f>
      </x:c>
    </x:row>
    <x:row r="906">
      <x:c r="A906" t="n">
        <x:f>Match_Data!A906</x:f>
        <x:v>0</x:v>
      </x:c>
      <x:c r="B906" s="28" t="n">
        <x:f>Match_Data!B906</x:f>
        <x:v>0</x:v>
      </x:c>
      <x:c r="C906" t="n">
        <x:f>Match_Data!C906</x:f>
        <x:v>0</x:v>
      </x:c>
      <x:c r="D906" t="n">
        <x:f>Match_Data!E906</x:f>
        <x:v>0</x:v>
      </x:c>
      <x:c r="E906" t="n">
        <x:f>Match_Data!F906</x:f>
        <x:v>0</x:v>
      </x:c>
      <x:c r="F906" t="n">
        <x:f>Match_Data!AC906</x:f>
        <x:v>0</x:v>
      </x:c>
      <x:c r="G906" t="str">
        <x:f>IF(OR(Match_Data!K906="",Match_Data!L906=""),"",AVERAGE(Match_Data!K906:L906))</x:f>
      </x:c>
      <x:c r="H906" t="str">
        <x:f>IF(OR(Match_Data!M906="",Match_Data!N906=""),"",AVERAGE(Match_Data!M906:N906))</x:f>
      </x:c>
      <x:c r="I906" t="str">
        <x:f>IF(OR(Match_Data!O906="",Match_Data!Q906=""),"",Match_Data!O906+Match_Data!Q906)</x:f>
      </x:c>
      <x:c r="J906" t="str">
        <x:f>IF(OR(Match_Data!P906="",Match_Data!R906=""),"",Match_Data!P906+Match_Data!R906)</x:f>
      </x:c>
      <x:c r="K906" t="str">
        <x:f>IF(OR(Match_Data!S906="",Match_Data!T906=""),"",Match_Data!S906+Match_Data!T906)</x:f>
      </x:c>
      <x:c r="L906" t="str">
        <x:f>IF(OR(Match_Data!U906="",Match_Data!V906=""),"",Match_Data!U906-Match_Data!V906)</x:f>
      </x:c>
      <x:c r="M906" s="32" t="str">
        <x:f>IF(Match_Data!Y906="","",1/Match_Data!Y906)</x:f>
      </x:c>
      <x:c r="N906" s="32" t="str">
        <x:f>IF(Match_Data!AA906="","",1/Match_Data!AA906)</x:f>
      </x:c>
      <x:c r="O906" s="32" t="str">
        <x:f>IF(OR(M906="",N906=""),"",N906-M906)</x:f>
      </x:c>
      <x:c r="P906" t="str">
        <x:f>IF(Match_Data!J906="","",IF(Match_Data!J906="OVER",1,0))</x:f>
      </x:c>
    </x:row>
    <x:row r="907">
      <x:c r="A907" t="n">
        <x:f>Match_Data!A907</x:f>
        <x:v>0</x:v>
      </x:c>
      <x:c r="B907" s="28" t="n">
        <x:f>Match_Data!B907</x:f>
        <x:v>0</x:v>
      </x:c>
      <x:c r="C907" t="n">
        <x:f>Match_Data!C907</x:f>
        <x:v>0</x:v>
      </x:c>
      <x:c r="D907" t="n">
        <x:f>Match_Data!E907</x:f>
        <x:v>0</x:v>
      </x:c>
      <x:c r="E907" t="n">
        <x:f>Match_Data!F907</x:f>
        <x:v>0</x:v>
      </x:c>
      <x:c r="F907" t="n">
        <x:f>Match_Data!AC907</x:f>
        <x:v>0</x:v>
      </x:c>
      <x:c r="G907" t="str">
        <x:f>IF(OR(Match_Data!K907="",Match_Data!L907=""),"",AVERAGE(Match_Data!K907:L907))</x:f>
      </x:c>
      <x:c r="H907" t="str">
        <x:f>IF(OR(Match_Data!M907="",Match_Data!N907=""),"",AVERAGE(Match_Data!M907:N907))</x:f>
      </x:c>
      <x:c r="I907" t="str">
        <x:f>IF(OR(Match_Data!O907="",Match_Data!Q907=""),"",Match_Data!O907+Match_Data!Q907)</x:f>
      </x:c>
      <x:c r="J907" t="str">
        <x:f>IF(OR(Match_Data!P907="",Match_Data!R907=""),"",Match_Data!P907+Match_Data!R907)</x:f>
      </x:c>
      <x:c r="K907" t="str">
        <x:f>IF(OR(Match_Data!S907="",Match_Data!T907=""),"",Match_Data!S907+Match_Data!T907)</x:f>
      </x:c>
      <x:c r="L907" t="str">
        <x:f>IF(OR(Match_Data!U907="",Match_Data!V907=""),"",Match_Data!U907-Match_Data!V907)</x:f>
      </x:c>
      <x:c r="M907" s="32" t="str">
        <x:f>IF(Match_Data!Y907="","",1/Match_Data!Y907)</x:f>
      </x:c>
      <x:c r="N907" s="32" t="str">
        <x:f>IF(Match_Data!AA907="","",1/Match_Data!AA907)</x:f>
      </x:c>
      <x:c r="O907" s="32" t="str">
        <x:f>IF(OR(M907="",N907=""),"",N907-M907)</x:f>
      </x:c>
      <x:c r="P907" t="str">
        <x:f>IF(Match_Data!J907="","",IF(Match_Data!J907="OVER",1,0))</x:f>
      </x:c>
    </x:row>
    <x:row r="908">
      <x:c r="A908" t="n">
        <x:f>Match_Data!A908</x:f>
        <x:v>0</x:v>
      </x:c>
      <x:c r="B908" s="28" t="n">
        <x:f>Match_Data!B908</x:f>
        <x:v>0</x:v>
      </x:c>
      <x:c r="C908" t="n">
        <x:f>Match_Data!C908</x:f>
        <x:v>0</x:v>
      </x:c>
      <x:c r="D908" t="n">
        <x:f>Match_Data!E908</x:f>
        <x:v>0</x:v>
      </x:c>
      <x:c r="E908" t="n">
        <x:f>Match_Data!F908</x:f>
        <x:v>0</x:v>
      </x:c>
      <x:c r="F908" t="n">
        <x:f>Match_Data!AC908</x:f>
        <x:v>0</x:v>
      </x:c>
      <x:c r="G908" t="str">
        <x:f>IF(OR(Match_Data!K908="",Match_Data!L908=""),"",AVERAGE(Match_Data!K908:L908))</x:f>
      </x:c>
      <x:c r="H908" t="str">
        <x:f>IF(OR(Match_Data!M908="",Match_Data!N908=""),"",AVERAGE(Match_Data!M908:N908))</x:f>
      </x:c>
      <x:c r="I908" t="str">
        <x:f>IF(OR(Match_Data!O908="",Match_Data!Q908=""),"",Match_Data!O908+Match_Data!Q908)</x:f>
      </x:c>
      <x:c r="J908" t="str">
        <x:f>IF(OR(Match_Data!P908="",Match_Data!R908=""),"",Match_Data!P908+Match_Data!R908)</x:f>
      </x:c>
      <x:c r="K908" t="str">
        <x:f>IF(OR(Match_Data!S908="",Match_Data!T908=""),"",Match_Data!S908+Match_Data!T908)</x:f>
      </x:c>
      <x:c r="L908" t="str">
        <x:f>IF(OR(Match_Data!U908="",Match_Data!V908=""),"",Match_Data!U908-Match_Data!V908)</x:f>
      </x:c>
      <x:c r="M908" s="32" t="str">
        <x:f>IF(Match_Data!Y908="","",1/Match_Data!Y908)</x:f>
      </x:c>
      <x:c r="N908" s="32" t="str">
        <x:f>IF(Match_Data!AA908="","",1/Match_Data!AA908)</x:f>
      </x:c>
      <x:c r="O908" s="32" t="str">
        <x:f>IF(OR(M908="",N908=""),"",N908-M908)</x:f>
      </x:c>
      <x:c r="P908" t="str">
        <x:f>IF(Match_Data!J908="","",IF(Match_Data!J908="OVER",1,0))</x:f>
      </x:c>
    </x:row>
    <x:row r="909">
      <x:c r="A909" t="n">
        <x:f>Match_Data!A909</x:f>
        <x:v>0</x:v>
      </x:c>
      <x:c r="B909" s="28" t="n">
        <x:f>Match_Data!B909</x:f>
        <x:v>0</x:v>
      </x:c>
      <x:c r="C909" t="n">
        <x:f>Match_Data!C909</x:f>
        <x:v>0</x:v>
      </x:c>
      <x:c r="D909" t="n">
        <x:f>Match_Data!E909</x:f>
        <x:v>0</x:v>
      </x:c>
      <x:c r="E909" t="n">
        <x:f>Match_Data!F909</x:f>
        <x:v>0</x:v>
      </x:c>
      <x:c r="F909" t="n">
        <x:f>Match_Data!AC909</x:f>
        <x:v>0</x:v>
      </x:c>
      <x:c r="G909" t="str">
        <x:f>IF(OR(Match_Data!K909="",Match_Data!L909=""),"",AVERAGE(Match_Data!K909:L909))</x:f>
      </x:c>
      <x:c r="H909" t="str">
        <x:f>IF(OR(Match_Data!M909="",Match_Data!N909=""),"",AVERAGE(Match_Data!M909:N909))</x:f>
      </x:c>
      <x:c r="I909" t="str">
        <x:f>IF(OR(Match_Data!O909="",Match_Data!Q909=""),"",Match_Data!O909+Match_Data!Q909)</x:f>
      </x:c>
      <x:c r="J909" t="str">
        <x:f>IF(OR(Match_Data!P909="",Match_Data!R909=""),"",Match_Data!P909+Match_Data!R909)</x:f>
      </x:c>
      <x:c r="K909" t="str">
        <x:f>IF(OR(Match_Data!S909="",Match_Data!T909=""),"",Match_Data!S909+Match_Data!T909)</x:f>
      </x:c>
      <x:c r="L909" t="str">
        <x:f>IF(OR(Match_Data!U909="",Match_Data!V909=""),"",Match_Data!U909-Match_Data!V909)</x:f>
      </x:c>
      <x:c r="M909" s="32" t="str">
        <x:f>IF(Match_Data!Y909="","",1/Match_Data!Y909)</x:f>
      </x:c>
      <x:c r="N909" s="32" t="str">
        <x:f>IF(Match_Data!AA909="","",1/Match_Data!AA909)</x:f>
      </x:c>
      <x:c r="O909" s="32" t="str">
        <x:f>IF(OR(M909="",N909=""),"",N909-M909)</x:f>
      </x:c>
      <x:c r="P909" t="str">
        <x:f>IF(Match_Data!J909="","",IF(Match_Data!J909="OVER",1,0))</x:f>
      </x:c>
    </x:row>
    <x:row r="910">
      <x:c r="A910" t="n">
        <x:f>Match_Data!A910</x:f>
        <x:v>0</x:v>
      </x:c>
      <x:c r="B910" s="28" t="n">
        <x:f>Match_Data!B910</x:f>
        <x:v>0</x:v>
      </x:c>
      <x:c r="C910" t="n">
        <x:f>Match_Data!C910</x:f>
        <x:v>0</x:v>
      </x:c>
      <x:c r="D910" t="n">
        <x:f>Match_Data!E910</x:f>
        <x:v>0</x:v>
      </x:c>
      <x:c r="E910" t="n">
        <x:f>Match_Data!F910</x:f>
        <x:v>0</x:v>
      </x:c>
      <x:c r="F910" t="n">
        <x:f>Match_Data!AC910</x:f>
        <x:v>0</x:v>
      </x:c>
      <x:c r="G910" t="str">
        <x:f>IF(OR(Match_Data!K910="",Match_Data!L910=""),"",AVERAGE(Match_Data!K910:L910))</x:f>
      </x:c>
      <x:c r="H910" t="str">
        <x:f>IF(OR(Match_Data!M910="",Match_Data!N910=""),"",AVERAGE(Match_Data!M910:N910))</x:f>
      </x:c>
      <x:c r="I910" t="str">
        <x:f>IF(OR(Match_Data!O910="",Match_Data!Q910=""),"",Match_Data!O910+Match_Data!Q910)</x:f>
      </x:c>
      <x:c r="J910" t="str">
        <x:f>IF(OR(Match_Data!P910="",Match_Data!R910=""),"",Match_Data!P910+Match_Data!R910)</x:f>
      </x:c>
      <x:c r="K910" t="str">
        <x:f>IF(OR(Match_Data!S910="",Match_Data!T910=""),"",Match_Data!S910+Match_Data!T910)</x:f>
      </x:c>
      <x:c r="L910" t="str">
        <x:f>IF(OR(Match_Data!U910="",Match_Data!V910=""),"",Match_Data!U910-Match_Data!V910)</x:f>
      </x:c>
      <x:c r="M910" s="32" t="str">
        <x:f>IF(Match_Data!Y910="","",1/Match_Data!Y910)</x:f>
      </x:c>
      <x:c r="N910" s="32" t="str">
        <x:f>IF(Match_Data!AA910="","",1/Match_Data!AA910)</x:f>
      </x:c>
      <x:c r="O910" s="32" t="str">
        <x:f>IF(OR(M910="",N910=""),"",N910-M910)</x:f>
      </x:c>
      <x:c r="P910" t="str">
        <x:f>IF(Match_Data!J910="","",IF(Match_Data!J910="OVER",1,0))</x:f>
      </x:c>
    </x:row>
    <x:row r="911">
      <x:c r="A911" t="n">
        <x:f>Match_Data!A911</x:f>
        <x:v>0</x:v>
      </x:c>
      <x:c r="B911" s="28" t="n">
        <x:f>Match_Data!B911</x:f>
        <x:v>0</x:v>
      </x:c>
      <x:c r="C911" t="n">
        <x:f>Match_Data!C911</x:f>
        <x:v>0</x:v>
      </x:c>
      <x:c r="D911" t="n">
        <x:f>Match_Data!E911</x:f>
        <x:v>0</x:v>
      </x:c>
      <x:c r="E911" t="n">
        <x:f>Match_Data!F911</x:f>
        <x:v>0</x:v>
      </x:c>
      <x:c r="F911" t="n">
        <x:f>Match_Data!AC911</x:f>
        <x:v>0</x:v>
      </x:c>
      <x:c r="G911" t="str">
        <x:f>IF(OR(Match_Data!K911="",Match_Data!L911=""),"",AVERAGE(Match_Data!K911:L911))</x:f>
      </x:c>
      <x:c r="H911" t="str">
        <x:f>IF(OR(Match_Data!M911="",Match_Data!N911=""),"",AVERAGE(Match_Data!M911:N911))</x:f>
      </x:c>
      <x:c r="I911" t="str">
        <x:f>IF(OR(Match_Data!O911="",Match_Data!Q911=""),"",Match_Data!O911+Match_Data!Q911)</x:f>
      </x:c>
      <x:c r="J911" t="str">
        <x:f>IF(OR(Match_Data!P911="",Match_Data!R911=""),"",Match_Data!P911+Match_Data!R911)</x:f>
      </x:c>
      <x:c r="K911" t="str">
        <x:f>IF(OR(Match_Data!S911="",Match_Data!T911=""),"",Match_Data!S911+Match_Data!T911)</x:f>
      </x:c>
      <x:c r="L911" t="str">
        <x:f>IF(OR(Match_Data!U911="",Match_Data!V911=""),"",Match_Data!U911-Match_Data!V911)</x:f>
      </x:c>
      <x:c r="M911" s="32" t="str">
        <x:f>IF(Match_Data!Y911="","",1/Match_Data!Y911)</x:f>
      </x:c>
      <x:c r="N911" s="32" t="str">
        <x:f>IF(Match_Data!AA911="","",1/Match_Data!AA911)</x:f>
      </x:c>
      <x:c r="O911" s="32" t="str">
        <x:f>IF(OR(M911="",N911=""),"",N911-M911)</x:f>
      </x:c>
      <x:c r="P911" t="str">
        <x:f>IF(Match_Data!J911="","",IF(Match_Data!J911="OVER",1,0))</x:f>
      </x:c>
    </x:row>
    <x:row r="912">
      <x:c r="A912" t="n">
        <x:f>Match_Data!A912</x:f>
        <x:v>0</x:v>
      </x:c>
      <x:c r="B912" s="28" t="n">
        <x:f>Match_Data!B912</x:f>
        <x:v>0</x:v>
      </x:c>
      <x:c r="C912" t="n">
        <x:f>Match_Data!C912</x:f>
        <x:v>0</x:v>
      </x:c>
      <x:c r="D912" t="n">
        <x:f>Match_Data!E912</x:f>
        <x:v>0</x:v>
      </x:c>
      <x:c r="E912" t="n">
        <x:f>Match_Data!F912</x:f>
        <x:v>0</x:v>
      </x:c>
      <x:c r="F912" t="n">
        <x:f>Match_Data!AC912</x:f>
        <x:v>0</x:v>
      </x:c>
      <x:c r="G912" t="str">
        <x:f>IF(OR(Match_Data!K912="",Match_Data!L912=""),"",AVERAGE(Match_Data!K912:L912))</x:f>
      </x:c>
      <x:c r="H912" t="str">
        <x:f>IF(OR(Match_Data!M912="",Match_Data!N912=""),"",AVERAGE(Match_Data!M912:N912))</x:f>
      </x:c>
      <x:c r="I912" t="str">
        <x:f>IF(OR(Match_Data!O912="",Match_Data!Q912=""),"",Match_Data!O912+Match_Data!Q912)</x:f>
      </x:c>
      <x:c r="J912" t="str">
        <x:f>IF(OR(Match_Data!P912="",Match_Data!R912=""),"",Match_Data!P912+Match_Data!R912)</x:f>
      </x:c>
      <x:c r="K912" t="str">
        <x:f>IF(OR(Match_Data!S912="",Match_Data!T912=""),"",Match_Data!S912+Match_Data!T912)</x:f>
      </x:c>
      <x:c r="L912" t="str">
        <x:f>IF(OR(Match_Data!U912="",Match_Data!V912=""),"",Match_Data!U912-Match_Data!V912)</x:f>
      </x:c>
      <x:c r="M912" s="32" t="str">
        <x:f>IF(Match_Data!Y912="","",1/Match_Data!Y912)</x:f>
      </x:c>
      <x:c r="N912" s="32" t="str">
        <x:f>IF(Match_Data!AA912="","",1/Match_Data!AA912)</x:f>
      </x:c>
      <x:c r="O912" s="32" t="str">
        <x:f>IF(OR(M912="",N912=""),"",N912-M912)</x:f>
      </x:c>
      <x:c r="P912" t="str">
        <x:f>IF(Match_Data!J912="","",IF(Match_Data!J912="OVER",1,0))</x:f>
      </x:c>
    </x:row>
    <x:row r="913">
      <x:c r="A913" t="n">
        <x:f>Match_Data!A913</x:f>
        <x:v>0</x:v>
      </x:c>
      <x:c r="B913" s="28" t="n">
        <x:f>Match_Data!B913</x:f>
        <x:v>0</x:v>
      </x:c>
      <x:c r="C913" t="n">
        <x:f>Match_Data!C913</x:f>
        <x:v>0</x:v>
      </x:c>
      <x:c r="D913" t="n">
        <x:f>Match_Data!E913</x:f>
        <x:v>0</x:v>
      </x:c>
      <x:c r="E913" t="n">
        <x:f>Match_Data!F913</x:f>
        <x:v>0</x:v>
      </x:c>
      <x:c r="F913" t="n">
        <x:f>Match_Data!AC913</x:f>
        <x:v>0</x:v>
      </x:c>
      <x:c r="G913" t="str">
        <x:f>IF(OR(Match_Data!K913="",Match_Data!L913=""),"",AVERAGE(Match_Data!K913:L913))</x:f>
      </x:c>
      <x:c r="H913" t="str">
        <x:f>IF(OR(Match_Data!M913="",Match_Data!N913=""),"",AVERAGE(Match_Data!M913:N913))</x:f>
      </x:c>
      <x:c r="I913" t="str">
        <x:f>IF(OR(Match_Data!O913="",Match_Data!Q913=""),"",Match_Data!O913+Match_Data!Q913)</x:f>
      </x:c>
      <x:c r="J913" t="str">
        <x:f>IF(OR(Match_Data!P913="",Match_Data!R913=""),"",Match_Data!P913+Match_Data!R913)</x:f>
      </x:c>
      <x:c r="K913" t="str">
        <x:f>IF(OR(Match_Data!S913="",Match_Data!T913=""),"",Match_Data!S913+Match_Data!T913)</x:f>
      </x:c>
      <x:c r="L913" t="str">
        <x:f>IF(OR(Match_Data!U913="",Match_Data!V913=""),"",Match_Data!U913-Match_Data!V913)</x:f>
      </x:c>
      <x:c r="M913" s="32" t="str">
        <x:f>IF(Match_Data!Y913="","",1/Match_Data!Y913)</x:f>
      </x:c>
      <x:c r="N913" s="32" t="str">
        <x:f>IF(Match_Data!AA913="","",1/Match_Data!AA913)</x:f>
      </x:c>
      <x:c r="O913" s="32" t="str">
        <x:f>IF(OR(M913="",N913=""),"",N913-M913)</x:f>
      </x:c>
      <x:c r="P913" t="str">
        <x:f>IF(Match_Data!J913="","",IF(Match_Data!J913="OVER",1,0))</x:f>
      </x:c>
    </x:row>
    <x:row r="914">
      <x:c r="A914" t="n">
        <x:f>Match_Data!A914</x:f>
        <x:v>0</x:v>
      </x:c>
      <x:c r="B914" s="28" t="n">
        <x:f>Match_Data!B914</x:f>
        <x:v>0</x:v>
      </x:c>
      <x:c r="C914" t="n">
        <x:f>Match_Data!C914</x:f>
        <x:v>0</x:v>
      </x:c>
      <x:c r="D914" t="n">
        <x:f>Match_Data!E914</x:f>
        <x:v>0</x:v>
      </x:c>
      <x:c r="E914" t="n">
        <x:f>Match_Data!F914</x:f>
        <x:v>0</x:v>
      </x:c>
      <x:c r="F914" t="n">
        <x:f>Match_Data!AC914</x:f>
        <x:v>0</x:v>
      </x:c>
      <x:c r="G914" t="str">
        <x:f>IF(OR(Match_Data!K914="",Match_Data!L914=""),"",AVERAGE(Match_Data!K914:L914))</x:f>
      </x:c>
      <x:c r="H914" t="str">
        <x:f>IF(OR(Match_Data!M914="",Match_Data!N914=""),"",AVERAGE(Match_Data!M914:N914))</x:f>
      </x:c>
      <x:c r="I914" t="str">
        <x:f>IF(OR(Match_Data!O914="",Match_Data!Q914=""),"",Match_Data!O914+Match_Data!Q914)</x:f>
      </x:c>
      <x:c r="J914" t="str">
        <x:f>IF(OR(Match_Data!P914="",Match_Data!R914=""),"",Match_Data!P914+Match_Data!R914)</x:f>
      </x:c>
      <x:c r="K914" t="str">
        <x:f>IF(OR(Match_Data!S914="",Match_Data!T914=""),"",Match_Data!S914+Match_Data!T914)</x:f>
      </x:c>
      <x:c r="L914" t="str">
        <x:f>IF(OR(Match_Data!U914="",Match_Data!V914=""),"",Match_Data!U914-Match_Data!V914)</x:f>
      </x:c>
      <x:c r="M914" s="32" t="str">
        <x:f>IF(Match_Data!Y914="","",1/Match_Data!Y914)</x:f>
      </x:c>
      <x:c r="N914" s="32" t="str">
        <x:f>IF(Match_Data!AA914="","",1/Match_Data!AA914)</x:f>
      </x:c>
      <x:c r="O914" s="32" t="str">
        <x:f>IF(OR(M914="",N914=""),"",N914-M914)</x:f>
      </x:c>
      <x:c r="P914" t="str">
        <x:f>IF(Match_Data!J914="","",IF(Match_Data!J914="OVER",1,0))</x:f>
      </x:c>
    </x:row>
    <x:row r="915">
      <x:c r="A915" t="n">
        <x:f>Match_Data!A915</x:f>
        <x:v>0</x:v>
      </x:c>
      <x:c r="B915" s="28" t="n">
        <x:f>Match_Data!B915</x:f>
        <x:v>0</x:v>
      </x:c>
      <x:c r="C915" t="n">
        <x:f>Match_Data!C915</x:f>
        <x:v>0</x:v>
      </x:c>
      <x:c r="D915" t="n">
        <x:f>Match_Data!E915</x:f>
        <x:v>0</x:v>
      </x:c>
      <x:c r="E915" t="n">
        <x:f>Match_Data!F915</x:f>
        <x:v>0</x:v>
      </x:c>
      <x:c r="F915" t="n">
        <x:f>Match_Data!AC915</x:f>
        <x:v>0</x:v>
      </x:c>
      <x:c r="G915" t="str">
        <x:f>IF(OR(Match_Data!K915="",Match_Data!L915=""),"",AVERAGE(Match_Data!K915:L915))</x:f>
      </x:c>
      <x:c r="H915" t="str">
        <x:f>IF(OR(Match_Data!M915="",Match_Data!N915=""),"",AVERAGE(Match_Data!M915:N915))</x:f>
      </x:c>
      <x:c r="I915" t="str">
        <x:f>IF(OR(Match_Data!O915="",Match_Data!Q915=""),"",Match_Data!O915+Match_Data!Q915)</x:f>
      </x:c>
      <x:c r="J915" t="str">
        <x:f>IF(OR(Match_Data!P915="",Match_Data!R915=""),"",Match_Data!P915+Match_Data!R915)</x:f>
      </x:c>
      <x:c r="K915" t="str">
        <x:f>IF(OR(Match_Data!S915="",Match_Data!T915=""),"",Match_Data!S915+Match_Data!T915)</x:f>
      </x:c>
      <x:c r="L915" t="str">
        <x:f>IF(OR(Match_Data!U915="",Match_Data!V915=""),"",Match_Data!U915-Match_Data!V915)</x:f>
      </x:c>
      <x:c r="M915" s="32" t="str">
        <x:f>IF(Match_Data!Y915="","",1/Match_Data!Y915)</x:f>
      </x:c>
      <x:c r="N915" s="32" t="str">
        <x:f>IF(Match_Data!AA915="","",1/Match_Data!AA915)</x:f>
      </x:c>
      <x:c r="O915" s="32" t="str">
        <x:f>IF(OR(M915="",N915=""),"",N915-M915)</x:f>
      </x:c>
      <x:c r="P915" t="str">
        <x:f>IF(Match_Data!J915="","",IF(Match_Data!J915="OVER",1,0))</x:f>
      </x:c>
    </x:row>
    <x:row r="916">
      <x:c r="A916" t="n">
        <x:f>Match_Data!A916</x:f>
        <x:v>0</x:v>
      </x:c>
      <x:c r="B916" s="28" t="n">
        <x:f>Match_Data!B916</x:f>
        <x:v>0</x:v>
      </x:c>
      <x:c r="C916" t="n">
        <x:f>Match_Data!C916</x:f>
        <x:v>0</x:v>
      </x:c>
      <x:c r="D916" t="n">
        <x:f>Match_Data!E916</x:f>
        <x:v>0</x:v>
      </x:c>
      <x:c r="E916" t="n">
        <x:f>Match_Data!F916</x:f>
        <x:v>0</x:v>
      </x:c>
      <x:c r="F916" t="n">
        <x:f>Match_Data!AC916</x:f>
        <x:v>0</x:v>
      </x:c>
      <x:c r="G916" t="str">
        <x:f>IF(OR(Match_Data!K916="",Match_Data!L916=""),"",AVERAGE(Match_Data!K916:L916))</x:f>
      </x:c>
      <x:c r="H916" t="str">
        <x:f>IF(OR(Match_Data!M916="",Match_Data!N916=""),"",AVERAGE(Match_Data!M916:N916))</x:f>
      </x:c>
      <x:c r="I916" t="str">
        <x:f>IF(OR(Match_Data!O916="",Match_Data!Q916=""),"",Match_Data!O916+Match_Data!Q916)</x:f>
      </x:c>
      <x:c r="J916" t="str">
        <x:f>IF(OR(Match_Data!P916="",Match_Data!R916=""),"",Match_Data!P916+Match_Data!R916)</x:f>
      </x:c>
      <x:c r="K916" t="str">
        <x:f>IF(OR(Match_Data!S916="",Match_Data!T916=""),"",Match_Data!S916+Match_Data!T916)</x:f>
      </x:c>
      <x:c r="L916" t="str">
        <x:f>IF(OR(Match_Data!U916="",Match_Data!V916=""),"",Match_Data!U916-Match_Data!V916)</x:f>
      </x:c>
      <x:c r="M916" s="32" t="str">
        <x:f>IF(Match_Data!Y916="","",1/Match_Data!Y916)</x:f>
      </x:c>
      <x:c r="N916" s="32" t="str">
        <x:f>IF(Match_Data!AA916="","",1/Match_Data!AA916)</x:f>
      </x:c>
      <x:c r="O916" s="32" t="str">
        <x:f>IF(OR(M916="",N916=""),"",N916-M916)</x:f>
      </x:c>
      <x:c r="P916" t="str">
        <x:f>IF(Match_Data!J916="","",IF(Match_Data!J916="OVER",1,0))</x:f>
      </x:c>
    </x:row>
    <x:row r="917">
      <x:c r="A917" t="n">
        <x:f>Match_Data!A917</x:f>
        <x:v>0</x:v>
      </x:c>
      <x:c r="B917" s="28" t="n">
        <x:f>Match_Data!B917</x:f>
        <x:v>0</x:v>
      </x:c>
      <x:c r="C917" t="n">
        <x:f>Match_Data!C917</x:f>
        <x:v>0</x:v>
      </x:c>
      <x:c r="D917" t="n">
        <x:f>Match_Data!E917</x:f>
        <x:v>0</x:v>
      </x:c>
      <x:c r="E917" t="n">
        <x:f>Match_Data!F917</x:f>
        <x:v>0</x:v>
      </x:c>
      <x:c r="F917" t="n">
        <x:f>Match_Data!AC917</x:f>
        <x:v>0</x:v>
      </x:c>
      <x:c r="G917" t="str">
        <x:f>IF(OR(Match_Data!K917="",Match_Data!L917=""),"",AVERAGE(Match_Data!K917:L917))</x:f>
      </x:c>
      <x:c r="H917" t="str">
        <x:f>IF(OR(Match_Data!M917="",Match_Data!N917=""),"",AVERAGE(Match_Data!M917:N917))</x:f>
      </x:c>
      <x:c r="I917" t="str">
        <x:f>IF(OR(Match_Data!O917="",Match_Data!Q917=""),"",Match_Data!O917+Match_Data!Q917)</x:f>
      </x:c>
      <x:c r="J917" t="str">
        <x:f>IF(OR(Match_Data!P917="",Match_Data!R917=""),"",Match_Data!P917+Match_Data!R917)</x:f>
      </x:c>
      <x:c r="K917" t="str">
        <x:f>IF(OR(Match_Data!S917="",Match_Data!T917=""),"",Match_Data!S917+Match_Data!T917)</x:f>
      </x:c>
      <x:c r="L917" t="str">
        <x:f>IF(OR(Match_Data!U917="",Match_Data!V917=""),"",Match_Data!U917-Match_Data!V917)</x:f>
      </x:c>
      <x:c r="M917" s="32" t="str">
        <x:f>IF(Match_Data!Y917="","",1/Match_Data!Y917)</x:f>
      </x:c>
      <x:c r="N917" s="32" t="str">
        <x:f>IF(Match_Data!AA917="","",1/Match_Data!AA917)</x:f>
      </x:c>
      <x:c r="O917" s="32" t="str">
        <x:f>IF(OR(M917="",N917=""),"",N917-M917)</x:f>
      </x:c>
      <x:c r="P917" t="str">
        <x:f>IF(Match_Data!J917="","",IF(Match_Data!J917="OVER",1,0))</x:f>
      </x:c>
    </x:row>
    <x:row r="918">
      <x:c r="A918" t="n">
        <x:f>Match_Data!A918</x:f>
        <x:v>0</x:v>
      </x:c>
      <x:c r="B918" s="28" t="n">
        <x:f>Match_Data!B918</x:f>
        <x:v>0</x:v>
      </x:c>
      <x:c r="C918" t="n">
        <x:f>Match_Data!C918</x:f>
        <x:v>0</x:v>
      </x:c>
      <x:c r="D918" t="n">
        <x:f>Match_Data!E918</x:f>
        <x:v>0</x:v>
      </x:c>
      <x:c r="E918" t="n">
        <x:f>Match_Data!F918</x:f>
        <x:v>0</x:v>
      </x:c>
      <x:c r="F918" t="n">
        <x:f>Match_Data!AC918</x:f>
        <x:v>0</x:v>
      </x:c>
      <x:c r="G918" t="str">
        <x:f>IF(OR(Match_Data!K918="",Match_Data!L918=""),"",AVERAGE(Match_Data!K918:L918))</x:f>
      </x:c>
      <x:c r="H918" t="str">
        <x:f>IF(OR(Match_Data!M918="",Match_Data!N918=""),"",AVERAGE(Match_Data!M918:N918))</x:f>
      </x:c>
      <x:c r="I918" t="str">
        <x:f>IF(OR(Match_Data!O918="",Match_Data!Q918=""),"",Match_Data!O918+Match_Data!Q918)</x:f>
      </x:c>
      <x:c r="J918" t="str">
        <x:f>IF(OR(Match_Data!P918="",Match_Data!R918=""),"",Match_Data!P918+Match_Data!R918)</x:f>
      </x:c>
      <x:c r="K918" t="str">
        <x:f>IF(OR(Match_Data!S918="",Match_Data!T918=""),"",Match_Data!S918+Match_Data!T918)</x:f>
      </x:c>
      <x:c r="L918" t="str">
        <x:f>IF(OR(Match_Data!U918="",Match_Data!V918=""),"",Match_Data!U918-Match_Data!V918)</x:f>
      </x:c>
      <x:c r="M918" s="32" t="str">
        <x:f>IF(Match_Data!Y918="","",1/Match_Data!Y918)</x:f>
      </x:c>
      <x:c r="N918" s="32" t="str">
        <x:f>IF(Match_Data!AA918="","",1/Match_Data!AA918)</x:f>
      </x:c>
      <x:c r="O918" s="32" t="str">
        <x:f>IF(OR(M918="",N918=""),"",N918-M918)</x:f>
      </x:c>
      <x:c r="P918" t="str">
        <x:f>IF(Match_Data!J918="","",IF(Match_Data!J918="OVER",1,0))</x:f>
      </x:c>
    </x:row>
    <x:row r="919">
      <x:c r="A919" t="n">
        <x:f>Match_Data!A919</x:f>
        <x:v>0</x:v>
      </x:c>
      <x:c r="B919" s="28" t="n">
        <x:f>Match_Data!B919</x:f>
        <x:v>0</x:v>
      </x:c>
      <x:c r="C919" t="n">
        <x:f>Match_Data!C919</x:f>
        <x:v>0</x:v>
      </x:c>
      <x:c r="D919" t="n">
        <x:f>Match_Data!E919</x:f>
        <x:v>0</x:v>
      </x:c>
      <x:c r="E919" t="n">
        <x:f>Match_Data!F919</x:f>
        <x:v>0</x:v>
      </x:c>
      <x:c r="F919" t="n">
        <x:f>Match_Data!AC919</x:f>
        <x:v>0</x:v>
      </x:c>
      <x:c r="G919" t="str">
        <x:f>IF(OR(Match_Data!K919="",Match_Data!L919=""),"",AVERAGE(Match_Data!K919:L919))</x:f>
      </x:c>
      <x:c r="H919" t="str">
        <x:f>IF(OR(Match_Data!M919="",Match_Data!N919=""),"",AVERAGE(Match_Data!M919:N919))</x:f>
      </x:c>
      <x:c r="I919" t="str">
        <x:f>IF(OR(Match_Data!O919="",Match_Data!Q919=""),"",Match_Data!O919+Match_Data!Q919)</x:f>
      </x:c>
      <x:c r="J919" t="str">
        <x:f>IF(OR(Match_Data!P919="",Match_Data!R919=""),"",Match_Data!P919+Match_Data!R919)</x:f>
      </x:c>
      <x:c r="K919" t="str">
        <x:f>IF(OR(Match_Data!S919="",Match_Data!T919=""),"",Match_Data!S919+Match_Data!T919)</x:f>
      </x:c>
      <x:c r="L919" t="str">
        <x:f>IF(OR(Match_Data!U919="",Match_Data!V919=""),"",Match_Data!U919-Match_Data!V919)</x:f>
      </x:c>
      <x:c r="M919" s="32" t="str">
        <x:f>IF(Match_Data!Y919="","",1/Match_Data!Y919)</x:f>
      </x:c>
      <x:c r="N919" s="32" t="str">
        <x:f>IF(Match_Data!AA919="","",1/Match_Data!AA919)</x:f>
      </x:c>
      <x:c r="O919" s="32" t="str">
        <x:f>IF(OR(M919="",N919=""),"",N919-M919)</x:f>
      </x:c>
      <x:c r="P919" t="str">
        <x:f>IF(Match_Data!J919="","",IF(Match_Data!J919="OVER",1,0))</x:f>
      </x:c>
    </x:row>
    <x:row r="920">
      <x:c r="A920" t="n">
        <x:f>Match_Data!A920</x:f>
        <x:v>0</x:v>
      </x:c>
      <x:c r="B920" s="28" t="n">
        <x:f>Match_Data!B920</x:f>
        <x:v>0</x:v>
      </x:c>
      <x:c r="C920" t="n">
        <x:f>Match_Data!C920</x:f>
        <x:v>0</x:v>
      </x:c>
      <x:c r="D920" t="n">
        <x:f>Match_Data!E920</x:f>
        <x:v>0</x:v>
      </x:c>
      <x:c r="E920" t="n">
        <x:f>Match_Data!F920</x:f>
        <x:v>0</x:v>
      </x:c>
      <x:c r="F920" t="n">
        <x:f>Match_Data!AC920</x:f>
        <x:v>0</x:v>
      </x:c>
      <x:c r="G920" t="str">
        <x:f>IF(OR(Match_Data!K920="",Match_Data!L920=""),"",AVERAGE(Match_Data!K920:L920))</x:f>
      </x:c>
      <x:c r="H920" t="str">
        <x:f>IF(OR(Match_Data!M920="",Match_Data!N920=""),"",AVERAGE(Match_Data!M920:N920))</x:f>
      </x:c>
      <x:c r="I920" t="str">
        <x:f>IF(OR(Match_Data!O920="",Match_Data!Q920=""),"",Match_Data!O920+Match_Data!Q920)</x:f>
      </x:c>
      <x:c r="J920" t="str">
        <x:f>IF(OR(Match_Data!P920="",Match_Data!R920=""),"",Match_Data!P920+Match_Data!R920)</x:f>
      </x:c>
      <x:c r="K920" t="str">
        <x:f>IF(OR(Match_Data!S920="",Match_Data!T920=""),"",Match_Data!S920+Match_Data!T920)</x:f>
      </x:c>
      <x:c r="L920" t="str">
        <x:f>IF(OR(Match_Data!U920="",Match_Data!V920=""),"",Match_Data!U920-Match_Data!V920)</x:f>
      </x:c>
      <x:c r="M920" s="32" t="str">
        <x:f>IF(Match_Data!Y920="","",1/Match_Data!Y920)</x:f>
      </x:c>
      <x:c r="N920" s="32" t="str">
        <x:f>IF(Match_Data!AA920="","",1/Match_Data!AA920)</x:f>
      </x:c>
      <x:c r="O920" s="32" t="str">
        <x:f>IF(OR(M920="",N920=""),"",N920-M920)</x:f>
      </x:c>
      <x:c r="P920" t="str">
        <x:f>IF(Match_Data!J920="","",IF(Match_Data!J920="OVER",1,0))</x:f>
      </x:c>
    </x:row>
    <x:row r="921">
      <x:c r="A921" t="n">
        <x:f>Match_Data!A921</x:f>
        <x:v>0</x:v>
      </x:c>
      <x:c r="B921" s="28" t="n">
        <x:f>Match_Data!B921</x:f>
        <x:v>0</x:v>
      </x:c>
      <x:c r="C921" t="n">
        <x:f>Match_Data!C921</x:f>
        <x:v>0</x:v>
      </x:c>
      <x:c r="D921" t="n">
        <x:f>Match_Data!E921</x:f>
        <x:v>0</x:v>
      </x:c>
      <x:c r="E921" t="n">
        <x:f>Match_Data!F921</x:f>
        <x:v>0</x:v>
      </x:c>
      <x:c r="F921" t="n">
        <x:f>Match_Data!AC921</x:f>
        <x:v>0</x:v>
      </x:c>
      <x:c r="G921" t="str">
        <x:f>IF(OR(Match_Data!K921="",Match_Data!L921=""),"",AVERAGE(Match_Data!K921:L921))</x:f>
      </x:c>
      <x:c r="H921" t="str">
        <x:f>IF(OR(Match_Data!M921="",Match_Data!N921=""),"",AVERAGE(Match_Data!M921:N921))</x:f>
      </x:c>
      <x:c r="I921" t="str">
        <x:f>IF(OR(Match_Data!O921="",Match_Data!Q921=""),"",Match_Data!O921+Match_Data!Q921)</x:f>
      </x:c>
      <x:c r="J921" t="str">
        <x:f>IF(OR(Match_Data!P921="",Match_Data!R921=""),"",Match_Data!P921+Match_Data!R921)</x:f>
      </x:c>
      <x:c r="K921" t="str">
        <x:f>IF(OR(Match_Data!S921="",Match_Data!T921=""),"",Match_Data!S921+Match_Data!T921)</x:f>
      </x:c>
      <x:c r="L921" t="str">
        <x:f>IF(OR(Match_Data!U921="",Match_Data!V921=""),"",Match_Data!U921-Match_Data!V921)</x:f>
      </x:c>
      <x:c r="M921" s="32" t="str">
        <x:f>IF(Match_Data!Y921="","",1/Match_Data!Y921)</x:f>
      </x:c>
      <x:c r="N921" s="32" t="str">
        <x:f>IF(Match_Data!AA921="","",1/Match_Data!AA921)</x:f>
      </x:c>
      <x:c r="O921" s="32" t="str">
        <x:f>IF(OR(M921="",N921=""),"",N921-M921)</x:f>
      </x:c>
      <x:c r="P921" t="str">
        <x:f>IF(Match_Data!J921="","",IF(Match_Data!J921="OVER",1,0))</x:f>
      </x:c>
    </x:row>
    <x:row r="922">
      <x:c r="A922" t="n">
        <x:f>Match_Data!A922</x:f>
        <x:v>0</x:v>
      </x:c>
      <x:c r="B922" s="28" t="n">
        <x:f>Match_Data!B922</x:f>
        <x:v>0</x:v>
      </x:c>
      <x:c r="C922" t="n">
        <x:f>Match_Data!C922</x:f>
        <x:v>0</x:v>
      </x:c>
      <x:c r="D922" t="n">
        <x:f>Match_Data!E922</x:f>
        <x:v>0</x:v>
      </x:c>
      <x:c r="E922" t="n">
        <x:f>Match_Data!F922</x:f>
        <x:v>0</x:v>
      </x:c>
      <x:c r="F922" t="n">
        <x:f>Match_Data!AC922</x:f>
        <x:v>0</x:v>
      </x:c>
      <x:c r="G922" t="str">
        <x:f>IF(OR(Match_Data!K922="",Match_Data!L922=""),"",AVERAGE(Match_Data!K922:L922))</x:f>
      </x:c>
      <x:c r="H922" t="str">
        <x:f>IF(OR(Match_Data!M922="",Match_Data!N922=""),"",AVERAGE(Match_Data!M922:N922))</x:f>
      </x:c>
      <x:c r="I922" t="str">
        <x:f>IF(OR(Match_Data!O922="",Match_Data!Q922=""),"",Match_Data!O922+Match_Data!Q922)</x:f>
      </x:c>
      <x:c r="J922" t="str">
        <x:f>IF(OR(Match_Data!P922="",Match_Data!R922=""),"",Match_Data!P922+Match_Data!R922)</x:f>
      </x:c>
      <x:c r="K922" t="str">
        <x:f>IF(OR(Match_Data!S922="",Match_Data!T922=""),"",Match_Data!S922+Match_Data!T922)</x:f>
      </x:c>
      <x:c r="L922" t="str">
        <x:f>IF(OR(Match_Data!U922="",Match_Data!V922=""),"",Match_Data!U922-Match_Data!V922)</x:f>
      </x:c>
      <x:c r="M922" s="32" t="str">
        <x:f>IF(Match_Data!Y922="","",1/Match_Data!Y922)</x:f>
      </x:c>
      <x:c r="N922" s="32" t="str">
        <x:f>IF(Match_Data!AA922="","",1/Match_Data!AA922)</x:f>
      </x:c>
      <x:c r="O922" s="32" t="str">
        <x:f>IF(OR(M922="",N922=""),"",N922-M922)</x:f>
      </x:c>
      <x:c r="P922" t="str">
        <x:f>IF(Match_Data!J922="","",IF(Match_Data!J922="OVER",1,0))</x:f>
      </x:c>
    </x:row>
    <x:row r="923">
      <x:c r="A923" t="n">
        <x:f>Match_Data!A923</x:f>
        <x:v>0</x:v>
      </x:c>
      <x:c r="B923" s="28" t="n">
        <x:f>Match_Data!B923</x:f>
        <x:v>0</x:v>
      </x:c>
      <x:c r="C923" t="n">
        <x:f>Match_Data!C923</x:f>
        <x:v>0</x:v>
      </x:c>
      <x:c r="D923" t="n">
        <x:f>Match_Data!E923</x:f>
        <x:v>0</x:v>
      </x:c>
      <x:c r="E923" t="n">
        <x:f>Match_Data!F923</x:f>
        <x:v>0</x:v>
      </x:c>
      <x:c r="F923" t="n">
        <x:f>Match_Data!AC923</x:f>
        <x:v>0</x:v>
      </x:c>
      <x:c r="G923" t="str">
        <x:f>IF(OR(Match_Data!K923="",Match_Data!L923=""),"",AVERAGE(Match_Data!K923:L923))</x:f>
      </x:c>
      <x:c r="H923" t="str">
        <x:f>IF(OR(Match_Data!M923="",Match_Data!N923=""),"",AVERAGE(Match_Data!M923:N923))</x:f>
      </x:c>
      <x:c r="I923" t="str">
        <x:f>IF(OR(Match_Data!O923="",Match_Data!Q923=""),"",Match_Data!O923+Match_Data!Q923)</x:f>
      </x:c>
      <x:c r="J923" t="str">
        <x:f>IF(OR(Match_Data!P923="",Match_Data!R923=""),"",Match_Data!P923+Match_Data!R923)</x:f>
      </x:c>
      <x:c r="K923" t="str">
        <x:f>IF(OR(Match_Data!S923="",Match_Data!T923=""),"",Match_Data!S923+Match_Data!T923)</x:f>
      </x:c>
      <x:c r="L923" t="str">
        <x:f>IF(OR(Match_Data!U923="",Match_Data!V923=""),"",Match_Data!U923-Match_Data!V923)</x:f>
      </x:c>
      <x:c r="M923" s="32" t="str">
        <x:f>IF(Match_Data!Y923="","",1/Match_Data!Y923)</x:f>
      </x:c>
      <x:c r="N923" s="32" t="str">
        <x:f>IF(Match_Data!AA923="","",1/Match_Data!AA923)</x:f>
      </x:c>
      <x:c r="O923" s="32" t="str">
        <x:f>IF(OR(M923="",N923=""),"",N923-M923)</x:f>
      </x:c>
      <x:c r="P923" t="str">
        <x:f>IF(Match_Data!J923="","",IF(Match_Data!J923="OVER",1,0))</x:f>
      </x:c>
    </x:row>
    <x:row r="924">
      <x:c r="A924" t="n">
        <x:f>Match_Data!A924</x:f>
        <x:v>0</x:v>
      </x:c>
      <x:c r="B924" s="28" t="n">
        <x:f>Match_Data!B924</x:f>
        <x:v>0</x:v>
      </x:c>
      <x:c r="C924" t="n">
        <x:f>Match_Data!C924</x:f>
        <x:v>0</x:v>
      </x:c>
      <x:c r="D924" t="n">
        <x:f>Match_Data!E924</x:f>
        <x:v>0</x:v>
      </x:c>
      <x:c r="E924" t="n">
        <x:f>Match_Data!F924</x:f>
        <x:v>0</x:v>
      </x:c>
      <x:c r="F924" t="n">
        <x:f>Match_Data!AC924</x:f>
        <x:v>0</x:v>
      </x:c>
      <x:c r="G924" t="str">
        <x:f>IF(OR(Match_Data!K924="",Match_Data!L924=""),"",AVERAGE(Match_Data!K924:L924))</x:f>
      </x:c>
      <x:c r="H924" t="str">
        <x:f>IF(OR(Match_Data!M924="",Match_Data!N924=""),"",AVERAGE(Match_Data!M924:N924))</x:f>
      </x:c>
      <x:c r="I924" t="str">
        <x:f>IF(OR(Match_Data!O924="",Match_Data!Q924=""),"",Match_Data!O924+Match_Data!Q924)</x:f>
      </x:c>
      <x:c r="J924" t="str">
        <x:f>IF(OR(Match_Data!P924="",Match_Data!R924=""),"",Match_Data!P924+Match_Data!R924)</x:f>
      </x:c>
      <x:c r="K924" t="str">
        <x:f>IF(OR(Match_Data!S924="",Match_Data!T924=""),"",Match_Data!S924+Match_Data!T924)</x:f>
      </x:c>
      <x:c r="L924" t="str">
        <x:f>IF(OR(Match_Data!U924="",Match_Data!V924=""),"",Match_Data!U924-Match_Data!V924)</x:f>
      </x:c>
      <x:c r="M924" s="32" t="str">
        <x:f>IF(Match_Data!Y924="","",1/Match_Data!Y924)</x:f>
      </x:c>
      <x:c r="N924" s="32" t="str">
        <x:f>IF(Match_Data!AA924="","",1/Match_Data!AA924)</x:f>
      </x:c>
      <x:c r="O924" s="32" t="str">
        <x:f>IF(OR(M924="",N924=""),"",N924-M924)</x:f>
      </x:c>
      <x:c r="P924" t="str">
        <x:f>IF(Match_Data!J924="","",IF(Match_Data!J924="OVER",1,0))</x:f>
      </x:c>
    </x:row>
    <x:row r="925">
      <x:c r="A925" t="n">
        <x:f>Match_Data!A925</x:f>
        <x:v>0</x:v>
      </x:c>
      <x:c r="B925" s="28" t="n">
        <x:f>Match_Data!B925</x:f>
        <x:v>0</x:v>
      </x:c>
      <x:c r="C925" t="n">
        <x:f>Match_Data!C925</x:f>
        <x:v>0</x:v>
      </x:c>
      <x:c r="D925" t="n">
        <x:f>Match_Data!E925</x:f>
        <x:v>0</x:v>
      </x:c>
      <x:c r="E925" t="n">
        <x:f>Match_Data!F925</x:f>
        <x:v>0</x:v>
      </x:c>
      <x:c r="F925" t="n">
        <x:f>Match_Data!AC925</x:f>
        <x:v>0</x:v>
      </x:c>
      <x:c r="G925" t="str">
        <x:f>IF(OR(Match_Data!K925="",Match_Data!L925=""),"",AVERAGE(Match_Data!K925:L925))</x:f>
      </x:c>
      <x:c r="H925" t="str">
        <x:f>IF(OR(Match_Data!M925="",Match_Data!N925=""),"",AVERAGE(Match_Data!M925:N925))</x:f>
      </x:c>
      <x:c r="I925" t="str">
        <x:f>IF(OR(Match_Data!O925="",Match_Data!Q925=""),"",Match_Data!O925+Match_Data!Q925)</x:f>
      </x:c>
      <x:c r="J925" t="str">
        <x:f>IF(OR(Match_Data!P925="",Match_Data!R925=""),"",Match_Data!P925+Match_Data!R925)</x:f>
      </x:c>
      <x:c r="K925" t="str">
        <x:f>IF(OR(Match_Data!S925="",Match_Data!T925=""),"",Match_Data!S925+Match_Data!T925)</x:f>
      </x:c>
      <x:c r="L925" t="str">
        <x:f>IF(OR(Match_Data!U925="",Match_Data!V925=""),"",Match_Data!U925-Match_Data!V925)</x:f>
      </x:c>
      <x:c r="M925" s="32" t="str">
        <x:f>IF(Match_Data!Y925="","",1/Match_Data!Y925)</x:f>
      </x:c>
      <x:c r="N925" s="32" t="str">
        <x:f>IF(Match_Data!AA925="","",1/Match_Data!AA925)</x:f>
      </x:c>
      <x:c r="O925" s="32" t="str">
        <x:f>IF(OR(M925="",N925=""),"",N925-M925)</x:f>
      </x:c>
      <x:c r="P925" t="str">
        <x:f>IF(Match_Data!J925="","",IF(Match_Data!J925="OVER",1,0))</x:f>
      </x:c>
    </x:row>
    <x:row r="926">
      <x:c r="A926" t="n">
        <x:f>Match_Data!A926</x:f>
        <x:v>0</x:v>
      </x:c>
      <x:c r="B926" s="28" t="n">
        <x:f>Match_Data!B926</x:f>
        <x:v>0</x:v>
      </x:c>
      <x:c r="C926" t="n">
        <x:f>Match_Data!C926</x:f>
        <x:v>0</x:v>
      </x:c>
      <x:c r="D926" t="n">
        <x:f>Match_Data!E926</x:f>
        <x:v>0</x:v>
      </x:c>
      <x:c r="E926" t="n">
        <x:f>Match_Data!F926</x:f>
        <x:v>0</x:v>
      </x:c>
      <x:c r="F926" t="n">
        <x:f>Match_Data!AC926</x:f>
        <x:v>0</x:v>
      </x:c>
      <x:c r="G926" t="str">
        <x:f>IF(OR(Match_Data!K926="",Match_Data!L926=""),"",AVERAGE(Match_Data!K926:L926))</x:f>
      </x:c>
      <x:c r="H926" t="str">
        <x:f>IF(OR(Match_Data!M926="",Match_Data!N926=""),"",AVERAGE(Match_Data!M926:N926))</x:f>
      </x:c>
      <x:c r="I926" t="str">
        <x:f>IF(OR(Match_Data!O926="",Match_Data!Q926=""),"",Match_Data!O926+Match_Data!Q926)</x:f>
      </x:c>
      <x:c r="J926" t="str">
        <x:f>IF(OR(Match_Data!P926="",Match_Data!R926=""),"",Match_Data!P926+Match_Data!R926)</x:f>
      </x:c>
      <x:c r="K926" t="str">
        <x:f>IF(OR(Match_Data!S926="",Match_Data!T926=""),"",Match_Data!S926+Match_Data!T926)</x:f>
      </x:c>
      <x:c r="L926" t="str">
        <x:f>IF(OR(Match_Data!U926="",Match_Data!V926=""),"",Match_Data!U926-Match_Data!V926)</x:f>
      </x:c>
      <x:c r="M926" s="32" t="str">
        <x:f>IF(Match_Data!Y926="","",1/Match_Data!Y926)</x:f>
      </x:c>
      <x:c r="N926" s="32" t="str">
        <x:f>IF(Match_Data!AA926="","",1/Match_Data!AA926)</x:f>
      </x:c>
      <x:c r="O926" s="32" t="str">
        <x:f>IF(OR(M926="",N926=""),"",N926-M926)</x:f>
      </x:c>
      <x:c r="P926" t="str">
        <x:f>IF(Match_Data!J926="","",IF(Match_Data!J926="OVER",1,0))</x:f>
      </x:c>
    </x:row>
    <x:row r="927">
      <x:c r="A927" t="n">
        <x:f>Match_Data!A927</x:f>
        <x:v>0</x:v>
      </x:c>
      <x:c r="B927" s="28" t="n">
        <x:f>Match_Data!B927</x:f>
        <x:v>0</x:v>
      </x:c>
      <x:c r="C927" t="n">
        <x:f>Match_Data!C927</x:f>
        <x:v>0</x:v>
      </x:c>
      <x:c r="D927" t="n">
        <x:f>Match_Data!E927</x:f>
        <x:v>0</x:v>
      </x:c>
      <x:c r="E927" t="n">
        <x:f>Match_Data!F927</x:f>
        <x:v>0</x:v>
      </x:c>
      <x:c r="F927" t="n">
        <x:f>Match_Data!AC927</x:f>
        <x:v>0</x:v>
      </x:c>
      <x:c r="G927" t="str">
        <x:f>IF(OR(Match_Data!K927="",Match_Data!L927=""),"",AVERAGE(Match_Data!K927:L927))</x:f>
      </x:c>
      <x:c r="H927" t="str">
        <x:f>IF(OR(Match_Data!M927="",Match_Data!N927=""),"",AVERAGE(Match_Data!M927:N927))</x:f>
      </x:c>
      <x:c r="I927" t="str">
        <x:f>IF(OR(Match_Data!O927="",Match_Data!Q927=""),"",Match_Data!O927+Match_Data!Q927)</x:f>
      </x:c>
      <x:c r="J927" t="str">
        <x:f>IF(OR(Match_Data!P927="",Match_Data!R927=""),"",Match_Data!P927+Match_Data!R927)</x:f>
      </x:c>
      <x:c r="K927" t="str">
        <x:f>IF(OR(Match_Data!S927="",Match_Data!T927=""),"",Match_Data!S927+Match_Data!T927)</x:f>
      </x:c>
      <x:c r="L927" t="str">
        <x:f>IF(OR(Match_Data!U927="",Match_Data!V927=""),"",Match_Data!U927-Match_Data!V927)</x:f>
      </x:c>
      <x:c r="M927" s="32" t="str">
        <x:f>IF(Match_Data!Y927="","",1/Match_Data!Y927)</x:f>
      </x:c>
      <x:c r="N927" s="32" t="str">
        <x:f>IF(Match_Data!AA927="","",1/Match_Data!AA927)</x:f>
      </x:c>
      <x:c r="O927" s="32" t="str">
        <x:f>IF(OR(M927="",N927=""),"",N927-M927)</x:f>
      </x:c>
      <x:c r="P927" t="str">
        <x:f>IF(Match_Data!J927="","",IF(Match_Data!J927="OVER",1,0))</x:f>
      </x:c>
    </x:row>
    <x:row r="928">
      <x:c r="A928" t="n">
        <x:f>Match_Data!A928</x:f>
        <x:v>0</x:v>
      </x:c>
      <x:c r="B928" s="28" t="n">
        <x:f>Match_Data!B928</x:f>
        <x:v>0</x:v>
      </x:c>
      <x:c r="C928" t="n">
        <x:f>Match_Data!C928</x:f>
        <x:v>0</x:v>
      </x:c>
      <x:c r="D928" t="n">
        <x:f>Match_Data!E928</x:f>
        <x:v>0</x:v>
      </x:c>
      <x:c r="E928" t="n">
        <x:f>Match_Data!F928</x:f>
        <x:v>0</x:v>
      </x:c>
      <x:c r="F928" t="n">
        <x:f>Match_Data!AC928</x:f>
        <x:v>0</x:v>
      </x:c>
      <x:c r="G928" t="str">
        <x:f>IF(OR(Match_Data!K928="",Match_Data!L928=""),"",AVERAGE(Match_Data!K928:L928))</x:f>
      </x:c>
      <x:c r="H928" t="str">
        <x:f>IF(OR(Match_Data!M928="",Match_Data!N928=""),"",AVERAGE(Match_Data!M928:N928))</x:f>
      </x:c>
      <x:c r="I928" t="str">
        <x:f>IF(OR(Match_Data!O928="",Match_Data!Q928=""),"",Match_Data!O928+Match_Data!Q928)</x:f>
      </x:c>
      <x:c r="J928" t="str">
        <x:f>IF(OR(Match_Data!P928="",Match_Data!R928=""),"",Match_Data!P928+Match_Data!R928)</x:f>
      </x:c>
      <x:c r="K928" t="str">
        <x:f>IF(OR(Match_Data!S928="",Match_Data!T928=""),"",Match_Data!S928+Match_Data!T928)</x:f>
      </x:c>
      <x:c r="L928" t="str">
        <x:f>IF(OR(Match_Data!U928="",Match_Data!V928=""),"",Match_Data!U928-Match_Data!V928)</x:f>
      </x:c>
      <x:c r="M928" s="32" t="str">
        <x:f>IF(Match_Data!Y928="","",1/Match_Data!Y928)</x:f>
      </x:c>
      <x:c r="N928" s="32" t="str">
        <x:f>IF(Match_Data!AA928="","",1/Match_Data!AA928)</x:f>
      </x:c>
      <x:c r="O928" s="32" t="str">
        <x:f>IF(OR(M928="",N928=""),"",N928-M928)</x:f>
      </x:c>
      <x:c r="P928" t="str">
        <x:f>IF(Match_Data!J928="","",IF(Match_Data!J928="OVER",1,0))</x:f>
      </x:c>
    </x:row>
    <x:row r="929">
      <x:c r="A929" t="n">
        <x:f>Match_Data!A929</x:f>
        <x:v>0</x:v>
      </x:c>
      <x:c r="B929" s="28" t="n">
        <x:f>Match_Data!B929</x:f>
        <x:v>0</x:v>
      </x:c>
      <x:c r="C929" t="n">
        <x:f>Match_Data!C929</x:f>
        <x:v>0</x:v>
      </x:c>
      <x:c r="D929" t="n">
        <x:f>Match_Data!E929</x:f>
        <x:v>0</x:v>
      </x:c>
      <x:c r="E929" t="n">
        <x:f>Match_Data!F929</x:f>
        <x:v>0</x:v>
      </x:c>
      <x:c r="F929" t="n">
        <x:f>Match_Data!AC929</x:f>
        <x:v>0</x:v>
      </x:c>
      <x:c r="G929" t="str">
        <x:f>IF(OR(Match_Data!K929="",Match_Data!L929=""),"",AVERAGE(Match_Data!K929:L929))</x:f>
      </x:c>
      <x:c r="H929" t="str">
        <x:f>IF(OR(Match_Data!M929="",Match_Data!N929=""),"",AVERAGE(Match_Data!M929:N929))</x:f>
      </x:c>
      <x:c r="I929" t="str">
        <x:f>IF(OR(Match_Data!O929="",Match_Data!Q929=""),"",Match_Data!O929+Match_Data!Q929)</x:f>
      </x:c>
      <x:c r="J929" t="str">
        <x:f>IF(OR(Match_Data!P929="",Match_Data!R929=""),"",Match_Data!P929+Match_Data!R929)</x:f>
      </x:c>
      <x:c r="K929" t="str">
        <x:f>IF(OR(Match_Data!S929="",Match_Data!T929=""),"",Match_Data!S929+Match_Data!T929)</x:f>
      </x:c>
      <x:c r="L929" t="str">
        <x:f>IF(OR(Match_Data!U929="",Match_Data!V929=""),"",Match_Data!U929-Match_Data!V929)</x:f>
      </x:c>
      <x:c r="M929" s="32" t="str">
        <x:f>IF(Match_Data!Y929="","",1/Match_Data!Y929)</x:f>
      </x:c>
      <x:c r="N929" s="32" t="str">
        <x:f>IF(Match_Data!AA929="","",1/Match_Data!AA929)</x:f>
      </x:c>
      <x:c r="O929" s="32" t="str">
        <x:f>IF(OR(M929="",N929=""),"",N929-M929)</x:f>
      </x:c>
      <x:c r="P929" t="str">
        <x:f>IF(Match_Data!J929="","",IF(Match_Data!J929="OVER",1,0))</x:f>
      </x:c>
    </x:row>
    <x:row r="930">
      <x:c r="A930" t="n">
        <x:f>Match_Data!A930</x:f>
        <x:v>0</x:v>
      </x:c>
      <x:c r="B930" s="28" t="n">
        <x:f>Match_Data!B930</x:f>
        <x:v>0</x:v>
      </x:c>
      <x:c r="C930" t="n">
        <x:f>Match_Data!C930</x:f>
        <x:v>0</x:v>
      </x:c>
      <x:c r="D930" t="n">
        <x:f>Match_Data!E930</x:f>
        <x:v>0</x:v>
      </x:c>
      <x:c r="E930" t="n">
        <x:f>Match_Data!F930</x:f>
        <x:v>0</x:v>
      </x:c>
      <x:c r="F930" t="n">
        <x:f>Match_Data!AC930</x:f>
        <x:v>0</x:v>
      </x:c>
      <x:c r="G930" t="str">
        <x:f>IF(OR(Match_Data!K930="",Match_Data!L930=""),"",AVERAGE(Match_Data!K930:L930))</x:f>
      </x:c>
      <x:c r="H930" t="str">
        <x:f>IF(OR(Match_Data!M930="",Match_Data!N930=""),"",AVERAGE(Match_Data!M930:N930))</x:f>
      </x:c>
      <x:c r="I930" t="str">
        <x:f>IF(OR(Match_Data!O930="",Match_Data!Q930=""),"",Match_Data!O930+Match_Data!Q930)</x:f>
      </x:c>
      <x:c r="J930" t="str">
        <x:f>IF(OR(Match_Data!P930="",Match_Data!R930=""),"",Match_Data!P930+Match_Data!R930)</x:f>
      </x:c>
      <x:c r="K930" t="str">
        <x:f>IF(OR(Match_Data!S930="",Match_Data!T930=""),"",Match_Data!S930+Match_Data!T930)</x:f>
      </x:c>
      <x:c r="L930" t="str">
        <x:f>IF(OR(Match_Data!U930="",Match_Data!V930=""),"",Match_Data!U930-Match_Data!V930)</x:f>
      </x:c>
      <x:c r="M930" s="32" t="str">
        <x:f>IF(Match_Data!Y930="","",1/Match_Data!Y930)</x:f>
      </x:c>
      <x:c r="N930" s="32" t="str">
        <x:f>IF(Match_Data!AA930="","",1/Match_Data!AA930)</x:f>
      </x:c>
      <x:c r="O930" s="32" t="str">
        <x:f>IF(OR(M930="",N930=""),"",N930-M930)</x:f>
      </x:c>
      <x:c r="P930" t="str">
        <x:f>IF(Match_Data!J930="","",IF(Match_Data!J930="OVER",1,0))</x:f>
      </x:c>
    </x:row>
    <x:row r="931">
      <x:c r="A931" t="n">
        <x:f>Match_Data!A931</x:f>
        <x:v>0</x:v>
      </x:c>
      <x:c r="B931" s="28" t="n">
        <x:f>Match_Data!B931</x:f>
        <x:v>0</x:v>
      </x:c>
      <x:c r="C931" t="n">
        <x:f>Match_Data!C931</x:f>
        <x:v>0</x:v>
      </x:c>
      <x:c r="D931" t="n">
        <x:f>Match_Data!E931</x:f>
        <x:v>0</x:v>
      </x:c>
      <x:c r="E931" t="n">
        <x:f>Match_Data!F931</x:f>
        <x:v>0</x:v>
      </x:c>
      <x:c r="F931" t="n">
        <x:f>Match_Data!AC931</x:f>
        <x:v>0</x:v>
      </x:c>
      <x:c r="G931" t="str">
        <x:f>IF(OR(Match_Data!K931="",Match_Data!L931=""),"",AVERAGE(Match_Data!K931:L931))</x:f>
      </x:c>
      <x:c r="H931" t="str">
        <x:f>IF(OR(Match_Data!M931="",Match_Data!N931=""),"",AVERAGE(Match_Data!M931:N931))</x:f>
      </x:c>
      <x:c r="I931" t="str">
        <x:f>IF(OR(Match_Data!O931="",Match_Data!Q931=""),"",Match_Data!O931+Match_Data!Q931)</x:f>
      </x:c>
      <x:c r="J931" t="str">
        <x:f>IF(OR(Match_Data!P931="",Match_Data!R931=""),"",Match_Data!P931+Match_Data!R931)</x:f>
      </x:c>
      <x:c r="K931" t="str">
        <x:f>IF(OR(Match_Data!S931="",Match_Data!T931=""),"",Match_Data!S931+Match_Data!T931)</x:f>
      </x:c>
      <x:c r="L931" t="str">
        <x:f>IF(OR(Match_Data!U931="",Match_Data!V931=""),"",Match_Data!U931-Match_Data!V931)</x:f>
      </x:c>
      <x:c r="M931" s="32" t="str">
        <x:f>IF(Match_Data!Y931="","",1/Match_Data!Y931)</x:f>
      </x:c>
      <x:c r="N931" s="32" t="str">
        <x:f>IF(Match_Data!AA931="","",1/Match_Data!AA931)</x:f>
      </x:c>
      <x:c r="O931" s="32" t="str">
        <x:f>IF(OR(M931="",N931=""),"",N931-M931)</x:f>
      </x:c>
      <x:c r="P931" t="str">
        <x:f>IF(Match_Data!J931="","",IF(Match_Data!J931="OVER",1,0))</x:f>
      </x:c>
    </x:row>
    <x:row r="932">
      <x:c r="A932" t="n">
        <x:f>Match_Data!A932</x:f>
        <x:v>0</x:v>
      </x:c>
      <x:c r="B932" s="28" t="n">
        <x:f>Match_Data!B932</x:f>
        <x:v>0</x:v>
      </x:c>
      <x:c r="C932" t="n">
        <x:f>Match_Data!C932</x:f>
        <x:v>0</x:v>
      </x:c>
      <x:c r="D932" t="n">
        <x:f>Match_Data!E932</x:f>
        <x:v>0</x:v>
      </x:c>
      <x:c r="E932" t="n">
        <x:f>Match_Data!F932</x:f>
        <x:v>0</x:v>
      </x:c>
      <x:c r="F932" t="n">
        <x:f>Match_Data!AC932</x:f>
        <x:v>0</x:v>
      </x:c>
      <x:c r="G932" t="str">
        <x:f>IF(OR(Match_Data!K932="",Match_Data!L932=""),"",AVERAGE(Match_Data!K932:L932))</x:f>
      </x:c>
      <x:c r="H932" t="str">
        <x:f>IF(OR(Match_Data!M932="",Match_Data!N932=""),"",AVERAGE(Match_Data!M932:N932))</x:f>
      </x:c>
      <x:c r="I932" t="str">
        <x:f>IF(OR(Match_Data!O932="",Match_Data!Q932=""),"",Match_Data!O932+Match_Data!Q932)</x:f>
      </x:c>
      <x:c r="J932" t="str">
        <x:f>IF(OR(Match_Data!P932="",Match_Data!R932=""),"",Match_Data!P932+Match_Data!R932)</x:f>
      </x:c>
      <x:c r="K932" t="str">
        <x:f>IF(OR(Match_Data!S932="",Match_Data!T932=""),"",Match_Data!S932+Match_Data!T932)</x:f>
      </x:c>
      <x:c r="L932" t="str">
        <x:f>IF(OR(Match_Data!U932="",Match_Data!V932=""),"",Match_Data!U932-Match_Data!V932)</x:f>
      </x:c>
      <x:c r="M932" s="32" t="str">
        <x:f>IF(Match_Data!Y932="","",1/Match_Data!Y932)</x:f>
      </x:c>
      <x:c r="N932" s="32" t="str">
        <x:f>IF(Match_Data!AA932="","",1/Match_Data!AA932)</x:f>
      </x:c>
      <x:c r="O932" s="32" t="str">
        <x:f>IF(OR(M932="",N932=""),"",N932-M932)</x:f>
      </x:c>
      <x:c r="P932" t="str">
        <x:f>IF(Match_Data!J932="","",IF(Match_Data!J932="OVER",1,0))</x:f>
      </x:c>
    </x:row>
    <x:row r="933">
      <x:c r="A933" t="n">
        <x:f>Match_Data!A933</x:f>
        <x:v>0</x:v>
      </x:c>
      <x:c r="B933" s="28" t="n">
        <x:f>Match_Data!B933</x:f>
        <x:v>0</x:v>
      </x:c>
      <x:c r="C933" t="n">
        <x:f>Match_Data!C933</x:f>
        <x:v>0</x:v>
      </x:c>
      <x:c r="D933" t="n">
        <x:f>Match_Data!E933</x:f>
        <x:v>0</x:v>
      </x:c>
      <x:c r="E933" t="n">
        <x:f>Match_Data!F933</x:f>
        <x:v>0</x:v>
      </x:c>
      <x:c r="F933" t="n">
        <x:f>Match_Data!AC933</x:f>
        <x:v>0</x:v>
      </x:c>
      <x:c r="G933" t="str">
        <x:f>IF(OR(Match_Data!K933="",Match_Data!L933=""),"",AVERAGE(Match_Data!K933:L933))</x:f>
      </x:c>
      <x:c r="H933" t="str">
        <x:f>IF(OR(Match_Data!M933="",Match_Data!N933=""),"",AVERAGE(Match_Data!M933:N933))</x:f>
      </x:c>
      <x:c r="I933" t="str">
        <x:f>IF(OR(Match_Data!O933="",Match_Data!Q933=""),"",Match_Data!O933+Match_Data!Q933)</x:f>
      </x:c>
      <x:c r="J933" t="str">
        <x:f>IF(OR(Match_Data!P933="",Match_Data!R933=""),"",Match_Data!P933+Match_Data!R933)</x:f>
      </x:c>
      <x:c r="K933" t="str">
        <x:f>IF(OR(Match_Data!S933="",Match_Data!T933=""),"",Match_Data!S933+Match_Data!T933)</x:f>
      </x:c>
      <x:c r="L933" t="str">
        <x:f>IF(OR(Match_Data!U933="",Match_Data!V933=""),"",Match_Data!U933-Match_Data!V933)</x:f>
      </x:c>
      <x:c r="M933" s="32" t="str">
        <x:f>IF(Match_Data!Y933="","",1/Match_Data!Y933)</x:f>
      </x:c>
      <x:c r="N933" s="32" t="str">
        <x:f>IF(Match_Data!AA933="","",1/Match_Data!AA933)</x:f>
      </x:c>
      <x:c r="O933" s="32" t="str">
        <x:f>IF(OR(M933="",N933=""),"",N933-M933)</x:f>
      </x:c>
      <x:c r="P933" t="str">
        <x:f>IF(Match_Data!J933="","",IF(Match_Data!J933="OVER",1,0))</x:f>
      </x:c>
    </x:row>
    <x:row r="934">
      <x:c r="A934" t="n">
        <x:f>Match_Data!A934</x:f>
        <x:v>0</x:v>
      </x:c>
      <x:c r="B934" s="28" t="n">
        <x:f>Match_Data!B934</x:f>
        <x:v>0</x:v>
      </x:c>
      <x:c r="C934" t="n">
        <x:f>Match_Data!C934</x:f>
        <x:v>0</x:v>
      </x:c>
      <x:c r="D934" t="n">
        <x:f>Match_Data!E934</x:f>
        <x:v>0</x:v>
      </x:c>
      <x:c r="E934" t="n">
        <x:f>Match_Data!F934</x:f>
        <x:v>0</x:v>
      </x:c>
      <x:c r="F934" t="n">
        <x:f>Match_Data!AC934</x:f>
        <x:v>0</x:v>
      </x:c>
      <x:c r="G934" t="str">
        <x:f>IF(OR(Match_Data!K934="",Match_Data!L934=""),"",AVERAGE(Match_Data!K934:L934))</x:f>
      </x:c>
      <x:c r="H934" t="str">
        <x:f>IF(OR(Match_Data!M934="",Match_Data!N934=""),"",AVERAGE(Match_Data!M934:N934))</x:f>
      </x:c>
      <x:c r="I934" t="str">
        <x:f>IF(OR(Match_Data!O934="",Match_Data!Q934=""),"",Match_Data!O934+Match_Data!Q934)</x:f>
      </x:c>
      <x:c r="J934" t="str">
        <x:f>IF(OR(Match_Data!P934="",Match_Data!R934=""),"",Match_Data!P934+Match_Data!R934)</x:f>
      </x:c>
      <x:c r="K934" t="str">
        <x:f>IF(OR(Match_Data!S934="",Match_Data!T934=""),"",Match_Data!S934+Match_Data!T934)</x:f>
      </x:c>
      <x:c r="L934" t="str">
        <x:f>IF(OR(Match_Data!U934="",Match_Data!V934=""),"",Match_Data!U934-Match_Data!V934)</x:f>
      </x:c>
      <x:c r="M934" s="32" t="str">
        <x:f>IF(Match_Data!Y934="","",1/Match_Data!Y934)</x:f>
      </x:c>
      <x:c r="N934" s="32" t="str">
        <x:f>IF(Match_Data!AA934="","",1/Match_Data!AA934)</x:f>
      </x:c>
      <x:c r="O934" s="32" t="str">
        <x:f>IF(OR(M934="",N934=""),"",N934-M934)</x:f>
      </x:c>
      <x:c r="P934" t="str">
        <x:f>IF(Match_Data!J934="","",IF(Match_Data!J934="OVER",1,0))</x:f>
      </x:c>
    </x:row>
    <x:row r="935">
      <x:c r="A935" t="n">
        <x:f>Match_Data!A935</x:f>
        <x:v>0</x:v>
      </x:c>
      <x:c r="B935" s="28" t="n">
        <x:f>Match_Data!B935</x:f>
        <x:v>0</x:v>
      </x:c>
      <x:c r="C935" t="n">
        <x:f>Match_Data!C935</x:f>
        <x:v>0</x:v>
      </x:c>
      <x:c r="D935" t="n">
        <x:f>Match_Data!E935</x:f>
        <x:v>0</x:v>
      </x:c>
      <x:c r="E935" t="n">
        <x:f>Match_Data!F935</x:f>
        <x:v>0</x:v>
      </x:c>
      <x:c r="F935" t="n">
        <x:f>Match_Data!AC935</x:f>
        <x:v>0</x:v>
      </x:c>
      <x:c r="G935" t="str">
        <x:f>IF(OR(Match_Data!K935="",Match_Data!L935=""),"",AVERAGE(Match_Data!K935:L935))</x:f>
      </x:c>
      <x:c r="H935" t="str">
        <x:f>IF(OR(Match_Data!M935="",Match_Data!N935=""),"",AVERAGE(Match_Data!M935:N935))</x:f>
      </x:c>
      <x:c r="I935" t="str">
        <x:f>IF(OR(Match_Data!O935="",Match_Data!Q935=""),"",Match_Data!O935+Match_Data!Q935)</x:f>
      </x:c>
      <x:c r="J935" t="str">
        <x:f>IF(OR(Match_Data!P935="",Match_Data!R935=""),"",Match_Data!P935+Match_Data!R935)</x:f>
      </x:c>
      <x:c r="K935" t="str">
        <x:f>IF(OR(Match_Data!S935="",Match_Data!T935=""),"",Match_Data!S935+Match_Data!T935)</x:f>
      </x:c>
      <x:c r="L935" t="str">
        <x:f>IF(OR(Match_Data!U935="",Match_Data!V935=""),"",Match_Data!U935-Match_Data!V935)</x:f>
      </x:c>
      <x:c r="M935" s="32" t="str">
        <x:f>IF(Match_Data!Y935="","",1/Match_Data!Y935)</x:f>
      </x:c>
      <x:c r="N935" s="32" t="str">
        <x:f>IF(Match_Data!AA935="","",1/Match_Data!AA935)</x:f>
      </x:c>
      <x:c r="O935" s="32" t="str">
        <x:f>IF(OR(M935="",N935=""),"",N935-M935)</x:f>
      </x:c>
      <x:c r="P935" t="str">
        <x:f>IF(Match_Data!J935="","",IF(Match_Data!J935="OVER",1,0))</x:f>
      </x:c>
    </x:row>
    <x:row r="936">
      <x:c r="A936" t="n">
        <x:f>Match_Data!A936</x:f>
        <x:v>0</x:v>
      </x:c>
      <x:c r="B936" s="28" t="n">
        <x:f>Match_Data!B936</x:f>
        <x:v>0</x:v>
      </x:c>
      <x:c r="C936" t="n">
        <x:f>Match_Data!C936</x:f>
        <x:v>0</x:v>
      </x:c>
      <x:c r="D936" t="n">
        <x:f>Match_Data!E936</x:f>
        <x:v>0</x:v>
      </x:c>
      <x:c r="E936" t="n">
        <x:f>Match_Data!F936</x:f>
        <x:v>0</x:v>
      </x:c>
      <x:c r="F936" t="n">
        <x:f>Match_Data!AC936</x:f>
        <x:v>0</x:v>
      </x:c>
      <x:c r="G936" t="str">
        <x:f>IF(OR(Match_Data!K936="",Match_Data!L936=""),"",AVERAGE(Match_Data!K936:L936))</x:f>
      </x:c>
      <x:c r="H936" t="str">
        <x:f>IF(OR(Match_Data!M936="",Match_Data!N936=""),"",AVERAGE(Match_Data!M936:N936))</x:f>
      </x:c>
      <x:c r="I936" t="str">
        <x:f>IF(OR(Match_Data!O936="",Match_Data!Q936=""),"",Match_Data!O936+Match_Data!Q936)</x:f>
      </x:c>
      <x:c r="J936" t="str">
        <x:f>IF(OR(Match_Data!P936="",Match_Data!R936=""),"",Match_Data!P936+Match_Data!R936)</x:f>
      </x:c>
      <x:c r="K936" t="str">
        <x:f>IF(OR(Match_Data!S936="",Match_Data!T936=""),"",Match_Data!S936+Match_Data!T936)</x:f>
      </x:c>
      <x:c r="L936" t="str">
        <x:f>IF(OR(Match_Data!U936="",Match_Data!V936=""),"",Match_Data!U936-Match_Data!V936)</x:f>
      </x:c>
      <x:c r="M936" s="32" t="str">
        <x:f>IF(Match_Data!Y936="","",1/Match_Data!Y936)</x:f>
      </x:c>
      <x:c r="N936" s="32" t="str">
        <x:f>IF(Match_Data!AA936="","",1/Match_Data!AA936)</x:f>
      </x:c>
      <x:c r="O936" s="32" t="str">
        <x:f>IF(OR(M936="",N936=""),"",N936-M936)</x:f>
      </x:c>
      <x:c r="P936" t="str">
        <x:f>IF(Match_Data!J936="","",IF(Match_Data!J936="OVER",1,0))</x:f>
      </x:c>
    </x:row>
    <x:row r="937">
      <x:c r="A937" t="n">
        <x:f>Match_Data!A937</x:f>
        <x:v>0</x:v>
      </x:c>
      <x:c r="B937" s="28" t="n">
        <x:f>Match_Data!B937</x:f>
        <x:v>0</x:v>
      </x:c>
      <x:c r="C937" t="n">
        <x:f>Match_Data!C937</x:f>
        <x:v>0</x:v>
      </x:c>
      <x:c r="D937" t="n">
        <x:f>Match_Data!E937</x:f>
        <x:v>0</x:v>
      </x:c>
      <x:c r="E937" t="n">
        <x:f>Match_Data!F937</x:f>
        <x:v>0</x:v>
      </x:c>
      <x:c r="F937" t="n">
        <x:f>Match_Data!AC937</x:f>
        <x:v>0</x:v>
      </x:c>
      <x:c r="G937" t="str">
        <x:f>IF(OR(Match_Data!K937="",Match_Data!L937=""),"",AVERAGE(Match_Data!K937:L937))</x:f>
      </x:c>
      <x:c r="H937" t="str">
        <x:f>IF(OR(Match_Data!M937="",Match_Data!N937=""),"",AVERAGE(Match_Data!M937:N937))</x:f>
      </x:c>
      <x:c r="I937" t="str">
        <x:f>IF(OR(Match_Data!O937="",Match_Data!Q937=""),"",Match_Data!O937+Match_Data!Q937)</x:f>
      </x:c>
      <x:c r="J937" t="str">
        <x:f>IF(OR(Match_Data!P937="",Match_Data!R937=""),"",Match_Data!P937+Match_Data!R937)</x:f>
      </x:c>
      <x:c r="K937" t="str">
        <x:f>IF(OR(Match_Data!S937="",Match_Data!T937=""),"",Match_Data!S937+Match_Data!T937)</x:f>
      </x:c>
      <x:c r="L937" t="str">
        <x:f>IF(OR(Match_Data!U937="",Match_Data!V937=""),"",Match_Data!U937-Match_Data!V937)</x:f>
      </x:c>
      <x:c r="M937" s="32" t="str">
        <x:f>IF(Match_Data!Y937="","",1/Match_Data!Y937)</x:f>
      </x:c>
      <x:c r="N937" s="32" t="str">
        <x:f>IF(Match_Data!AA937="","",1/Match_Data!AA937)</x:f>
      </x:c>
      <x:c r="O937" s="32" t="str">
        <x:f>IF(OR(M937="",N937=""),"",N937-M937)</x:f>
      </x:c>
      <x:c r="P937" t="str">
        <x:f>IF(Match_Data!J937="","",IF(Match_Data!J937="OVER",1,0))</x:f>
      </x:c>
    </x:row>
    <x:row r="938">
      <x:c r="A938" t="n">
        <x:f>Match_Data!A938</x:f>
        <x:v>0</x:v>
      </x:c>
      <x:c r="B938" s="28" t="n">
        <x:f>Match_Data!B938</x:f>
        <x:v>0</x:v>
      </x:c>
      <x:c r="C938" t="n">
        <x:f>Match_Data!C938</x:f>
        <x:v>0</x:v>
      </x:c>
      <x:c r="D938" t="n">
        <x:f>Match_Data!E938</x:f>
        <x:v>0</x:v>
      </x:c>
      <x:c r="E938" t="n">
        <x:f>Match_Data!F938</x:f>
        <x:v>0</x:v>
      </x:c>
      <x:c r="F938" t="n">
        <x:f>Match_Data!AC938</x:f>
        <x:v>0</x:v>
      </x:c>
      <x:c r="G938" t="str">
        <x:f>IF(OR(Match_Data!K938="",Match_Data!L938=""),"",AVERAGE(Match_Data!K938:L938))</x:f>
      </x:c>
      <x:c r="H938" t="str">
        <x:f>IF(OR(Match_Data!M938="",Match_Data!N938=""),"",AVERAGE(Match_Data!M938:N938))</x:f>
      </x:c>
      <x:c r="I938" t="str">
        <x:f>IF(OR(Match_Data!O938="",Match_Data!Q938=""),"",Match_Data!O938+Match_Data!Q938)</x:f>
      </x:c>
      <x:c r="J938" t="str">
        <x:f>IF(OR(Match_Data!P938="",Match_Data!R938=""),"",Match_Data!P938+Match_Data!R938)</x:f>
      </x:c>
      <x:c r="K938" t="str">
        <x:f>IF(OR(Match_Data!S938="",Match_Data!T938=""),"",Match_Data!S938+Match_Data!T938)</x:f>
      </x:c>
      <x:c r="L938" t="str">
        <x:f>IF(OR(Match_Data!U938="",Match_Data!V938=""),"",Match_Data!U938-Match_Data!V938)</x:f>
      </x:c>
      <x:c r="M938" s="32" t="str">
        <x:f>IF(Match_Data!Y938="","",1/Match_Data!Y938)</x:f>
      </x:c>
      <x:c r="N938" s="32" t="str">
        <x:f>IF(Match_Data!AA938="","",1/Match_Data!AA938)</x:f>
      </x:c>
      <x:c r="O938" s="32" t="str">
        <x:f>IF(OR(M938="",N938=""),"",N938-M938)</x:f>
      </x:c>
      <x:c r="P938" t="str">
        <x:f>IF(Match_Data!J938="","",IF(Match_Data!J938="OVER",1,0))</x:f>
      </x:c>
    </x:row>
    <x:row r="939">
      <x:c r="A939" t="n">
        <x:f>Match_Data!A939</x:f>
        <x:v>0</x:v>
      </x:c>
      <x:c r="B939" s="28" t="n">
        <x:f>Match_Data!B939</x:f>
        <x:v>0</x:v>
      </x:c>
      <x:c r="C939" t="n">
        <x:f>Match_Data!C939</x:f>
        <x:v>0</x:v>
      </x:c>
      <x:c r="D939" t="n">
        <x:f>Match_Data!E939</x:f>
        <x:v>0</x:v>
      </x:c>
      <x:c r="E939" t="n">
        <x:f>Match_Data!F939</x:f>
        <x:v>0</x:v>
      </x:c>
      <x:c r="F939" t="n">
        <x:f>Match_Data!AC939</x:f>
        <x:v>0</x:v>
      </x:c>
      <x:c r="G939" t="str">
        <x:f>IF(OR(Match_Data!K939="",Match_Data!L939=""),"",AVERAGE(Match_Data!K939:L939))</x:f>
      </x:c>
      <x:c r="H939" t="str">
        <x:f>IF(OR(Match_Data!M939="",Match_Data!N939=""),"",AVERAGE(Match_Data!M939:N939))</x:f>
      </x:c>
      <x:c r="I939" t="str">
        <x:f>IF(OR(Match_Data!O939="",Match_Data!Q939=""),"",Match_Data!O939+Match_Data!Q939)</x:f>
      </x:c>
      <x:c r="J939" t="str">
        <x:f>IF(OR(Match_Data!P939="",Match_Data!R939=""),"",Match_Data!P939+Match_Data!R939)</x:f>
      </x:c>
      <x:c r="K939" t="str">
        <x:f>IF(OR(Match_Data!S939="",Match_Data!T939=""),"",Match_Data!S939+Match_Data!T939)</x:f>
      </x:c>
      <x:c r="L939" t="str">
        <x:f>IF(OR(Match_Data!U939="",Match_Data!V939=""),"",Match_Data!U939-Match_Data!V939)</x:f>
      </x:c>
      <x:c r="M939" s="32" t="str">
        <x:f>IF(Match_Data!Y939="","",1/Match_Data!Y939)</x:f>
      </x:c>
      <x:c r="N939" s="32" t="str">
        <x:f>IF(Match_Data!AA939="","",1/Match_Data!AA939)</x:f>
      </x:c>
      <x:c r="O939" s="32" t="str">
        <x:f>IF(OR(M939="",N939=""),"",N939-M939)</x:f>
      </x:c>
      <x:c r="P939" t="str">
        <x:f>IF(Match_Data!J939="","",IF(Match_Data!J939="OVER",1,0))</x:f>
      </x:c>
    </x:row>
    <x:row r="940">
      <x:c r="A940" t="n">
        <x:f>Match_Data!A940</x:f>
        <x:v>0</x:v>
      </x:c>
      <x:c r="B940" s="28" t="n">
        <x:f>Match_Data!B940</x:f>
        <x:v>0</x:v>
      </x:c>
      <x:c r="C940" t="n">
        <x:f>Match_Data!C940</x:f>
        <x:v>0</x:v>
      </x:c>
      <x:c r="D940" t="n">
        <x:f>Match_Data!E940</x:f>
        <x:v>0</x:v>
      </x:c>
      <x:c r="E940" t="n">
        <x:f>Match_Data!F940</x:f>
        <x:v>0</x:v>
      </x:c>
      <x:c r="F940" t="n">
        <x:f>Match_Data!AC940</x:f>
        <x:v>0</x:v>
      </x:c>
      <x:c r="G940" t="str">
        <x:f>IF(OR(Match_Data!K940="",Match_Data!L940=""),"",AVERAGE(Match_Data!K940:L940))</x:f>
      </x:c>
      <x:c r="H940" t="str">
        <x:f>IF(OR(Match_Data!M940="",Match_Data!N940=""),"",AVERAGE(Match_Data!M940:N940))</x:f>
      </x:c>
      <x:c r="I940" t="str">
        <x:f>IF(OR(Match_Data!O940="",Match_Data!Q940=""),"",Match_Data!O940+Match_Data!Q940)</x:f>
      </x:c>
      <x:c r="J940" t="str">
        <x:f>IF(OR(Match_Data!P940="",Match_Data!R940=""),"",Match_Data!P940+Match_Data!R940)</x:f>
      </x:c>
      <x:c r="K940" t="str">
        <x:f>IF(OR(Match_Data!S940="",Match_Data!T940=""),"",Match_Data!S940+Match_Data!T940)</x:f>
      </x:c>
      <x:c r="L940" t="str">
        <x:f>IF(OR(Match_Data!U940="",Match_Data!V940=""),"",Match_Data!U940-Match_Data!V940)</x:f>
      </x:c>
      <x:c r="M940" s="32" t="str">
        <x:f>IF(Match_Data!Y940="","",1/Match_Data!Y940)</x:f>
      </x:c>
      <x:c r="N940" s="32" t="str">
        <x:f>IF(Match_Data!AA940="","",1/Match_Data!AA940)</x:f>
      </x:c>
      <x:c r="O940" s="32" t="str">
        <x:f>IF(OR(M940="",N940=""),"",N940-M940)</x:f>
      </x:c>
      <x:c r="P940" t="str">
        <x:f>IF(Match_Data!J940="","",IF(Match_Data!J940="OVER",1,0))</x:f>
      </x:c>
    </x:row>
    <x:row r="941">
      <x:c r="A941" t="n">
        <x:f>Match_Data!A941</x:f>
        <x:v>0</x:v>
      </x:c>
      <x:c r="B941" s="28" t="n">
        <x:f>Match_Data!B941</x:f>
        <x:v>0</x:v>
      </x:c>
      <x:c r="C941" t="n">
        <x:f>Match_Data!C941</x:f>
        <x:v>0</x:v>
      </x:c>
      <x:c r="D941" t="n">
        <x:f>Match_Data!E941</x:f>
        <x:v>0</x:v>
      </x:c>
      <x:c r="E941" t="n">
        <x:f>Match_Data!F941</x:f>
        <x:v>0</x:v>
      </x:c>
      <x:c r="F941" t="n">
        <x:f>Match_Data!AC941</x:f>
        <x:v>0</x:v>
      </x:c>
      <x:c r="G941" t="str">
        <x:f>IF(OR(Match_Data!K941="",Match_Data!L941=""),"",AVERAGE(Match_Data!K941:L941))</x:f>
      </x:c>
      <x:c r="H941" t="str">
        <x:f>IF(OR(Match_Data!M941="",Match_Data!N941=""),"",AVERAGE(Match_Data!M941:N941))</x:f>
      </x:c>
      <x:c r="I941" t="str">
        <x:f>IF(OR(Match_Data!O941="",Match_Data!Q941=""),"",Match_Data!O941+Match_Data!Q941)</x:f>
      </x:c>
      <x:c r="J941" t="str">
        <x:f>IF(OR(Match_Data!P941="",Match_Data!R941=""),"",Match_Data!P941+Match_Data!R941)</x:f>
      </x:c>
      <x:c r="K941" t="str">
        <x:f>IF(OR(Match_Data!S941="",Match_Data!T941=""),"",Match_Data!S941+Match_Data!T941)</x:f>
      </x:c>
      <x:c r="L941" t="str">
        <x:f>IF(OR(Match_Data!U941="",Match_Data!V941=""),"",Match_Data!U941-Match_Data!V941)</x:f>
      </x:c>
      <x:c r="M941" s="32" t="str">
        <x:f>IF(Match_Data!Y941="","",1/Match_Data!Y941)</x:f>
      </x:c>
      <x:c r="N941" s="32" t="str">
        <x:f>IF(Match_Data!AA941="","",1/Match_Data!AA941)</x:f>
      </x:c>
      <x:c r="O941" s="32" t="str">
        <x:f>IF(OR(M941="",N941=""),"",N941-M941)</x:f>
      </x:c>
      <x:c r="P941" t="str">
        <x:f>IF(Match_Data!J941="","",IF(Match_Data!J941="OVER",1,0))</x:f>
      </x:c>
    </x:row>
    <x:row r="942">
      <x:c r="A942" t="n">
        <x:f>Match_Data!A942</x:f>
        <x:v>0</x:v>
      </x:c>
      <x:c r="B942" s="28" t="n">
        <x:f>Match_Data!B942</x:f>
        <x:v>0</x:v>
      </x:c>
      <x:c r="C942" t="n">
        <x:f>Match_Data!C942</x:f>
        <x:v>0</x:v>
      </x:c>
      <x:c r="D942" t="n">
        <x:f>Match_Data!E942</x:f>
        <x:v>0</x:v>
      </x:c>
      <x:c r="E942" t="n">
        <x:f>Match_Data!F942</x:f>
        <x:v>0</x:v>
      </x:c>
      <x:c r="F942" t="n">
        <x:f>Match_Data!AC942</x:f>
        <x:v>0</x:v>
      </x:c>
      <x:c r="G942" t="str">
        <x:f>IF(OR(Match_Data!K942="",Match_Data!L942=""),"",AVERAGE(Match_Data!K942:L942))</x:f>
      </x:c>
      <x:c r="H942" t="str">
        <x:f>IF(OR(Match_Data!M942="",Match_Data!N942=""),"",AVERAGE(Match_Data!M942:N942))</x:f>
      </x:c>
      <x:c r="I942" t="str">
        <x:f>IF(OR(Match_Data!O942="",Match_Data!Q942=""),"",Match_Data!O942+Match_Data!Q942)</x:f>
      </x:c>
      <x:c r="J942" t="str">
        <x:f>IF(OR(Match_Data!P942="",Match_Data!R942=""),"",Match_Data!P942+Match_Data!R942)</x:f>
      </x:c>
      <x:c r="K942" t="str">
        <x:f>IF(OR(Match_Data!S942="",Match_Data!T942=""),"",Match_Data!S942+Match_Data!T942)</x:f>
      </x:c>
      <x:c r="L942" t="str">
        <x:f>IF(OR(Match_Data!U942="",Match_Data!V942=""),"",Match_Data!U942-Match_Data!V942)</x:f>
      </x:c>
      <x:c r="M942" s="32" t="str">
        <x:f>IF(Match_Data!Y942="","",1/Match_Data!Y942)</x:f>
      </x:c>
      <x:c r="N942" s="32" t="str">
        <x:f>IF(Match_Data!AA942="","",1/Match_Data!AA942)</x:f>
      </x:c>
      <x:c r="O942" s="32" t="str">
        <x:f>IF(OR(M942="",N942=""),"",N942-M942)</x:f>
      </x:c>
      <x:c r="P942" t="str">
        <x:f>IF(Match_Data!J942="","",IF(Match_Data!J942="OVER",1,0))</x:f>
      </x:c>
    </x:row>
    <x:row r="943">
      <x:c r="A943" t="n">
        <x:f>Match_Data!A943</x:f>
        <x:v>0</x:v>
      </x:c>
      <x:c r="B943" s="28" t="n">
        <x:f>Match_Data!B943</x:f>
        <x:v>0</x:v>
      </x:c>
      <x:c r="C943" t="n">
        <x:f>Match_Data!C943</x:f>
        <x:v>0</x:v>
      </x:c>
      <x:c r="D943" t="n">
        <x:f>Match_Data!E943</x:f>
        <x:v>0</x:v>
      </x:c>
      <x:c r="E943" t="n">
        <x:f>Match_Data!F943</x:f>
        <x:v>0</x:v>
      </x:c>
      <x:c r="F943" t="n">
        <x:f>Match_Data!AC943</x:f>
        <x:v>0</x:v>
      </x:c>
      <x:c r="G943" t="str">
        <x:f>IF(OR(Match_Data!K943="",Match_Data!L943=""),"",AVERAGE(Match_Data!K943:L943))</x:f>
      </x:c>
      <x:c r="H943" t="str">
        <x:f>IF(OR(Match_Data!M943="",Match_Data!N943=""),"",AVERAGE(Match_Data!M943:N943))</x:f>
      </x:c>
      <x:c r="I943" t="str">
        <x:f>IF(OR(Match_Data!O943="",Match_Data!Q943=""),"",Match_Data!O943+Match_Data!Q943)</x:f>
      </x:c>
      <x:c r="J943" t="str">
        <x:f>IF(OR(Match_Data!P943="",Match_Data!R943=""),"",Match_Data!P943+Match_Data!R943)</x:f>
      </x:c>
      <x:c r="K943" t="str">
        <x:f>IF(OR(Match_Data!S943="",Match_Data!T943=""),"",Match_Data!S943+Match_Data!T943)</x:f>
      </x:c>
      <x:c r="L943" t="str">
        <x:f>IF(OR(Match_Data!U943="",Match_Data!V943=""),"",Match_Data!U943-Match_Data!V943)</x:f>
      </x:c>
      <x:c r="M943" s="32" t="str">
        <x:f>IF(Match_Data!Y943="","",1/Match_Data!Y943)</x:f>
      </x:c>
      <x:c r="N943" s="32" t="str">
        <x:f>IF(Match_Data!AA943="","",1/Match_Data!AA943)</x:f>
      </x:c>
      <x:c r="O943" s="32" t="str">
        <x:f>IF(OR(M943="",N943=""),"",N943-M943)</x:f>
      </x:c>
      <x:c r="P943" t="str">
        <x:f>IF(Match_Data!J943="","",IF(Match_Data!J943="OVER",1,0))</x:f>
      </x:c>
    </x:row>
    <x:row r="944">
      <x:c r="A944" t="n">
        <x:f>Match_Data!A944</x:f>
        <x:v>0</x:v>
      </x:c>
      <x:c r="B944" s="28" t="n">
        <x:f>Match_Data!B944</x:f>
        <x:v>0</x:v>
      </x:c>
      <x:c r="C944" t="n">
        <x:f>Match_Data!C944</x:f>
        <x:v>0</x:v>
      </x:c>
      <x:c r="D944" t="n">
        <x:f>Match_Data!E944</x:f>
        <x:v>0</x:v>
      </x:c>
      <x:c r="E944" t="n">
        <x:f>Match_Data!F944</x:f>
        <x:v>0</x:v>
      </x:c>
      <x:c r="F944" t="n">
        <x:f>Match_Data!AC944</x:f>
        <x:v>0</x:v>
      </x:c>
      <x:c r="G944" t="str">
        <x:f>IF(OR(Match_Data!K944="",Match_Data!L944=""),"",AVERAGE(Match_Data!K944:L944))</x:f>
      </x:c>
      <x:c r="H944" t="str">
        <x:f>IF(OR(Match_Data!M944="",Match_Data!N944=""),"",AVERAGE(Match_Data!M944:N944))</x:f>
      </x:c>
      <x:c r="I944" t="str">
        <x:f>IF(OR(Match_Data!O944="",Match_Data!Q944=""),"",Match_Data!O944+Match_Data!Q944)</x:f>
      </x:c>
      <x:c r="J944" t="str">
        <x:f>IF(OR(Match_Data!P944="",Match_Data!R944=""),"",Match_Data!P944+Match_Data!R944)</x:f>
      </x:c>
      <x:c r="K944" t="str">
        <x:f>IF(OR(Match_Data!S944="",Match_Data!T944=""),"",Match_Data!S944+Match_Data!T944)</x:f>
      </x:c>
      <x:c r="L944" t="str">
        <x:f>IF(OR(Match_Data!U944="",Match_Data!V944=""),"",Match_Data!U944-Match_Data!V944)</x:f>
      </x:c>
      <x:c r="M944" s="32" t="str">
        <x:f>IF(Match_Data!Y944="","",1/Match_Data!Y944)</x:f>
      </x:c>
      <x:c r="N944" s="32" t="str">
        <x:f>IF(Match_Data!AA944="","",1/Match_Data!AA944)</x:f>
      </x:c>
      <x:c r="O944" s="32" t="str">
        <x:f>IF(OR(M944="",N944=""),"",N944-M944)</x:f>
      </x:c>
      <x:c r="P944" t="str">
        <x:f>IF(Match_Data!J944="","",IF(Match_Data!J944="OVER",1,0))</x:f>
      </x:c>
    </x:row>
    <x:row r="945">
      <x:c r="A945" t="n">
        <x:f>Match_Data!A945</x:f>
        <x:v>0</x:v>
      </x:c>
      <x:c r="B945" s="28" t="n">
        <x:f>Match_Data!B945</x:f>
        <x:v>0</x:v>
      </x:c>
      <x:c r="C945" t="n">
        <x:f>Match_Data!C945</x:f>
        <x:v>0</x:v>
      </x:c>
      <x:c r="D945" t="n">
        <x:f>Match_Data!E945</x:f>
        <x:v>0</x:v>
      </x:c>
      <x:c r="E945" t="n">
        <x:f>Match_Data!F945</x:f>
        <x:v>0</x:v>
      </x:c>
      <x:c r="F945" t="n">
        <x:f>Match_Data!AC945</x:f>
        <x:v>0</x:v>
      </x:c>
      <x:c r="G945" t="str">
        <x:f>IF(OR(Match_Data!K945="",Match_Data!L945=""),"",AVERAGE(Match_Data!K945:L945))</x:f>
      </x:c>
      <x:c r="H945" t="str">
        <x:f>IF(OR(Match_Data!M945="",Match_Data!N945=""),"",AVERAGE(Match_Data!M945:N945))</x:f>
      </x:c>
      <x:c r="I945" t="str">
        <x:f>IF(OR(Match_Data!O945="",Match_Data!Q945=""),"",Match_Data!O945+Match_Data!Q945)</x:f>
      </x:c>
      <x:c r="J945" t="str">
        <x:f>IF(OR(Match_Data!P945="",Match_Data!R945=""),"",Match_Data!P945+Match_Data!R945)</x:f>
      </x:c>
      <x:c r="K945" t="str">
        <x:f>IF(OR(Match_Data!S945="",Match_Data!T945=""),"",Match_Data!S945+Match_Data!T945)</x:f>
      </x:c>
      <x:c r="L945" t="str">
        <x:f>IF(OR(Match_Data!U945="",Match_Data!V945=""),"",Match_Data!U945-Match_Data!V945)</x:f>
      </x:c>
      <x:c r="M945" s="32" t="str">
        <x:f>IF(Match_Data!Y945="","",1/Match_Data!Y945)</x:f>
      </x:c>
      <x:c r="N945" s="32" t="str">
        <x:f>IF(Match_Data!AA945="","",1/Match_Data!AA945)</x:f>
      </x:c>
      <x:c r="O945" s="32" t="str">
        <x:f>IF(OR(M945="",N945=""),"",N945-M945)</x:f>
      </x:c>
      <x:c r="P945" t="str">
        <x:f>IF(Match_Data!J945="","",IF(Match_Data!J945="OVER",1,0))</x:f>
      </x:c>
    </x:row>
    <x:row r="946">
      <x:c r="A946" t="n">
        <x:f>Match_Data!A946</x:f>
        <x:v>0</x:v>
      </x:c>
      <x:c r="B946" s="28" t="n">
        <x:f>Match_Data!B946</x:f>
        <x:v>0</x:v>
      </x:c>
      <x:c r="C946" t="n">
        <x:f>Match_Data!C946</x:f>
        <x:v>0</x:v>
      </x:c>
      <x:c r="D946" t="n">
        <x:f>Match_Data!E946</x:f>
        <x:v>0</x:v>
      </x:c>
      <x:c r="E946" t="n">
        <x:f>Match_Data!F946</x:f>
        <x:v>0</x:v>
      </x:c>
      <x:c r="F946" t="n">
        <x:f>Match_Data!AC946</x:f>
        <x:v>0</x:v>
      </x:c>
      <x:c r="G946" t="str">
        <x:f>IF(OR(Match_Data!K946="",Match_Data!L946=""),"",AVERAGE(Match_Data!K946:L946))</x:f>
      </x:c>
      <x:c r="H946" t="str">
        <x:f>IF(OR(Match_Data!M946="",Match_Data!N946=""),"",AVERAGE(Match_Data!M946:N946))</x:f>
      </x:c>
      <x:c r="I946" t="str">
        <x:f>IF(OR(Match_Data!O946="",Match_Data!Q946=""),"",Match_Data!O946+Match_Data!Q946)</x:f>
      </x:c>
      <x:c r="J946" t="str">
        <x:f>IF(OR(Match_Data!P946="",Match_Data!R946=""),"",Match_Data!P946+Match_Data!R946)</x:f>
      </x:c>
      <x:c r="K946" t="str">
        <x:f>IF(OR(Match_Data!S946="",Match_Data!T946=""),"",Match_Data!S946+Match_Data!T946)</x:f>
      </x:c>
      <x:c r="L946" t="str">
        <x:f>IF(OR(Match_Data!U946="",Match_Data!V946=""),"",Match_Data!U946-Match_Data!V946)</x:f>
      </x:c>
      <x:c r="M946" s="32" t="str">
        <x:f>IF(Match_Data!Y946="","",1/Match_Data!Y946)</x:f>
      </x:c>
      <x:c r="N946" s="32" t="str">
        <x:f>IF(Match_Data!AA946="","",1/Match_Data!AA946)</x:f>
      </x:c>
      <x:c r="O946" s="32" t="str">
        <x:f>IF(OR(M946="",N946=""),"",N946-M946)</x:f>
      </x:c>
      <x:c r="P946" t="str">
        <x:f>IF(Match_Data!J946="","",IF(Match_Data!J946="OVER",1,0))</x:f>
      </x:c>
    </x:row>
    <x:row r="947">
      <x:c r="A947" t="n">
        <x:f>Match_Data!A947</x:f>
        <x:v>0</x:v>
      </x:c>
      <x:c r="B947" s="28" t="n">
        <x:f>Match_Data!B947</x:f>
        <x:v>0</x:v>
      </x:c>
      <x:c r="C947" t="n">
        <x:f>Match_Data!C947</x:f>
        <x:v>0</x:v>
      </x:c>
      <x:c r="D947" t="n">
        <x:f>Match_Data!E947</x:f>
        <x:v>0</x:v>
      </x:c>
      <x:c r="E947" t="n">
        <x:f>Match_Data!F947</x:f>
        <x:v>0</x:v>
      </x:c>
      <x:c r="F947" t="n">
        <x:f>Match_Data!AC947</x:f>
        <x:v>0</x:v>
      </x:c>
      <x:c r="G947" t="str">
        <x:f>IF(OR(Match_Data!K947="",Match_Data!L947=""),"",AVERAGE(Match_Data!K947:L947))</x:f>
      </x:c>
      <x:c r="H947" t="str">
        <x:f>IF(OR(Match_Data!M947="",Match_Data!N947=""),"",AVERAGE(Match_Data!M947:N947))</x:f>
      </x:c>
      <x:c r="I947" t="str">
        <x:f>IF(OR(Match_Data!O947="",Match_Data!Q947=""),"",Match_Data!O947+Match_Data!Q947)</x:f>
      </x:c>
      <x:c r="J947" t="str">
        <x:f>IF(OR(Match_Data!P947="",Match_Data!R947=""),"",Match_Data!P947+Match_Data!R947)</x:f>
      </x:c>
      <x:c r="K947" t="str">
        <x:f>IF(OR(Match_Data!S947="",Match_Data!T947=""),"",Match_Data!S947+Match_Data!T947)</x:f>
      </x:c>
      <x:c r="L947" t="str">
        <x:f>IF(OR(Match_Data!U947="",Match_Data!V947=""),"",Match_Data!U947-Match_Data!V947)</x:f>
      </x:c>
      <x:c r="M947" s="32" t="str">
        <x:f>IF(Match_Data!Y947="","",1/Match_Data!Y947)</x:f>
      </x:c>
      <x:c r="N947" s="32" t="str">
        <x:f>IF(Match_Data!AA947="","",1/Match_Data!AA947)</x:f>
      </x:c>
      <x:c r="O947" s="32" t="str">
        <x:f>IF(OR(M947="",N947=""),"",N947-M947)</x:f>
      </x:c>
      <x:c r="P947" t="str">
        <x:f>IF(Match_Data!J947="","",IF(Match_Data!J947="OVER",1,0))</x:f>
      </x:c>
    </x:row>
    <x:row r="948">
      <x:c r="A948" t="n">
        <x:f>Match_Data!A948</x:f>
        <x:v>0</x:v>
      </x:c>
      <x:c r="B948" s="28" t="n">
        <x:f>Match_Data!B948</x:f>
        <x:v>0</x:v>
      </x:c>
      <x:c r="C948" t="n">
        <x:f>Match_Data!C948</x:f>
        <x:v>0</x:v>
      </x:c>
      <x:c r="D948" t="n">
        <x:f>Match_Data!E948</x:f>
        <x:v>0</x:v>
      </x:c>
      <x:c r="E948" t="n">
        <x:f>Match_Data!F948</x:f>
        <x:v>0</x:v>
      </x:c>
      <x:c r="F948" t="n">
        <x:f>Match_Data!AC948</x:f>
        <x:v>0</x:v>
      </x:c>
      <x:c r="G948" t="str">
        <x:f>IF(OR(Match_Data!K948="",Match_Data!L948=""),"",AVERAGE(Match_Data!K948:L948))</x:f>
      </x:c>
      <x:c r="H948" t="str">
        <x:f>IF(OR(Match_Data!M948="",Match_Data!N948=""),"",AVERAGE(Match_Data!M948:N948))</x:f>
      </x:c>
      <x:c r="I948" t="str">
        <x:f>IF(OR(Match_Data!O948="",Match_Data!Q948=""),"",Match_Data!O948+Match_Data!Q948)</x:f>
      </x:c>
      <x:c r="J948" t="str">
        <x:f>IF(OR(Match_Data!P948="",Match_Data!R948=""),"",Match_Data!P948+Match_Data!R948)</x:f>
      </x:c>
      <x:c r="K948" t="str">
        <x:f>IF(OR(Match_Data!S948="",Match_Data!T948=""),"",Match_Data!S948+Match_Data!T948)</x:f>
      </x:c>
      <x:c r="L948" t="str">
        <x:f>IF(OR(Match_Data!U948="",Match_Data!V948=""),"",Match_Data!U948-Match_Data!V948)</x:f>
      </x:c>
      <x:c r="M948" s="32" t="str">
        <x:f>IF(Match_Data!Y948="","",1/Match_Data!Y948)</x:f>
      </x:c>
      <x:c r="N948" s="32" t="str">
        <x:f>IF(Match_Data!AA948="","",1/Match_Data!AA948)</x:f>
      </x:c>
      <x:c r="O948" s="32" t="str">
        <x:f>IF(OR(M948="",N948=""),"",N948-M948)</x:f>
      </x:c>
      <x:c r="P948" t="str">
        <x:f>IF(Match_Data!J948="","",IF(Match_Data!J948="OVER",1,0))</x:f>
      </x:c>
    </x:row>
    <x:row r="949">
      <x:c r="A949" t="n">
        <x:f>Match_Data!A949</x:f>
        <x:v>0</x:v>
      </x:c>
      <x:c r="B949" s="28" t="n">
        <x:f>Match_Data!B949</x:f>
        <x:v>0</x:v>
      </x:c>
      <x:c r="C949" t="n">
        <x:f>Match_Data!C949</x:f>
        <x:v>0</x:v>
      </x:c>
      <x:c r="D949" t="n">
        <x:f>Match_Data!E949</x:f>
        <x:v>0</x:v>
      </x:c>
      <x:c r="E949" t="n">
        <x:f>Match_Data!F949</x:f>
        <x:v>0</x:v>
      </x:c>
      <x:c r="F949" t="n">
        <x:f>Match_Data!AC949</x:f>
        <x:v>0</x:v>
      </x:c>
      <x:c r="G949" t="str">
        <x:f>IF(OR(Match_Data!K949="",Match_Data!L949=""),"",AVERAGE(Match_Data!K949:L949))</x:f>
      </x:c>
      <x:c r="H949" t="str">
        <x:f>IF(OR(Match_Data!M949="",Match_Data!N949=""),"",AVERAGE(Match_Data!M949:N949))</x:f>
      </x:c>
      <x:c r="I949" t="str">
        <x:f>IF(OR(Match_Data!O949="",Match_Data!Q949=""),"",Match_Data!O949+Match_Data!Q949)</x:f>
      </x:c>
      <x:c r="J949" t="str">
        <x:f>IF(OR(Match_Data!P949="",Match_Data!R949=""),"",Match_Data!P949+Match_Data!R949)</x:f>
      </x:c>
      <x:c r="K949" t="str">
        <x:f>IF(OR(Match_Data!S949="",Match_Data!T949=""),"",Match_Data!S949+Match_Data!T949)</x:f>
      </x:c>
      <x:c r="L949" t="str">
        <x:f>IF(OR(Match_Data!U949="",Match_Data!V949=""),"",Match_Data!U949-Match_Data!V949)</x:f>
      </x:c>
      <x:c r="M949" s="32" t="str">
        <x:f>IF(Match_Data!Y949="","",1/Match_Data!Y949)</x:f>
      </x:c>
      <x:c r="N949" s="32" t="str">
        <x:f>IF(Match_Data!AA949="","",1/Match_Data!AA949)</x:f>
      </x:c>
      <x:c r="O949" s="32" t="str">
        <x:f>IF(OR(M949="",N949=""),"",N949-M949)</x:f>
      </x:c>
      <x:c r="P949" t="str">
        <x:f>IF(Match_Data!J949="","",IF(Match_Data!J949="OVER",1,0))</x:f>
      </x:c>
    </x:row>
    <x:row r="950">
      <x:c r="A950" t="n">
        <x:f>Match_Data!A950</x:f>
        <x:v>0</x:v>
      </x:c>
      <x:c r="B950" s="28" t="n">
        <x:f>Match_Data!B950</x:f>
        <x:v>0</x:v>
      </x:c>
      <x:c r="C950" t="n">
        <x:f>Match_Data!C950</x:f>
        <x:v>0</x:v>
      </x:c>
      <x:c r="D950" t="n">
        <x:f>Match_Data!E950</x:f>
        <x:v>0</x:v>
      </x:c>
      <x:c r="E950" t="n">
        <x:f>Match_Data!F950</x:f>
        <x:v>0</x:v>
      </x:c>
      <x:c r="F950" t="n">
        <x:f>Match_Data!AC950</x:f>
        <x:v>0</x:v>
      </x:c>
      <x:c r="G950" t="str">
        <x:f>IF(OR(Match_Data!K950="",Match_Data!L950=""),"",AVERAGE(Match_Data!K950:L950))</x:f>
      </x:c>
      <x:c r="H950" t="str">
        <x:f>IF(OR(Match_Data!M950="",Match_Data!N950=""),"",AVERAGE(Match_Data!M950:N950))</x:f>
      </x:c>
      <x:c r="I950" t="str">
        <x:f>IF(OR(Match_Data!O950="",Match_Data!Q950=""),"",Match_Data!O950+Match_Data!Q950)</x:f>
      </x:c>
      <x:c r="J950" t="str">
        <x:f>IF(OR(Match_Data!P950="",Match_Data!R950=""),"",Match_Data!P950+Match_Data!R950)</x:f>
      </x:c>
      <x:c r="K950" t="str">
        <x:f>IF(OR(Match_Data!S950="",Match_Data!T950=""),"",Match_Data!S950+Match_Data!T950)</x:f>
      </x:c>
      <x:c r="L950" t="str">
        <x:f>IF(OR(Match_Data!U950="",Match_Data!V950=""),"",Match_Data!U950-Match_Data!V950)</x:f>
      </x:c>
      <x:c r="M950" s="32" t="str">
        <x:f>IF(Match_Data!Y950="","",1/Match_Data!Y950)</x:f>
      </x:c>
      <x:c r="N950" s="32" t="str">
        <x:f>IF(Match_Data!AA950="","",1/Match_Data!AA950)</x:f>
      </x:c>
      <x:c r="O950" s="32" t="str">
        <x:f>IF(OR(M950="",N950=""),"",N950-M950)</x:f>
      </x:c>
      <x:c r="P950" t="str">
        <x:f>IF(Match_Data!J950="","",IF(Match_Data!J950="OVER",1,0))</x:f>
      </x:c>
    </x:row>
    <x:row r="951">
      <x:c r="A951" t="n">
        <x:f>Match_Data!A951</x:f>
        <x:v>0</x:v>
      </x:c>
      <x:c r="B951" s="28" t="n">
        <x:f>Match_Data!B951</x:f>
        <x:v>0</x:v>
      </x:c>
      <x:c r="C951" t="n">
        <x:f>Match_Data!C951</x:f>
        <x:v>0</x:v>
      </x:c>
      <x:c r="D951" t="n">
        <x:f>Match_Data!E951</x:f>
        <x:v>0</x:v>
      </x:c>
      <x:c r="E951" t="n">
        <x:f>Match_Data!F951</x:f>
        <x:v>0</x:v>
      </x:c>
      <x:c r="F951" t="n">
        <x:f>Match_Data!AC951</x:f>
        <x:v>0</x:v>
      </x:c>
      <x:c r="G951" t="str">
        <x:f>IF(OR(Match_Data!K951="",Match_Data!L951=""),"",AVERAGE(Match_Data!K951:L951))</x:f>
      </x:c>
      <x:c r="H951" t="str">
        <x:f>IF(OR(Match_Data!M951="",Match_Data!N951=""),"",AVERAGE(Match_Data!M951:N951))</x:f>
      </x:c>
      <x:c r="I951" t="str">
        <x:f>IF(OR(Match_Data!O951="",Match_Data!Q951=""),"",Match_Data!O951+Match_Data!Q951)</x:f>
      </x:c>
      <x:c r="J951" t="str">
        <x:f>IF(OR(Match_Data!P951="",Match_Data!R951=""),"",Match_Data!P951+Match_Data!R951)</x:f>
      </x:c>
      <x:c r="K951" t="str">
        <x:f>IF(OR(Match_Data!S951="",Match_Data!T951=""),"",Match_Data!S951+Match_Data!T951)</x:f>
      </x:c>
      <x:c r="L951" t="str">
        <x:f>IF(OR(Match_Data!U951="",Match_Data!V951=""),"",Match_Data!U951-Match_Data!V951)</x:f>
      </x:c>
      <x:c r="M951" s="32" t="str">
        <x:f>IF(Match_Data!Y951="","",1/Match_Data!Y951)</x:f>
      </x:c>
      <x:c r="N951" s="32" t="str">
        <x:f>IF(Match_Data!AA951="","",1/Match_Data!AA951)</x:f>
      </x:c>
      <x:c r="O951" s="32" t="str">
        <x:f>IF(OR(M951="",N951=""),"",N951-M951)</x:f>
      </x:c>
      <x:c r="P951" t="str">
        <x:f>IF(Match_Data!J951="","",IF(Match_Data!J951="OVER",1,0))</x:f>
      </x:c>
    </x:row>
    <x:row r="952">
      <x:c r="A952" t="n">
        <x:f>Match_Data!A952</x:f>
        <x:v>0</x:v>
      </x:c>
      <x:c r="B952" s="28" t="n">
        <x:f>Match_Data!B952</x:f>
        <x:v>0</x:v>
      </x:c>
      <x:c r="C952" t="n">
        <x:f>Match_Data!C952</x:f>
        <x:v>0</x:v>
      </x:c>
      <x:c r="D952" t="n">
        <x:f>Match_Data!E952</x:f>
        <x:v>0</x:v>
      </x:c>
      <x:c r="E952" t="n">
        <x:f>Match_Data!F952</x:f>
        <x:v>0</x:v>
      </x:c>
      <x:c r="F952" t="n">
        <x:f>Match_Data!AC952</x:f>
        <x:v>0</x:v>
      </x:c>
      <x:c r="G952" t="str">
        <x:f>IF(OR(Match_Data!K952="",Match_Data!L952=""),"",AVERAGE(Match_Data!K952:L952))</x:f>
      </x:c>
      <x:c r="H952" t="str">
        <x:f>IF(OR(Match_Data!M952="",Match_Data!N952=""),"",AVERAGE(Match_Data!M952:N952))</x:f>
      </x:c>
      <x:c r="I952" t="str">
        <x:f>IF(OR(Match_Data!O952="",Match_Data!Q952=""),"",Match_Data!O952+Match_Data!Q952)</x:f>
      </x:c>
      <x:c r="J952" t="str">
        <x:f>IF(OR(Match_Data!P952="",Match_Data!R952=""),"",Match_Data!P952+Match_Data!R952)</x:f>
      </x:c>
      <x:c r="K952" t="str">
        <x:f>IF(OR(Match_Data!S952="",Match_Data!T952=""),"",Match_Data!S952+Match_Data!T952)</x:f>
      </x:c>
      <x:c r="L952" t="str">
        <x:f>IF(OR(Match_Data!U952="",Match_Data!V952=""),"",Match_Data!U952-Match_Data!V952)</x:f>
      </x:c>
      <x:c r="M952" s="32" t="str">
        <x:f>IF(Match_Data!Y952="","",1/Match_Data!Y952)</x:f>
      </x:c>
      <x:c r="N952" s="32" t="str">
        <x:f>IF(Match_Data!AA952="","",1/Match_Data!AA952)</x:f>
      </x:c>
      <x:c r="O952" s="32" t="str">
        <x:f>IF(OR(M952="",N952=""),"",N952-M952)</x:f>
      </x:c>
      <x:c r="P952" t="str">
        <x:f>IF(Match_Data!J952="","",IF(Match_Data!J952="OVER",1,0))</x:f>
      </x:c>
    </x:row>
    <x:row r="953">
      <x:c r="A953" t="n">
        <x:f>Match_Data!A953</x:f>
        <x:v>0</x:v>
      </x:c>
      <x:c r="B953" s="28" t="n">
        <x:f>Match_Data!B953</x:f>
        <x:v>0</x:v>
      </x:c>
      <x:c r="C953" t="n">
        <x:f>Match_Data!C953</x:f>
        <x:v>0</x:v>
      </x:c>
      <x:c r="D953" t="n">
        <x:f>Match_Data!E953</x:f>
        <x:v>0</x:v>
      </x:c>
      <x:c r="E953" t="n">
        <x:f>Match_Data!F953</x:f>
        <x:v>0</x:v>
      </x:c>
      <x:c r="F953" t="n">
        <x:f>Match_Data!AC953</x:f>
        <x:v>0</x:v>
      </x:c>
      <x:c r="G953" t="str">
        <x:f>IF(OR(Match_Data!K953="",Match_Data!L953=""),"",AVERAGE(Match_Data!K953:L953))</x:f>
      </x:c>
      <x:c r="H953" t="str">
        <x:f>IF(OR(Match_Data!M953="",Match_Data!N953=""),"",AVERAGE(Match_Data!M953:N953))</x:f>
      </x:c>
      <x:c r="I953" t="str">
        <x:f>IF(OR(Match_Data!O953="",Match_Data!Q953=""),"",Match_Data!O953+Match_Data!Q953)</x:f>
      </x:c>
      <x:c r="J953" t="str">
        <x:f>IF(OR(Match_Data!P953="",Match_Data!R953=""),"",Match_Data!P953+Match_Data!R953)</x:f>
      </x:c>
      <x:c r="K953" t="str">
        <x:f>IF(OR(Match_Data!S953="",Match_Data!T953=""),"",Match_Data!S953+Match_Data!T953)</x:f>
      </x:c>
      <x:c r="L953" t="str">
        <x:f>IF(OR(Match_Data!U953="",Match_Data!V953=""),"",Match_Data!U953-Match_Data!V953)</x:f>
      </x:c>
      <x:c r="M953" s="32" t="str">
        <x:f>IF(Match_Data!Y953="","",1/Match_Data!Y953)</x:f>
      </x:c>
      <x:c r="N953" s="32" t="str">
        <x:f>IF(Match_Data!AA953="","",1/Match_Data!AA953)</x:f>
      </x:c>
      <x:c r="O953" s="32" t="str">
        <x:f>IF(OR(M953="",N953=""),"",N953-M953)</x:f>
      </x:c>
      <x:c r="P953" t="str">
        <x:f>IF(Match_Data!J953="","",IF(Match_Data!J953="OVER",1,0))</x:f>
      </x:c>
    </x:row>
    <x:row r="954">
      <x:c r="A954" t="n">
        <x:f>Match_Data!A954</x:f>
        <x:v>0</x:v>
      </x:c>
      <x:c r="B954" s="28" t="n">
        <x:f>Match_Data!B954</x:f>
        <x:v>0</x:v>
      </x:c>
      <x:c r="C954" t="n">
        <x:f>Match_Data!C954</x:f>
        <x:v>0</x:v>
      </x:c>
      <x:c r="D954" t="n">
        <x:f>Match_Data!E954</x:f>
        <x:v>0</x:v>
      </x:c>
      <x:c r="E954" t="n">
        <x:f>Match_Data!F954</x:f>
        <x:v>0</x:v>
      </x:c>
      <x:c r="F954" t="n">
        <x:f>Match_Data!AC954</x:f>
        <x:v>0</x:v>
      </x:c>
      <x:c r="G954" t="str">
        <x:f>IF(OR(Match_Data!K954="",Match_Data!L954=""),"",AVERAGE(Match_Data!K954:L954))</x:f>
      </x:c>
      <x:c r="H954" t="str">
        <x:f>IF(OR(Match_Data!M954="",Match_Data!N954=""),"",AVERAGE(Match_Data!M954:N954))</x:f>
      </x:c>
      <x:c r="I954" t="str">
        <x:f>IF(OR(Match_Data!O954="",Match_Data!Q954=""),"",Match_Data!O954+Match_Data!Q954)</x:f>
      </x:c>
      <x:c r="J954" t="str">
        <x:f>IF(OR(Match_Data!P954="",Match_Data!R954=""),"",Match_Data!P954+Match_Data!R954)</x:f>
      </x:c>
      <x:c r="K954" t="str">
        <x:f>IF(OR(Match_Data!S954="",Match_Data!T954=""),"",Match_Data!S954+Match_Data!T954)</x:f>
      </x:c>
      <x:c r="L954" t="str">
        <x:f>IF(OR(Match_Data!U954="",Match_Data!V954=""),"",Match_Data!U954-Match_Data!V954)</x:f>
      </x:c>
      <x:c r="M954" s="32" t="str">
        <x:f>IF(Match_Data!Y954="","",1/Match_Data!Y954)</x:f>
      </x:c>
      <x:c r="N954" s="32" t="str">
        <x:f>IF(Match_Data!AA954="","",1/Match_Data!AA954)</x:f>
      </x:c>
      <x:c r="O954" s="32" t="str">
        <x:f>IF(OR(M954="",N954=""),"",N954-M954)</x:f>
      </x:c>
      <x:c r="P954" t="str">
        <x:f>IF(Match_Data!J954="","",IF(Match_Data!J954="OVER",1,0))</x:f>
      </x:c>
    </x:row>
    <x:row r="955">
      <x:c r="A955" t="n">
        <x:f>Match_Data!A955</x:f>
        <x:v>0</x:v>
      </x:c>
      <x:c r="B955" s="28" t="n">
        <x:f>Match_Data!B955</x:f>
        <x:v>0</x:v>
      </x:c>
      <x:c r="C955" t="n">
        <x:f>Match_Data!C955</x:f>
        <x:v>0</x:v>
      </x:c>
      <x:c r="D955" t="n">
        <x:f>Match_Data!E955</x:f>
        <x:v>0</x:v>
      </x:c>
      <x:c r="E955" t="n">
        <x:f>Match_Data!F955</x:f>
        <x:v>0</x:v>
      </x:c>
      <x:c r="F955" t="n">
        <x:f>Match_Data!AC955</x:f>
        <x:v>0</x:v>
      </x:c>
      <x:c r="G955" t="str">
        <x:f>IF(OR(Match_Data!K955="",Match_Data!L955=""),"",AVERAGE(Match_Data!K955:L955))</x:f>
      </x:c>
      <x:c r="H955" t="str">
        <x:f>IF(OR(Match_Data!M955="",Match_Data!N955=""),"",AVERAGE(Match_Data!M955:N955))</x:f>
      </x:c>
      <x:c r="I955" t="str">
        <x:f>IF(OR(Match_Data!O955="",Match_Data!Q955=""),"",Match_Data!O955+Match_Data!Q955)</x:f>
      </x:c>
      <x:c r="J955" t="str">
        <x:f>IF(OR(Match_Data!P955="",Match_Data!R955=""),"",Match_Data!P955+Match_Data!R955)</x:f>
      </x:c>
      <x:c r="K955" t="str">
        <x:f>IF(OR(Match_Data!S955="",Match_Data!T955=""),"",Match_Data!S955+Match_Data!T955)</x:f>
      </x:c>
      <x:c r="L955" t="str">
        <x:f>IF(OR(Match_Data!U955="",Match_Data!V955=""),"",Match_Data!U955-Match_Data!V955)</x:f>
      </x:c>
      <x:c r="M955" s="32" t="str">
        <x:f>IF(Match_Data!Y955="","",1/Match_Data!Y955)</x:f>
      </x:c>
      <x:c r="N955" s="32" t="str">
        <x:f>IF(Match_Data!AA955="","",1/Match_Data!AA955)</x:f>
      </x:c>
      <x:c r="O955" s="32" t="str">
        <x:f>IF(OR(M955="",N955=""),"",N955-M955)</x:f>
      </x:c>
      <x:c r="P955" t="str">
        <x:f>IF(Match_Data!J955="","",IF(Match_Data!J955="OVER",1,0))</x:f>
      </x:c>
    </x:row>
    <x:row r="956">
      <x:c r="A956" t="n">
        <x:f>Match_Data!A956</x:f>
        <x:v>0</x:v>
      </x:c>
      <x:c r="B956" s="28" t="n">
        <x:f>Match_Data!B956</x:f>
        <x:v>0</x:v>
      </x:c>
      <x:c r="C956" t="n">
        <x:f>Match_Data!C956</x:f>
        <x:v>0</x:v>
      </x:c>
      <x:c r="D956" t="n">
        <x:f>Match_Data!E956</x:f>
        <x:v>0</x:v>
      </x:c>
      <x:c r="E956" t="n">
        <x:f>Match_Data!F956</x:f>
        <x:v>0</x:v>
      </x:c>
      <x:c r="F956" t="n">
        <x:f>Match_Data!AC956</x:f>
        <x:v>0</x:v>
      </x:c>
      <x:c r="G956" t="str">
        <x:f>IF(OR(Match_Data!K956="",Match_Data!L956=""),"",AVERAGE(Match_Data!K956:L956))</x:f>
      </x:c>
      <x:c r="H956" t="str">
        <x:f>IF(OR(Match_Data!M956="",Match_Data!N956=""),"",AVERAGE(Match_Data!M956:N956))</x:f>
      </x:c>
      <x:c r="I956" t="str">
        <x:f>IF(OR(Match_Data!O956="",Match_Data!Q956=""),"",Match_Data!O956+Match_Data!Q956)</x:f>
      </x:c>
      <x:c r="J956" t="str">
        <x:f>IF(OR(Match_Data!P956="",Match_Data!R956=""),"",Match_Data!P956+Match_Data!R956)</x:f>
      </x:c>
      <x:c r="K956" t="str">
        <x:f>IF(OR(Match_Data!S956="",Match_Data!T956=""),"",Match_Data!S956+Match_Data!T956)</x:f>
      </x:c>
      <x:c r="L956" t="str">
        <x:f>IF(OR(Match_Data!U956="",Match_Data!V956=""),"",Match_Data!U956-Match_Data!V956)</x:f>
      </x:c>
      <x:c r="M956" s="32" t="str">
        <x:f>IF(Match_Data!Y956="","",1/Match_Data!Y956)</x:f>
      </x:c>
      <x:c r="N956" s="32" t="str">
        <x:f>IF(Match_Data!AA956="","",1/Match_Data!AA956)</x:f>
      </x:c>
      <x:c r="O956" s="32" t="str">
        <x:f>IF(OR(M956="",N956=""),"",N956-M956)</x:f>
      </x:c>
      <x:c r="P956" t="str">
        <x:f>IF(Match_Data!J956="","",IF(Match_Data!J956="OVER",1,0))</x:f>
      </x:c>
    </x:row>
    <x:row r="957">
      <x:c r="A957" t="n">
        <x:f>Match_Data!A957</x:f>
        <x:v>0</x:v>
      </x:c>
      <x:c r="B957" s="28" t="n">
        <x:f>Match_Data!B957</x:f>
        <x:v>0</x:v>
      </x:c>
      <x:c r="C957" t="n">
        <x:f>Match_Data!C957</x:f>
        <x:v>0</x:v>
      </x:c>
      <x:c r="D957" t="n">
        <x:f>Match_Data!E957</x:f>
        <x:v>0</x:v>
      </x:c>
      <x:c r="E957" t="n">
        <x:f>Match_Data!F957</x:f>
        <x:v>0</x:v>
      </x:c>
      <x:c r="F957" t="n">
        <x:f>Match_Data!AC957</x:f>
        <x:v>0</x:v>
      </x:c>
      <x:c r="G957" t="str">
        <x:f>IF(OR(Match_Data!K957="",Match_Data!L957=""),"",AVERAGE(Match_Data!K957:L957))</x:f>
      </x:c>
      <x:c r="H957" t="str">
        <x:f>IF(OR(Match_Data!M957="",Match_Data!N957=""),"",AVERAGE(Match_Data!M957:N957))</x:f>
      </x:c>
      <x:c r="I957" t="str">
        <x:f>IF(OR(Match_Data!O957="",Match_Data!Q957=""),"",Match_Data!O957+Match_Data!Q957)</x:f>
      </x:c>
      <x:c r="J957" t="str">
        <x:f>IF(OR(Match_Data!P957="",Match_Data!R957=""),"",Match_Data!P957+Match_Data!R957)</x:f>
      </x:c>
      <x:c r="K957" t="str">
        <x:f>IF(OR(Match_Data!S957="",Match_Data!T957=""),"",Match_Data!S957+Match_Data!T957)</x:f>
      </x:c>
      <x:c r="L957" t="str">
        <x:f>IF(OR(Match_Data!U957="",Match_Data!V957=""),"",Match_Data!U957-Match_Data!V957)</x:f>
      </x:c>
      <x:c r="M957" s="32" t="str">
        <x:f>IF(Match_Data!Y957="","",1/Match_Data!Y957)</x:f>
      </x:c>
      <x:c r="N957" s="32" t="str">
        <x:f>IF(Match_Data!AA957="","",1/Match_Data!AA957)</x:f>
      </x:c>
      <x:c r="O957" s="32" t="str">
        <x:f>IF(OR(M957="",N957=""),"",N957-M957)</x:f>
      </x:c>
      <x:c r="P957" t="str">
        <x:f>IF(Match_Data!J957="","",IF(Match_Data!J957="OVER",1,0))</x:f>
      </x:c>
    </x:row>
    <x:row r="958">
      <x:c r="A958" t="n">
        <x:f>Match_Data!A958</x:f>
        <x:v>0</x:v>
      </x:c>
      <x:c r="B958" s="28" t="n">
        <x:f>Match_Data!B958</x:f>
        <x:v>0</x:v>
      </x:c>
      <x:c r="C958" t="n">
        <x:f>Match_Data!C958</x:f>
        <x:v>0</x:v>
      </x:c>
      <x:c r="D958" t="n">
        <x:f>Match_Data!E958</x:f>
        <x:v>0</x:v>
      </x:c>
      <x:c r="E958" t="n">
        <x:f>Match_Data!F958</x:f>
        <x:v>0</x:v>
      </x:c>
      <x:c r="F958" t="n">
        <x:f>Match_Data!AC958</x:f>
        <x:v>0</x:v>
      </x:c>
      <x:c r="G958" t="str">
        <x:f>IF(OR(Match_Data!K958="",Match_Data!L958=""),"",AVERAGE(Match_Data!K958:L958))</x:f>
      </x:c>
      <x:c r="H958" t="str">
        <x:f>IF(OR(Match_Data!M958="",Match_Data!N958=""),"",AVERAGE(Match_Data!M958:N958))</x:f>
      </x:c>
      <x:c r="I958" t="str">
        <x:f>IF(OR(Match_Data!O958="",Match_Data!Q958=""),"",Match_Data!O958+Match_Data!Q958)</x:f>
      </x:c>
      <x:c r="J958" t="str">
        <x:f>IF(OR(Match_Data!P958="",Match_Data!R958=""),"",Match_Data!P958+Match_Data!R958)</x:f>
      </x:c>
      <x:c r="K958" t="str">
        <x:f>IF(OR(Match_Data!S958="",Match_Data!T958=""),"",Match_Data!S958+Match_Data!T958)</x:f>
      </x:c>
      <x:c r="L958" t="str">
        <x:f>IF(OR(Match_Data!U958="",Match_Data!V958=""),"",Match_Data!U958-Match_Data!V958)</x:f>
      </x:c>
      <x:c r="M958" s="32" t="str">
        <x:f>IF(Match_Data!Y958="","",1/Match_Data!Y958)</x:f>
      </x:c>
      <x:c r="N958" s="32" t="str">
        <x:f>IF(Match_Data!AA958="","",1/Match_Data!AA958)</x:f>
      </x:c>
      <x:c r="O958" s="32" t="str">
        <x:f>IF(OR(M958="",N958=""),"",N958-M958)</x:f>
      </x:c>
      <x:c r="P958" t="str">
        <x:f>IF(Match_Data!J958="","",IF(Match_Data!J958="OVER",1,0))</x:f>
      </x:c>
    </x:row>
    <x:row r="959">
      <x:c r="A959" t="n">
        <x:f>Match_Data!A959</x:f>
        <x:v>0</x:v>
      </x:c>
      <x:c r="B959" s="28" t="n">
        <x:f>Match_Data!B959</x:f>
        <x:v>0</x:v>
      </x:c>
      <x:c r="C959" t="n">
        <x:f>Match_Data!C959</x:f>
        <x:v>0</x:v>
      </x:c>
      <x:c r="D959" t="n">
        <x:f>Match_Data!E959</x:f>
        <x:v>0</x:v>
      </x:c>
      <x:c r="E959" t="n">
        <x:f>Match_Data!F959</x:f>
        <x:v>0</x:v>
      </x:c>
      <x:c r="F959" t="n">
        <x:f>Match_Data!AC959</x:f>
        <x:v>0</x:v>
      </x:c>
      <x:c r="G959" t="str">
        <x:f>IF(OR(Match_Data!K959="",Match_Data!L959=""),"",AVERAGE(Match_Data!K959:L959))</x:f>
      </x:c>
      <x:c r="H959" t="str">
        <x:f>IF(OR(Match_Data!M959="",Match_Data!N959=""),"",AVERAGE(Match_Data!M959:N959))</x:f>
      </x:c>
      <x:c r="I959" t="str">
        <x:f>IF(OR(Match_Data!O959="",Match_Data!Q959=""),"",Match_Data!O959+Match_Data!Q959)</x:f>
      </x:c>
      <x:c r="J959" t="str">
        <x:f>IF(OR(Match_Data!P959="",Match_Data!R959=""),"",Match_Data!P959+Match_Data!R959)</x:f>
      </x:c>
      <x:c r="K959" t="str">
        <x:f>IF(OR(Match_Data!S959="",Match_Data!T959=""),"",Match_Data!S959+Match_Data!T959)</x:f>
      </x:c>
      <x:c r="L959" t="str">
        <x:f>IF(OR(Match_Data!U959="",Match_Data!V959=""),"",Match_Data!U959-Match_Data!V959)</x:f>
      </x:c>
      <x:c r="M959" s="32" t="str">
        <x:f>IF(Match_Data!Y959="","",1/Match_Data!Y959)</x:f>
      </x:c>
      <x:c r="N959" s="32" t="str">
        <x:f>IF(Match_Data!AA959="","",1/Match_Data!AA959)</x:f>
      </x:c>
      <x:c r="O959" s="32" t="str">
        <x:f>IF(OR(M959="",N959=""),"",N959-M959)</x:f>
      </x:c>
      <x:c r="P959" t="str">
        <x:f>IF(Match_Data!J959="","",IF(Match_Data!J959="OVER",1,0))</x:f>
      </x:c>
    </x:row>
    <x:row r="960">
      <x:c r="A960" t="n">
        <x:f>Match_Data!A960</x:f>
        <x:v>0</x:v>
      </x:c>
      <x:c r="B960" s="28" t="n">
        <x:f>Match_Data!B960</x:f>
        <x:v>0</x:v>
      </x:c>
      <x:c r="C960" t="n">
        <x:f>Match_Data!C960</x:f>
        <x:v>0</x:v>
      </x:c>
      <x:c r="D960" t="n">
        <x:f>Match_Data!E960</x:f>
        <x:v>0</x:v>
      </x:c>
      <x:c r="E960" t="n">
        <x:f>Match_Data!F960</x:f>
        <x:v>0</x:v>
      </x:c>
      <x:c r="F960" t="n">
        <x:f>Match_Data!AC960</x:f>
        <x:v>0</x:v>
      </x:c>
      <x:c r="G960" t="str">
        <x:f>IF(OR(Match_Data!K960="",Match_Data!L960=""),"",AVERAGE(Match_Data!K960:L960))</x:f>
      </x:c>
      <x:c r="H960" t="str">
        <x:f>IF(OR(Match_Data!M960="",Match_Data!N960=""),"",AVERAGE(Match_Data!M960:N960))</x:f>
      </x:c>
      <x:c r="I960" t="str">
        <x:f>IF(OR(Match_Data!O960="",Match_Data!Q960=""),"",Match_Data!O960+Match_Data!Q960)</x:f>
      </x:c>
      <x:c r="J960" t="str">
        <x:f>IF(OR(Match_Data!P960="",Match_Data!R960=""),"",Match_Data!P960+Match_Data!R960)</x:f>
      </x:c>
      <x:c r="K960" t="str">
        <x:f>IF(OR(Match_Data!S960="",Match_Data!T960=""),"",Match_Data!S960+Match_Data!T960)</x:f>
      </x:c>
      <x:c r="L960" t="str">
        <x:f>IF(OR(Match_Data!U960="",Match_Data!V960=""),"",Match_Data!U960-Match_Data!V960)</x:f>
      </x:c>
      <x:c r="M960" s="32" t="str">
        <x:f>IF(Match_Data!Y960="","",1/Match_Data!Y960)</x:f>
      </x:c>
      <x:c r="N960" s="32" t="str">
        <x:f>IF(Match_Data!AA960="","",1/Match_Data!AA960)</x:f>
      </x:c>
      <x:c r="O960" s="32" t="str">
        <x:f>IF(OR(M960="",N960=""),"",N960-M960)</x:f>
      </x:c>
      <x:c r="P960" t="str">
        <x:f>IF(Match_Data!J960="","",IF(Match_Data!J960="OVER",1,0))</x:f>
      </x:c>
    </x:row>
    <x:row r="961">
      <x:c r="A961" t="n">
        <x:f>Match_Data!A961</x:f>
        <x:v>0</x:v>
      </x:c>
      <x:c r="B961" s="28" t="n">
        <x:f>Match_Data!B961</x:f>
        <x:v>0</x:v>
      </x:c>
      <x:c r="C961" t="n">
        <x:f>Match_Data!C961</x:f>
        <x:v>0</x:v>
      </x:c>
      <x:c r="D961" t="n">
        <x:f>Match_Data!E961</x:f>
        <x:v>0</x:v>
      </x:c>
      <x:c r="E961" t="n">
        <x:f>Match_Data!F961</x:f>
        <x:v>0</x:v>
      </x:c>
      <x:c r="F961" t="n">
        <x:f>Match_Data!AC961</x:f>
        <x:v>0</x:v>
      </x:c>
      <x:c r="G961" t="str">
        <x:f>IF(OR(Match_Data!K961="",Match_Data!L961=""),"",AVERAGE(Match_Data!K961:L961))</x:f>
      </x:c>
      <x:c r="H961" t="str">
        <x:f>IF(OR(Match_Data!M961="",Match_Data!N961=""),"",AVERAGE(Match_Data!M961:N961))</x:f>
      </x:c>
      <x:c r="I961" t="str">
        <x:f>IF(OR(Match_Data!O961="",Match_Data!Q961=""),"",Match_Data!O961+Match_Data!Q961)</x:f>
      </x:c>
      <x:c r="J961" t="str">
        <x:f>IF(OR(Match_Data!P961="",Match_Data!R961=""),"",Match_Data!P961+Match_Data!R961)</x:f>
      </x:c>
      <x:c r="K961" t="str">
        <x:f>IF(OR(Match_Data!S961="",Match_Data!T961=""),"",Match_Data!S961+Match_Data!T961)</x:f>
      </x:c>
      <x:c r="L961" t="str">
        <x:f>IF(OR(Match_Data!U961="",Match_Data!V961=""),"",Match_Data!U961-Match_Data!V961)</x:f>
      </x:c>
      <x:c r="M961" s="32" t="str">
        <x:f>IF(Match_Data!Y961="","",1/Match_Data!Y961)</x:f>
      </x:c>
      <x:c r="N961" s="32" t="str">
        <x:f>IF(Match_Data!AA961="","",1/Match_Data!AA961)</x:f>
      </x:c>
      <x:c r="O961" s="32" t="str">
        <x:f>IF(OR(M961="",N961=""),"",N961-M961)</x:f>
      </x:c>
      <x:c r="P961" t="str">
        <x:f>IF(Match_Data!J961="","",IF(Match_Data!J961="OVER",1,0))</x:f>
      </x:c>
    </x:row>
    <x:row r="962">
      <x:c r="A962" t="n">
        <x:f>Match_Data!A962</x:f>
        <x:v>0</x:v>
      </x:c>
      <x:c r="B962" s="28" t="n">
        <x:f>Match_Data!B962</x:f>
        <x:v>0</x:v>
      </x:c>
      <x:c r="C962" t="n">
        <x:f>Match_Data!C962</x:f>
        <x:v>0</x:v>
      </x:c>
      <x:c r="D962" t="n">
        <x:f>Match_Data!E962</x:f>
        <x:v>0</x:v>
      </x:c>
      <x:c r="E962" t="n">
        <x:f>Match_Data!F962</x:f>
        <x:v>0</x:v>
      </x:c>
      <x:c r="F962" t="n">
        <x:f>Match_Data!AC962</x:f>
        <x:v>0</x:v>
      </x:c>
      <x:c r="G962" t="str">
        <x:f>IF(OR(Match_Data!K962="",Match_Data!L962=""),"",AVERAGE(Match_Data!K962:L962))</x:f>
      </x:c>
      <x:c r="H962" t="str">
        <x:f>IF(OR(Match_Data!M962="",Match_Data!N962=""),"",AVERAGE(Match_Data!M962:N962))</x:f>
      </x:c>
      <x:c r="I962" t="str">
        <x:f>IF(OR(Match_Data!O962="",Match_Data!Q962=""),"",Match_Data!O962+Match_Data!Q962)</x:f>
      </x:c>
      <x:c r="J962" t="str">
        <x:f>IF(OR(Match_Data!P962="",Match_Data!R962=""),"",Match_Data!P962+Match_Data!R962)</x:f>
      </x:c>
      <x:c r="K962" t="str">
        <x:f>IF(OR(Match_Data!S962="",Match_Data!T962=""),"",Match_Data!S962+Match_Data!T962)</x:f>
      </x:c>
      <x:c r="L962" t="str">
        <x:f>IF(OR(Match_Data!U962="",Match_Data!V962=""),"",Match_Data!U962-Match_Data!V962)</x:f>
      </x:c>
      <x:c r="M962" s="32" t="str">
        <x:f>IF(Match_Data!Y962="","",1/Match_Data!Y962)</x:f>
      </x:c>
      <x:c r="N962" s="32" t="str">
        <x:f>IF(Match_Data!AA962="","",1/Match_Data!AA962)</x:f>
      </x:c>
      <x:c r="O962" s="32" t="str">
        <x:f>IF(OR(M962="",N962=""),"",N962-M962)</x:f>
      </x:c>
      <x:c r="P962" t="str">
        <x:f>IF(Match_Data!J962="","",IF(Match_Data!J962="OVER",1,0))</x:f>
      </x:c>
    </x:row>
    <x:row r="963">
      <x:c r="A963" t="n">
        <x:f>Match_Data!A963</x:f>
        <x:v>0</x:v>
      </x:c>
      <x:c r="B963" s="28" t="n">
        <x:f>Match_Data!B963</x:f>
        <x:v>0</x:v>
      </x:c>
      <x:c r="C963" t="n">
        <x:f>Match_Data!C963</x:f>
        <x:v>0</x:v>
      </x:c>
      <x:c r="D963" t="n">
        <x:f>Match_Data!E963</x:f>
        <x:v>0</x:v>
      </x:c>
      <x:c r="E963" t="n">
        <x:f>Match_Data!F963</x:f>
        <x:v>0</x:v>
      </x:c>
      <x:c r="F963" t="n">
        <x:f>Match_Data!AC963</x:f>
        <x:v>0</x:v>
      </x:c>
      <x:c r="G963" t="str">
        <x:f>IF(OR(Match_Data!K963="",Match_Data!L963=""),"",AVERAGE(Match_Data!K963:L963))</x:f>
      </x:c>
      <x:c r="H963" t="str">
        <x:f>IF(OR(Match_Data!M963="",Match_Data!N963=""),"",AVERAGE(Match_Data!M963:N963))</x:f>
      </x:c>
      <x:c r="I963" t="str">
        <x:f>IF(OR(Match_Data!O963="",Match_Data!Q963=""),"",Match_Data!O963+Match_Data!Q963)</x:f>
      </x:c>
      <x:c r="J963" t="str">
        <x:f>IF(OR(Match_Data!P963="",Match_Data!R963=""),"",Match_Data!P963+Match_Data!R963)</x:f>
      </x:c>
      <x:c r="K963" t="str">
        <x:f>IF(OR(Match_Data!S963="",Match_Data!T963=""),"",Match_Data!S963+Match_Data!T963)</x:f>
      </x:c>
      <x:c r="L963" t="str">
        <x:f>IF(OR(Match_Data!U963="",Match_Data!V963=""),"",Match_Data!U963-Match_Data!V963)</x:f>
      </x:c>
      <x:c r="M963" s="32" t="str">
        <x:f>IF(Match_Data!Y963="","",1/Match_Data!Y963)</x:f>
      </x:c>
      <x:c r="N963" s="32" t="str">
        <x:f>IF(Match_Data!AA963="","",1/Match_Data!AA963)</x:f>
      </x:c>
      <x:c r="O963" s="32" t="str">
        <x:f>IF(OR(M963="",N963=""),"",N963-M963)</x:f>
      </x:c>
      <x:c r="P963" t="str">
        <x:f>IF(Match_Data!J963="","",IF(Match_Data!J963="OVER",1,0))</x:f>
      </x:c>
    </x:row>
    <x:row r="964">
      <x:c r="A964" t="n">
        <x:f>Match_Data!A964</x:f>
        <x:v>0</x:v>
      </x:c>
      <x:c r="B964" s="28" t="n">
        <x:f>Match_Data!B964</x:f>
        <x:v>0</x:v>
      </x:c>
      <x:c r="C964" t="n">
        <x:f>Match_Data!C964</x:f>
        <x:v>0</x:v>
      </x:c>
      <x:c r="D964" t="n">
        <x:f>Match_Data!E964</x:f>
        <x:v>0</x:v>
      </x:c>
      <x:c r="E964" t="n">
        <x:f>Match_Data!F964</x:f>
        <x:v>0</x:v>
      </x:c>
      <x:c r="F964" t="n">
        <x:f>Match_Data!AC964</x:f>
        <x:v>0</x:v>
      </x:c>
      <x:c r="G964" t="str">
        <x:f>IF(OR(Match_Data!K964="",Match_Data!L964=""),"",AVERAGE(Match_Data!K964:L964))</x:f>
      </x:c>
      <x:c r="H964" t="str">
        <x:f>IF(OR(Match_Data!M964="",Match_Data!N964=""),"",AVERAGE(Match_Data!M964:N964))</x:f>
      </x:c>
      <x:c r="I964" t="str">
        <x:f>IF(OR(Match_Data!O964="",Match_Data!Q964=""),"",Match_Data!O964+Match_Data!Q964)</x:f>
      </x:c>
      <x:c r="J964" t="str">
        <x:f>IF(OR(Match_Data!P964="",Match_Data!R964=""),"",Match_Data!P964+Match_Data!R964)</x:f>
      </x:c>
      <x:c r="K964" t="str">
        <x:f>IF(OR(Match_Data!S964="",Match_Data!T964=""),"",Match_Data!S964+Match_Data!T964)</x:f>
      </x:c>
      <x:c r="L964" t="str">
        <x:f>IF(OR(Match_Data!U964="",Match_Data!V964=""),"",Match_Data!U964-Match_Data!V964)</x:f>
      </x:c>
      <x:c r="M964" s="32" t="str">
        <x:f>IF(Match_Data!Y964="","",1/Match_Data!Y964)</x:f>
      </x:c>
      <x:c r="N964" s="32" t="str">
        <x:f>IF(Match_Data!AA964="","",1/Match_Data!AA964)</x:f>
      </x:c>
      <x:c r="O964" s="32" t="str">
        <x:f>IF(OR(M964="",N964=""),"",N964-M964)</x:f>
      </x:c>
      <x:c r="P964" t="str">
        <x:f>IF(Match_Data!J964="","",IF(Match_Data!J964="OVER",1,0))</x:f>
      </x:c>
    </x:row>
    <x:row r="965">
      <x:c r="A965" t="n">
        <x:f>Match_Data!A965</x:f>
        <x:v>0</x:v>
      </x:c>
      <x:c r="B965" s="28" t="n">
        <x:f>Match_Data!B965</x:f>
        <x:v>0</x:v>
      </x:c>
      <x:c r="C965" t="n">
        <x:f>Match_Data!C965</x:f>
        <x:v>0</x:v>
      </x:c>
      <x:c r="D965" t="n">
        <x:f>Match_Data!E965</x:f>
        <x:v>0</x:v>
      </x:c>
      <x:c r="E965" t="n">
        <x:f>Match_Data!F965</x:f>
        <x:v>0</x:v>
      </x:c>
      <x:c r="F965" t="n">
        <x:f>Match_Data!AC965</x:f>
        <x:v>0</x:v>
      </x:c>
      <x:c r="G965" t="str">
        <x:f>IF(OR(Match_Data!K965="",Match_Data!L965=""),"",AVERAGE(Match_Data!K965:L965))</x:f>
      </x:c>
      <x:c r="H965" t="str">
        <x:f>IF(OR(Match_Data!M965="",Match_Data!N965=""),"",AVERAGE(Match_Data!M965:N965))</x:f>
      </x:c>
      <x:c r="I965" t="str">
        <x:f>IF(OR(Match_Data!O965="",Match_Data!Q965=""),"",Match_Data!O965+Match_Data!Q965)</x:f>
      </x:c>
      <x:c r="J965" t="str">
        <x:f>IF(OR(Match_Data!P965="",Match_Data!R965=""),"",Match_Data!P965+Match_Data!R965)</x:f>
      </x:c>
      <x:c r="K965" t="str">
        <x:f>IF(OR(Match_Data!S965="",Match_Data!T965=""),"",Match_Data!S965+Match_Data!T965)</x:f>
      </x:c>
      <x:c r="L965" t="str">
        <x:f>IF(OR(Match_Data!U965="",Match_Data!V965=""),"",Match_Data!U965-Match_Data!V965)</x:f>
      </x:c>
      <x:c r="M965" s="32" t="str">
        <x:f>IF(Match_Data!Y965="","",1/Match_Data!Y965)</x:f>
      </x:c>
      <x:c r="N965" s="32" t="str">
        <x:f>IF(Match_Data!AA965="","",1/Match_Data!AA965)</x:f>
      </x:c>
      <x:c r="O965" s="32" t="str">
        <x:f>IF(OR(M965="",N965=""),"",N965-M965)</x:f>
      </x:c>
      <x:c r="P965" t="str">
        <x:f>IF(Match_Data!J965="","",IF(Match_Data!J965="OVER",1,0))</x:f>
      </x:c>
    </x:row>
    <x:row r="966">
      <x:c r="A966" t="n">
        <x:f>Match_Data!A966</x:f>
        <x:v>0</x:v>
      </x:c>
      <x:c r="B966" s="28" t="n">
        <x:f>Match_Data!B966</x:f>
        <x:v>0</x:v>
      </x:c>
      <x:c r="C966" t="n">
        <x:f>Match_Data!C966</x:f>
        <x:v>0</x:v>
      </x:c>
      <x:c r="D966" t="n">
        <x:f>Match_Data!E966</x:f>
        <x:v>0</x:v>
      </x:c>
      <x:c r="E966" t="n">
        <x:f>Match_Data!F966</x:f>
        <x:v>0</x:v>
      </x:c>
      <x:c r="F966" t="n">
        <x:f>Match_Data!AC966</x:f>
        <x:v>0</x:v>
      </x:c>
      <x:c r="G966" t="str">
        <x:f>IF(OR(Match_Data!K966="",Match_Data!L966=""),"",AVERAGE(Match_Data!K966:L966))</x:f>
      </x:c>
      <x:c r="H966" t="str">
        <x:f>IF(OR(Match_Data!M966="",Match_Data!N966=""),"",AVERAGE(Match_Data!M966:N966))</x:f>
      </x:c>
      <x:c r="I966" t="str">
        <x:f>IF(OR(Match_Data!O966="",Match_Data!Q966=""),"",Match_Data!O966+Match_Data!Q966)</x:f>
      </x:c>
      <x:c r="J966" t="str">
        <x:f>IF(OR(Match_Data!P966="",Match_Data!R966=""),"",Match_Data!P966+Match_Data!R966)</x:f>
      </x:c>
      <x:c r="K966" t="str">
        <x:f>IF(OR(Match_Data!S966="",Match_Data!T966=""),"",Match_Data!S966+Match_Data!T966)</x:f>
      </x:c>
      <x:c r="L966" t="str">
        <x:f>IF(OR(Match_Data!U966="",Match_Data!V966=""),"",Match_Data!U966-Match_Data!V966)</x:f>
      </x:c>
      <x:c r="M966" s="32" t="str">
        <x:f>IF(Match_Data!Y966="","",1/Match_Data!Y966)</x:f>
      </x:c>
      <x:c r="N966" s="32" t="str">
        <x:f>IF(Match_Data!AA966="","",1/Match_Data!AA966)</x:f>
      </x:c>
      <x:c r="O966" s="32" t="str">
        <x:f>IF(OR(M966="",N966=""),"",N966-M966)</x:f>
      </x:c>
      <x:c r="P966" t="str">
        <x:f>IF(Match_Data!J966="","",IF(Match_Data!J966="OVER",1,0))</x:f>
      </x:c>
    </x:row>
    <x:row r="967">
      <x:c r="A967" t="n">
        <x:f>Match_Data!A967</x:f>
        <x:v>0</x:v>
      </x:c>
      <x:c r="B967" s="28" t="n">
        <x:f>Match_Data!B967</x:f>
        <x:v>0</x:v>
      </x:c>
      <x:c r="C967" t="n">
        <x:f>Match_Data!C967</x:f>
        <x:v>0</x:v>
      </x:c>
      <x:c r="D967" t="n">
        <x:f>Match_Data!E967</x:f>
        <x:v>0</x:v>
      </x:c>
      <x:c r="E967" t="n">
        <x:f>Match_Data!F967</x:f>
        <x:v>0</x:v>
      </x:c>
      <x:c r="F967" t="n">
        <x:f>Match_Data!AC967</x:f>
        <x:v>0</x:v>
      </x:c>
      <x:c r="G967" t="str">
        <x:f>IF(OR(Match_Data!K967="",Match_Data!L967=""),"",AVERAGE(Match_Data!K967:L967))</x:f>
      </x:c>
      <x:c r="H967" t="str">
        <x:f>IF(OR(Match_Data!M967="",Match_Data!N967=""),"",AVERAGE(Match_Data!M967:N967))</x:f>
      </x:c>
      <x:c r="I967" t="str">
        <x:f>IF(OR(Match_Data!O967="",Match_Data!Q967=""),"",Match_Data!O967+Match_Data!Q967)</x:f>
      </x:c>
      <x:c r="J967" t="str">
        <x:f>IF(OR(Match_Data!P967="",Match_Data!R967=""),"",Match_Data!P967+Match_Data!R967)</x:f>
      </x:c>
      <x:c r="K967" t="str">
        <x:f>IF(OR(Match_Data!S967="",Match_Data!T967=""),"",Match_Data!S967+Match_Data!T967)</x:f>
      </x:c>
      <x:c r="L967" t="str">
        <x:f>IF(OR(Match_Data!U967="",Match_Data!V967=""),"",Match_Data!U967-Match_Data!V967)</x:f>
      </x:c>
      <x:c r="M967" s="32" t="str">
        <x:f>IF(Match_Data!Y967="","",1/Match_Data!Y967)</x:f>
      </x:c>
      <x:c r="N967" s="32" t="str">
        <x:f>IF(Match_Data!AA967="","",1/Match_Data!AA967)</x:f>
      </x:c>
      <x:c r="O967" s="32" t="str">
        <x:f>IF(OR(M967="",N967=""),"",N967-M967)</x:f>
      </x:c>
      <x:c r="P967" t="str">
        <x:f>IF(Match_Data!J967="","",IF(Match_Data!J967="OVER",1,0))</x:f>
      </x:c>
    </x:row>
    <x:row r="968">
      <x:c r="A968" t="n">
        <x:f>Match_Data!A968</x:f>
        <x:v>0</x:v>
      </x:c>
      <x:c r="B968" s="28" t="n">
        <x:f>Match_Data!B968</x:f>
        <x:v>0</x:v>
      </x:c>
      <x:c r="C968" t="n">
        <x:f>Match_Data!C968</x:f>
        <x:v>0</x:v>
      </x:c>
      <x:c r="D968" t="n">
        <x:f>Match_Data!E968</x:f>
        <x:v>0</x:v>
      </x:c>
      <x:c r="E968" t="n">
        <x:f>Match_Data!F968</x:f>
        <x:v>0</x:v>
      </x:c>
      <x:c r="F968" t="n">
        <x:f>Match_Data!AC968</x:f>
        <x:v>0</x:v>
      </x:c>
      <x:c r="G968" t="str">
        <x:f>IF(OR(Match_Data!K968="",Match_Data!L968=""),"",AVERAGE(Match_Data!K968:L968))</x:f>
      </x:c>
      <x:c r="H968" t="str">
        <x:f>IF(OR(Match_Data!M968="",Match_Data!N968=""),"",AVERAGE(Match_Data!M968:N968))</x:f>
      </x:c>
      <x:c r="I968" t="str">
        <x:f>IF(OR(Match_Data!O968="",Match_Data!Q968=""),"",Match_Data!O968+Match_Data!Q968)</x:f>
      </x:c>
      <x:c r="J968" t="str">
        <x:f>IF(OR(Match_Data!P968="",Match_Data!R968=""),"",Match_Data!P968+Match_Data!R968)</x:f>
      </x:c>
      <x:c r="K968" t="str">
        <x:f>IF(OR(Match_Data!S968="",Match_Data!T968=""),"",Match_Data!S968+Match_Data!T968)</x:f>
      </x:c>
      <x:c r="L968" t="str">
        <x:f>IF(OR(Match_Data!U968="",Match_Data!V968=""),"",Match_Data!U968-Match_Data!V968)</x:f>
      </x:c>
      <x:c r="M968" s="32" t="str">
        <x:f>IF(Match_Data!Y968="","",1/Match_Data!Y968)</x:f>
      </x:c>
      <x:c r="N968" s="32" t="str">
        <x:f>IF(Match_Data!AA968="","",1/Match_Data!AA968)</x:f>
      </x:c>
      <x:c r="O968" s="32" t="str">
        <x:f>IF(OR(M968="",N968=""),"",N968-M968)</x:f>
      </x:c>
      <x:c r="P968" t="str">
        <x:f>IF(Match_Data!J968="","",IF(Match_Data!J968="OVER",1,0))</x:f>
      </x:c>
    </x:row>
    <x:row r="969">
      <x:c r="A969" t="n">
        <x:f>Match_Data!A969</x:f>
        <x:v>0</x:v>
      </x:c>
      <x:c r="B969" s="28" t="n">
        <x:f>Match_Data!B969</x:f>
        <x:v>0</x:v>
      </x:c>
      <x:c r="C969" t="n">
        <x:f>Match_Data!C969</x:f>
        <x:v>0</x:v>
      </x:c>
      <x:c r="D969" t="n">
        <x:f>Match_Data!E969</x:f>
        <x:v>0</x:v>
      </x:c>
      <x:c r="E969" t="n">
        <x:f>Match_Data!F969</x:f>
        <x:v>0</x:v>
      </x:c>
      <x:c r="F969" t="n">
        <x:f>Match_Data!AC969</x:f>
        <x:v>0</x:v>
      </x:c>
      <x:c r="G969" t="str">
        <x:f>IF(OR(Match_Data!K969="",Match_Data!L969=""),"",AVERAGE(Match_Data!K969:L969))</x:f>
      </x:c>
      <x:c r="H969" t="str">
        <x:f>IF(OR(Match_Data!M969="",Match_Data!N969=""),"",AVERAGE(Match_Data!M969:N969))</x:f>
      </x:c>
      <x:c r="I969" t="str">
        <x:f>IF(OR(Match_Data!O969="",Match_Data!Q969=""),"",Match_Data!O969+Match_Data!Q969)</x:f>
      </x:c>
      <x:c r="J969" t="str">
        <x:f>IF(OR(Match_Data!P969="",Match_Data!R969=""),"",Match_Data!P969+Match_Data!R969)</x:f>
      </x:c>
      <x:c r="K969" t="str">
        <x:f>IF(OR(Match_Data!S969="",Match_Data!T969=""),"",Match_Data!S969+Match_Data!T969)</x:f>
      </x:c>
      <x:c r="L969" t="str">
        <x:f>IF(OR(Match_Data!U969="",Match_Data!V969=""),"",Match_Data!U969-Match_Data!V969)</x:f>
      </x:c>
      <x:c r="M969" s="32" t="str">
        <x:f>IF(Match_Data!Y969="","",1/Match_Data!Y969)</x:f>
      </x:c>
      <x:c r="N969" s="32" t="str">
        <x:f>IF(Match_Data!AA969="","",1/Match_Data!AA969)</x:f>
      </x:c>
      <x:c r="O969" s="32" t="str">
        <x:f>IF(OR(M969="",N969=""),"",N969-M969)</x:f>
      </x:c>
      <x:c r="P969" t="str">
        <x:f>IF(Match_Data!J969="","",IF(Match_Data!J969="OVER",1,0))</x:f>
      </x:c>
    </x:row>
    <x:row r="970">
      <x:c r="A970" t="n">
        <x:f>Match_Data!A970</x:f>
        <x:v>0</x:v>
      </x:c>
      <x:c r="B970" s="28" t="n">
        <x:f>Match_Data!B970</x:f>
        <x:v>0</x:v>
      </x:c>
      <x:c r="C970" t="n">
        <x:f>Match_Data!C970</x:f>
        <x:v>0</x:v>
      </x:c>
      <x:c r="D970" t="n">
        <x:f>Match_Data!E970</x:f>
        <x:v>0</x:v>
      </x:c>
      <x:c r="E970" t="n">
        <x:f>Match_Data!F970</x:f>
        <x:v>0</x:v>
      </x:c>
      <x:c r="F970" t="n">
        <x:f>Match_Data!AC970</x:f>
        <x:v>0</x:v>
      </x:c>
      <x:c r="G970" t="str">
        <x:f>IF(OR(Match_Data!K970="",Match_Data!L970=""),"",AVERAGE(Match_Data!K970:L970))</x:f>
      </x:c>
      <x:c r="H970" t="str">
        <x:f>IF(OR(Match_Data!M970="",Match_Data!N970=""),"",AVERAGE(Match_Data!M970:N970))</x:f>
      </x:c>
      <x:c r="I970" t="str">
        <x:f>IF(OR(Match_Data!O970="",Match_Data!Q970=""),"",Match_Data!O970+Match_Data!Q970)</x:f>
      </x:c>
      <x:c r="J970" t="str">
        <x:f>IF(OR(Match_Data!P970="",Match_Data!R970=""),"",Match_Data!P970+Match_Data!R970)</x:f>
      </x:c>
      <x:c r="K970" t="str">
        <x:f>IF(OR(Match_Data!S970="",Match_Data!T970=""),"",Match_Data!S970+Match_Data!T970)</x:f>
      </x:c>
      <x:c r="L970" t="str">
        <x:f>IF(OR(Match_Data!U970="",Match_Data!V970=""),"",Match_Data!U970-Match_Data!V970)</x:f>
      </x:c>
      <x:c r="M970" s="32" t="str">
        <x:f>IF(Match_Data!Y970="","",1/Match_Data!Y970)</x:f>
      </x:c>
      <x:c r="N970" s="32" t="str">
        <x:f>IF(Match_Data!AA970="","",1/Match_Data!AA970)</x:f>
      </x:c>
      <x:c r="O970" s="32" t="str">
        <x:f>IF(OR(M970="",N970=""),"",N970-M970)</x:f>
      </x:c>
      <x:c r="P970" t="str">
        <x:f>IF(Match_Data!J970="","",IF(Match_Data!J970="OVER",1,0))</x:f>
      </x:c>
    </x:row>
    <x:row r="971">
      <x:c r="A971" t="n">
        <x:f>Match_Data!A971</x:f>
        <x:v>0</x:v>
      </x:c>
      <x:c r="B971" s="28" t="n">
        <x:f>Match_Data!B971</x:f>
        <x:v>0</x:v>
      </x:c>
      <x:c r="C971" t="n">
        <x:f>Match_Data!C971</x:f>
        <x:v>0</x:v>
      </x:c>
      <x:c r="D971" t="n">
        <x:f>Match_Data!E971</x:f>
        <x:v>0</x:v>
      </x:c>
      <x:c r="E971" t="n">
        <x:f>Match_Data!F971</x:f>
        <x:v>0</x:v>
      </x:c>
      <x:c r="F971" t="n">
        <x:f>Match_Data!AC971</x:f>
        <x:v>0</x:v>
      </x:c>
      <x:c r="G971" t="str">
        <x:f>IF(OR(Match_Data!K971="",Match_Data!L971=""),"",AVERAGE(Match_Data!K971:L971))</x:f>
      </x:c>
      <x:c r="H971" t="str">
        <x:f>IF(OR(Match_Data!M971="",Match_Data!N971=""),"",AVERAGE(Match_Data!M971:N971))</x:f>
      </x:c>
      <x:c r="I971" t="str">
        <x:f>IF(OR(Match_Data!O971="",Match_Data!Q971=""),"",Match_Data!O971+Match_Data!Q971)</x:f>
      </x:c>
      <x:c r="J971" t="str">
        <x:f>IF(OR(Match_Data!P971="",Match_Data!R971=""),"",Match_Data!P971+Match_Data!R971)</x:f>
      </x:c>
      <x:c r="K971" t="str">
        <x:f>IF(OR(Match_Data!S971="",Match_Data!T971=""),"",Match_Data!S971+Match_Data!T971)</x:f>
      </x:c>
      <x:c r="L971" t="str">
        <x:f>IF(OR(Match_Data!U971="",Match_Data!V971=""),"",Match_Data!U971-Match_Data!V971)</x:f>
      </x:c>
      <x:c r="M971" s="32" t="str">
        <x:f>IF(Match_Data!Y971="","",1/Match_Data!Y971)</x:f>
      </x:c>
      <x:c r="N971" s="32" t="str">
        <x:f>IF(Match_Data!AA971="","",1/Match_Data!AA971)</x:f>
      </x:c>
      <x:c r="O971" s="32" t="str">
        <x:f>IF(OR(M971="",N971=""),"",N971-M971)</x:f>
      </x:c>
      <x:c r="P971" t="str">
        <x:f>IF(Match_Data!J971="","",IF(Match_Data!J971="OVER",1,0))</x:f>
      </x:c>
    </x:row>
    <x:row r="972">
      <x:c r="A972" t="n">
        <x:f>Match_Data!A972</x:f>
        <x:v>0</x:v>
      </x:c>
      <x:c r="B972" s="28" t="n">
        <x:f>Match_Data!B972</x:f>
        <x:v>0</x:v>
      </x:c>
      <x:c r="C972" t="n">
        <x:f>Match_Data!C972</x:f>
        <x:v>0</x:v>
      </x:c>
      <x:c r="D972" t="n">
        <x:f>Match_Data!E972</x:f>
        <x:v>0</x:v>
      </x:c>
      <x:c r="E972" t="n">
        <x:f>Match_Data!F972</x:f>
        <x:v>0</x:v>
      </x:c>
      <x:c r="F972" t="n">
        <x:f>Match_Data!AC972</x:f>
        <x:v>0</x:v>
      </x:c>
      <x:c r="G972" t="str">
        <x:f>IF(OR(Match_Data!K972="",Match_Data!L972=""),"",AVERAGE(Match_Data!K972:L972))</x:f>
      </x:c>
      <x:c r="H972" t="str">
        <x:f>IF(OR(Match_Data!M972="",Match_Data!N972=""),"",AVERAGE(Match_Data!M972:N972))</x:f>
      </x:c>
      <x:c r="I972" t="str">
        <x:f>IF(OR(Match_Data!O972="",Match_Data!Q972=""),"",Match_Data!O972+Match_Data!Q972)</x:f>
      </x:c>
      <x:c r="J972" t="str">
        <x:f>IF(OR(Match_Data!P972="",Match_Data!R972=""),"",Match_Data!P972+Match_Data!R972)</x:f>
      </x:c>
      <x:c r="K972" t="str">
        <x:f>IF(OR(Match_Data!S972="",Match_Data!T972=""),"",Match_Data!S972+Match_Data!T972)</x:f>
      </x:c>
      <x:c r="L972" t="str">
        <x:f>IF(OR(Match_Data!U972="",Match_Data!V972=""),"",Match_Data!U972-Match_Data!V972)</x:f>
      </x:c>
      <x:c r="M972" s="32" t="str">
        <x:f>IF(Match_Data!Y972="","",1/Match_Data!Y972)</x:f>
      </x:c>
      <x:c r="N972" s="32" t="str">
        <x:f>IF(Match_Data!AA972="","",1/Match_Data!AA972)</x:f>
      </x:c>
      <x:c r="O972" s="32" t="str">
        <x:f>IF(OR(M972="",N972=""),"",N972-M972)</x:f>
      </x:c>
      <x:c r="P972" t="str">
        <x:f>IF(Match_Data!J972="","",IF(Match_Data!J972="OVER",1,0))</x:f>
      </x:c>
    </x:row>
    <x:row r="973">
      <x:c r="A973" t="n">
        <x:f>Match_Data!A973</x:f>
        <x:v>0</x:v>
      </x:c>
      <x:c r="B973" s="28" t="n">
        <x:f>Match_Data!B973</x:f>
        <x:v>0</x:v>
      </x:c>
      <x:c r="C973" t="n">
        <x:f>Match_Data!C973</x:f>
        <x:v>0</x:v>
      </x:c>
      <x:c r="D973" t="n">
        <x:f>Match_Data!E973</x:f>
        <x:v>0</x:v>
      </x:c>
      <x:c r="E973" t="n">
        <x:f>Match_Data!F973</x:f>
        <x:v>0</x:v>
      </x:c>
      <x:c r="F973" t="n">
        <x:f>Match_Data!AC973</x:f>
        <x:v>0</x:v>
      </x:c>
      <x:c r="G973" t="str">
        <x:f>IF(OR(Match_Data!K973="",Match_Data!L973=""),"",AVERAGE(Match_Data!K973:L973))</x:f>
      </x:c>
      <x:c r="H973" t="str">
        <x:f>IF(OR(Match_Data!M973="",Match_Data!N973=""),"",AVERAGE(Match_Data!M973:N973))</x:f>
      </x:c>
      <x:c r="I973" t="str">
        <x:f>IF(OR(Match_Data!O973="",Match_Data!Q973=""),"",Match_Data!O973+Match_Data!Q973)</x:f>
      </x:c>
      <x:c r="J973" t="str">
        <x:f>IF(OR(Match_Data!P973="",Match_Data!R973=""),"",Match_Data!P973+Match_Data!R973)</x:f>
      </x:c>
      <x:c r="K973" t="str">
        <x:f>IF(OR(Match_Data!S973="",Match_Data!T973=""),"",Match_Data!S973+Match_Data!T973)</x:f>
      </x:c>
      <x:c r="L973" t="str">
        <x:f>IF(OR(Match_Data!U973="",Match_Data!V973=""),"",Match_Data!U973-Match_Data!V973)</x:f>
      </x:c>
      <x:c r="M973" s="32" t="str">
        <x:f>IF(Match_Data!Y973="","",1/Match_Data!Y973)</x:f>
      </x:c>
      <x:c r="N973" s="32" t="str">
        <x:f>IF(Match_Data!AA973="","",1/Match_Data!AA973)</x:f>
      </x:c>
      <x:c r="O973" s="32" t="str">
        <x:f>IF(OR(M973="",N973=""),"",N973-M973)</x:f>
      </x:c>
      <x:c r="P973" t="str">
        <x:f>IF(Match_Data!J973="","",IF(Match_Data!J973="OVER",1,0))</x:f>
      </x:c>
    </x:row>
    <x:row r="974">
      <x:c r="A974" t="n">
        <x:f>Match_Data!A974</x:f>
        <x:v>0</x:v>
      </x:c>
      <x:c r="B974" s="28" t="n">
        <x:f>Match_Data!B974</x:f>
        <x:v>0</x:v>
      </x:c>
      <x:c r="C974" t="n">
        <x:f>Match_Data!C974</x:f>
        <x:v>0</x:v>
      </x:c>
      <x:c r="D974" t="n">
        <x:f>Match_Data!E974</x:f>
        <x:v>0</x:v>
      </x:c>
      <x:c r="E974" t="n">
        <x:f>Match_Data!F974</x:f>
        <x:v>0</x:v>
      </x:c>
      <x:c r="F974" t="n">
        <x:f>Match_Data!AC974</x:f>
        <x:v>0</x:v>
      </x:c>
      <x:c r="G974" t="str">
        <x:f>IF(OR(Match_Data!K974="",Match_Data!L974=""),"",AVERAGE(Match_Data!K974:L974))</x:f>
      </x:c>
      <x:c r="H974" t="str">
        <x:f>IF(OR(Match_Data!M974="",Match_Data!N974=""),"",AVERAGE(Match_Data!M974:N974))</x:f>
      </x:c>
      <x:c r="I974" t="str">
        <x:f>IF(OR(Match_Data!O974="",Match_Data!Q974=""),"",Match_Data!O974+Match_Data!Q974)</x:f>
      </x:c>
      <x:c r="J974" t="str">
        <x:f>IF(OR(Match_Data!P974="",Match_Data!R974=""),"",Match_Data!P974+Match_Data!R974)</x:f>
      </x:c>
      <x:c r="K974" t="str">
        <x:f>IF(OR(Match_Data!S974="",Match_Data!T974=""),"",Match_Data!S974+Match_Data!T974)</x:f>
      </x:c>
      <x:c r="L974" t="str">
        <x:f>IF(OR(Match_Data!U974="",Match_Data!V974=""),"",Match_Data!U974-Match_Data!V974)</x:f>
      </x:c>
      <x:c r="M974" s="32" t="str">
        <x:f>IF(Match_Data!Y974="","",1/Match_Data!Y974)</x:f>
      </x:c>
      <x:c r="N974" s="32" t="str">
        <x:f>IF(Match_Data!AA974="","",1/Match_Data!AA974)</x:f>
      </x:c>
      <x:c r="O974" s="32" t="str">
        <x:f>IF(OR(M974="",N974=""),"",N974-M974)</x:f>
      </x:c>
      <x:c r="P974" t="str">
        <x:f>IF(Match_Data!J974="","",IF(Match_Data!J974="OVER",1,0))</x:f>
      </x:c>
    </x:row>
    <x:row r="975">
      <x:c r="A975" t="n">
        <x:f>Match_Data!A975</x:f>
        <x:v>0</x:v>
      </x:c>
      <x:c r="B975" s="28" t="n">
        <x:f>Match_Data!B975</x:f>
        <x:v>0</x:v>
      </x:c>
      <x:c r="C975" t="n">
        <x:f>Match_Data!C975</x:f>
        <x:v>0</x:v>
      </x:c>
      <x:c r="D975" t="n">
        <x:f>Match_Data!E975</x:f>
        <x:v>0</x:v>
      </x:c>
      <x:c r="E975" t="n">
        <x:f>Match_Data!F975</x:f>
        <x:v>0</x:v>
      </x:c>
      <x:c r="F975" t="n">
        <x:f>Match_Data!AC975</x:f>
        <x:v>0</x:v>
      </x:c>
      <x:c r="G975" t="str">
        <x:f>IF(OR(Match_Data!K975="",Match_Data!L975=""),"",AVERAGE(Match_Data!K975:L975))</x:f>
      </x:c>
      <x:c r="H975" t="str">
        <x:f>IF(OR(Match_Data!M975="",Match_Data!N975=""),"",AVERAGE(Match_Data!M975:N975))</x:f>
      </x:c>
      <x:c r="I975" t="str">
        <x:f>IF(OR(Match_Data!O975="",Match_Data!Q975=""),"",Match_Data!O975+Match_Data!Q975)</x:f>
      </x:c>
      <x:c r="J975" t="str">
        <x:f>IF(OR(Match_Data!P975="",Match_Data!R975=""),"",Match_Data!P975+Match_Data!R975)</x:f>
      </x:c>
      <x:c r="K975" t="str">
        <x:f>IF(OR(Match_Data!S975="",Match_Data!T975=""),"",Match_Data!S975+Match_Data!T975)</x:f>
      </x:c>
      <x:c r="L975" t="str">
        <x:f>IF(OR(Match_Data!U975="",Match_Data!V975=""),"",Match_Data!U975-Match_Data!V975)</x:f>
      </x:c>
      <x:c r="M975" s="32" t="str">
        <x:f>IF(Match_Data!Y975="","",1/Match_Data!Y975)</x:f>
      </x:c>
      <x:c r="N975" s="32" t="str">
        <x:f>IF(Match_Data!AA975="","",1/Match_Data!AA975)</x:f>
      </x:c>
      <x:c r="O975" s="32" t="str">
        <x:f>IF(OR(M975="",N975=""),"",N975-M975)</x:f>
      </x:c>
      <x:c r="P975" t="str">
        <x:f>IF(Match_Data!J975="","",IF(Match_Data!J975="OVER",1,0))</x:f>
      </x:c>
    </x:row>
    <x:row r="976">
      <x:c r="A976" t="n">
        <x:f>Match_Data!A976</x:f>
        <x:v>0</x:v>
      </x:c>
      <x:c r="B976" s="28" t="n">
        <x:f>Match_Data!B976</x:f>
        <x:v>0</x:v>
      </x:c>
      <x:c r="C976" t="n">
        <x:f>Match_Data!C976</x:f>
        <x:v>0</x:v>
      </x:c>
      <x:c r="D976" t="n">
        <x:f>Match_Data!E976</x:f>
        <x:v>0</x:v>
      </x:c>
      <x:c r="E976" t="n">
        <x:f>Match_Data!F976</x:f>
        <x:v>0</x:v>
      </x:c>
      <x:c r="F976" t="n">
        <x:f>Match_Data!AC976</x:f>
        <x:v>0</x:v>
      </x:c>
      <x:c r="G976" t="str">
        <x:f>IF(OR(Match_Data!K976="",Match_Data!L976=""),"",AVERAGE(Match_Data!K976:L976))</x:f>
      </x:c>
      <x:c r="H976" t="str">
        <x:f>IF(OR(Match_Data!M976="",Match_Data!N976=""),"",AVERAGE(Match_Data!M976:N976))</x:f>
      </x:c>
      <x:c r="I976" t="str">
        <x:f>IF(OR(Match_Data!O976="",Match_Data!Q976=""),"",Match_Data!O976+Match_Data!Q976)</x:f>
      </x:c>
      <x:c r="J976" t="str">
        <x:f>IF(OR(Match_Data!P976="",Match_Data!R976=""),"",Match_Data!P976+Match_Data!R976)</x:f>
      </x:c>
      <x:c r="K976" t="str">
        <x:f>IF(OR(Match_Data!S976="",Match_Data!T976=""),"",Match_Data!S976+Match_Data!T976)</x:f>
      </x:c>
      <x:c r="L976" t="str">
        <x:f>IF(OR(Match_Data!U976="",Match_Data!V976=""),"",Match_Data!U976-Match_Data!V976)</x:f>
      </x:c>
      <x:c r="M976" s="32" t="str">
        <x:f>IF(Match_Data!Y976="","",1/Match_Data!Y976)</x:f>
      </x:c>
      <x:c r="N976" s="32" t="str">
        <x:f>IF(Match_Data!AA976="","",1/Match_Data!AA976)</x:f>
      </x:c>
      <x:c r="O976" s="32" t="str">
        <x:f>IF(OR(M976="",N976=""),"",N976-M976)</x:f>
      </x:c>
      <x:c r="P976" t="str">
        <x:f>IF(Match_Data!J976="","",IF(Match_Data!J976="OVER",1,0))</x:f>
      </x:c>
    </x:row>
    <x:row r="977">
      <x:c r="A977" t="n">
        <x:f>Match_Data!A977</x:f>
        <x:v>0</x:v>
      </x:c>
      <x:c r="B977" s="28" t="n">
        <x:f>Match_Data!B977</x:f>
        <x:v>0</x:v>
      </x:c>
      <x:c r="C977" t="n">
        <x:f>Match_Data!C977</x:f>
        <x:v>0</x:v>
      </x:c>
      <x:c r="D977" t="n">
        <x:f>Match_Data!E977</x:f>
        <x:v>0</x:v>
      </x:c>
      <x:c r="E977" t="n">
        <x:f>Match_Data!F977</x:f>
        <x:v>0</x:v>
      </x:c>
      <x:c r="F977" t="n">
        <x:f>Match_Data!AC977</x:f>
        <x:v>0</x:v>
      </x:c>
      <x:c r="G977" t="str">
        <x:f>IF(OR(Match_Data!K977="",Match_Data!L977=""),"",AVERAGE(Match_Data!K977:L977))</x:f>
      </x:c>
      <x:c r="H977" t="str">
        <x:f>IF(OR(Match_Data!M977="",Match_Data!N977=""),"",AVERAGE(Match_Data!M977:N977))</x:f>
      </x:c>
      <x:c r="I977" t="str">
        <x:f>IF(OR(Match_Data!O977="",Match_Data!Q977=""),"",Match_Data!O977+Match_Data!Q977)</x:f>
      </x:c>
      <x:c r="J977" t="str">
        <x:f>IF(OR(Match_Data!P977="",Match_Data!R977=""),"",Match_Data!P977+Match_Data!R977)</x:f>
      </x:c>
      <x:c r="K977" t="str">
        <x:f>IF(OR(Match_Data!S977="",Match_Data!T977=""),"",Match_Data!S977+Match_Data!T977)</x:f>
      </x:c>
      <x:c r="L977" t="str">
        <x:f>IF(OR(Match_Data!U977="",Match_Data!V977=""),"",Match_Data!U977-Match_Data!V977)</x:f>
      </x:c>
      <x:c r="M977" s="32" t="str">
        <x:f>IF(Match_Data!Y977="","",1/Match_Data!Y977)</x:f>
      </x:c>
      <x:c r="N977" s="32" t="str">
        <x:f>IF(Match_Data!AA977="","",1/Match_Data!AA977)</x:f>
      </x:c>
      <x:c r="O977" s="32" t="str">
        <x:f>IF(OR(M977="",N977=""),"",N977-M977)</x:f>
      </x:c>
      <x:c r="P977" t="str">
        <x:f>IF(Match_Data!J977="","",IF(Match_Data!J977="OVER",1,0))</x:f>
      </x:c>
    </x:row>
    <x:row r="978">
      <x:c r="A978" t="n">
        <x:f>Match_Data!A978</x:f>
        <x:v>0</x:v>
      </x:c>
      <x:c r="B978" s="28" t="n">
        <x:f>Match_Data!B978</x:f>
        <x:v>0</x:v>
      </x:c>
      <x:c r="C978" t="n">
        <x:f>Match_Data!C978</x:f>
        <x:v>0</x:v>
      </x:c>
      <x:c r="D978" t="n">
        <x:f>Match_Data!E978</x:f>
        <x:v>0</x:v>
      </x:c>
      <x:c r="E978" t="n">
        <x:f>Match_Data!F978</x:f>
        <x:v>0</x:v>
      </x:c>
      <x:c r="F978" t="n">
        <x:f>Match_Data!AC978</x:f>
        <x:v>0</x:v>
      </x:c>
      <x:c r="G978" t="str">
        <x:f>IF(OR(Match_Data!K978="",Match_Data!L978=""),"",AVERAGE(Match_Data!K978:L978))</x:f>
      </x:c>
      <x:c r="H978" t="str">
        <x:f>IF(OR(Match_Data!M978="",Match_Data!N978=""),"",AVERAGE(Match_Data!M978:N978))</x:f>
      </x:c>
      <x:c r="I978" t="str">
        <x:f>IF(OR(Match_Data!O978="",Match_Data!Q978=""),"",Match_Data!O978+Match_Data!Q978)</x:f>
      </x:c>
      <x:c r="J978" t="str">
        <x:f>IF(OR(Match_Data!P978="",Match_Data!R978=""),"",Match_Data!P978+Match_Data!R978)</x:f>
      </x:c>
      <x:c r="K978" t="str">
        <x:f>IF(OR(Match_Data!S978="",Match_Data!T978=""),"",Match_Data!S978+Match_Data!T978)</x:f>
      </x:c>
      <x:c r="L978" t="str">
        <x:f>IF(OR(Match_Data!U978="",Match_Data!V978=""),"",Match_Data!U978-Match_Data!V978)</x:f>
      </x:c>
      <x:c r="M978" s="32" t="str">
        <x:f>IF(Match_Data!Y978="","",1/Match_Data!Y978)</x:f>
      </x:c>
      <x:c r="N978" s="32" t="str">
        <x:f>IF(Match_Data!AA978="","",1/Match_Data!AA978)</x:f>
      </x:c>
      <x:c r="O978" s="32" t="str">
        <x:f>IF(OR(M978="",N978=""),"",N978-M978)</x:f>
      </x:c>
      <x:c r="P978" t="str">
        <x:f>IF(Match_Data!J978="","",IF(Match_Data!J978="OVER",1,0))</x:f>
      </x:c>
    </x:row>
    <x:row r="979">
      <x:c r="A979" t="n">
        <x:f>Match_Data!A979</x:f>
        <x:v>0</x:v>
      </x:c>
      <x:c r="B979" s="28" t="n">
        <x:f>Match_Data!B979</x:f>
        <x:v>0</x:v>
      </x:c>
      <x:c r="C979" t="n">
        <x:f>Match_Data!C979</x:f>
        <x:v>0</x:v>
      </x:c>
      <x:c r="D979" t="n">
        <x:f>Match_Data!E979</x:f>
        <x:v>0</x:v>
      </x:c>
      <x:c r="E979" t="n">
        <x:f>Match_Data!F979</x:f>
        <x:v>0</x:v>
      </x:c>
      <x:c r="F979" t="n">
        <x:f>Match_Data!AC979</x:f>
        <x:v>0</x:v>
      </x:c>
      <x:c r="G979" t="str">
        <x:f>IF(OR(Match_Data!K979="",Match_Data!L979=""),"",AVERAGE(Match_Data!K979:L979))</x:f>
      </x:c>
      <x:c r="H979" t="str">
        <x:f>IF(OR(Match_Data!M979="",Match_Data!N979=""),"",AVERAGE(Match_Data!M979:N979))</x:f>
      </x:c>
      <x:c r="I979" t="str">
        <x:f>IF(OR(Match_Data!O979="",Match_Data!Q979=""),"",Match_Data!O979+Match_Data!Q979)</x:f>
      </x:c>
      <x:c r="J979" t="str">
        <x:f>IF(OR(Match_Data!P979="",Match_Data!R979=""),"",Match_Data!P979+Match_Data!R979)</x:f>
      </x:c>
      <x:c r="K979" t="str">
        <x:f>IF(OR(Match_Data!S979="",Match_Data!T979=""),"",Match_Data!S979+Match_Data!T979)</x:f>
      </x:c>
      <x:c r="L979" t="str">
        <x:f>IF(OR(Match_Data!U979="",Match_Data!V979=""),"",Match_Data!U979-Match_Data!V979)</x:f>
      </x:c>
      <x:c r="M979" s="32" t="str">
        <x:f>IF(Match_Data!Y979="","",1/Match_Data!Y979)</x:f>
      </x:c>
      <x:c r="N979" s="32" t="str">
        <x:f>IF(Match_Data!AA979="","",1/Match_Data!AA979)</x:f>
      </x:c>
      <x:c r="O979" s="32" t="str">
        <x:f>IF(OR(M979="",N979=""),"",N979-M979)</x:f>
      </x:c>
      <x:c r="P979" t="str">
        <x:f>IF(Match_Data!J979="","",IF(Match_Data!J979="OVER",1,0))</x:f>
      </x:c>
    </x:row>
    <x:row r="980">
      <x:c r="A980" t="n">
        <x:f>Match_Data!A980</x:f>
        <x:v>0</x:v>
      </x:c>
      <x:c r="B980" s="28" t="n">
        <x:f>Match_Data!B980</x:f>
        <x:v>0</x:v>
      </x:c>
      <x:c r="C980" t="n">
        <x:f>Match_Data!C980</x:f>
        <x:v>0</x:v>
      </x:c>
      <x:c r="D980" t="n">
        <x:f>Match_Data!E980</x:f>
        <x:v>0</x:v>
      </x:c>
      <x:c r="E980" t="n">
        <x:f>Match_Data!F980</x:f>
        <x:v>0</x:v>
      </x:c>
      <x:c r="F980" t="n">
        <x:f>Match_Data!AC980</x:f>
        <x:v>0</x:v>
      </x:c>
      <x:c r="G980" t="str">
        <x:f>IF(OR(Match_Data!K980="",Match_Data!L980=""),"",AVERAGE(Match_Data!K980:L980))</x:f>
      </x:c>
      <x:c r="H980" t="str">
        <x:f>IF(OR(Match_Data!M980="",Match_Data!N980=""),"",AVERAGE(Match_Data!M980:N980))</x:f>
      </x:c>
      <x:c r="I980" t="str">
        <x:f>IF(OR(Match_Data!O980="",Match_Data!Q980=""),"",Match_Data!O980+Match_Data!Q980)</x:f>
      </x:c>
      <x:c r="J980" t="str">
        <x:f>IF(OR(Match_Data!P980="",Match_Data!R980=""),"",Match_Data!P980+Match_Data!R980)</x:f>
      </x:c>
      <x:c r="K980" t="str">
        <x:f>IF(OR(Match_Data!S980="",Match_Data!T980=""),"",Match_Data!S980+Match_Data!T980)</x:f>
      </x:c>
      <x:c r="L980" t="str">
        <x:f>IF(OR(Match_Data!U980="",Match_Data!V980=""),"",Match_Data!U980-Match_Data!V980)</x:f>
      </x:c>
      <x:c r="M980" s="32" t="str">
        <x:f>IF(Match_Data!Y980="","",1/Match_Data!Y980)</x:f>
      </x:c>
      <x:c r="N980" s="32" t="str">
        <x:f>IF(Match_Data!AA980="","",1/Match_Data!AA980)</x:f>
      </x:c>
      <x:c r="O980" s="32" t="str">
        <x:f>IF(OR(M980="",N980=""),"",N980-M980)</x:f>
      </x:c>
      <x:c r="P980" t="str">
        <x:f>IF(Match_Data!J980="","",IF(Match_Data!J980="OVER",1,0))</x:f>
      </x:c>
    </x:row>
    <x:row r="981">
      <x:c r="A981" t="n">
        <x:f>Match_Data!A981</x:f>
        <x:v>0</x:v>
      </x:c>
      <x:c r="B981" s="28" t="n">
        <x:f>Match_Data!B981</x:f>
        <x:v>0</x:v>
      </x:c>
      <x:c r="C981" t="n">
        <x:f>Match_Data!C981</x:f>
        <x:v>0</x:v>
      </x:c>
      <x:c r="D981" t="n">
        <x:f>Match_Data!E981</x:f>
        <x:v>0</x:v>
      </x:c>
      <x:c r="E981" t="n">
        <x:f>Match_Data!F981</x:f>
        <x:v>0</x:v>
      </x:c>
      <x:c r="F981" t="n">
        <x:f>Match_Data!AC981</x:f>
        <x:v>0</x:v>
      </x:c>
      <x:c r="G981" t="str">
        <x:f>IF(OR(Match_Data!K981="",Match_Data!L981=""),"",AVERAGE(Match_Data!K981:L981))</x:f>
      </x:c>
      <x:c r="H981" t="str">
        <x:f>IF(OR(Match_Data!M981="",Match_Data!N981=""),"",AVERAGE(Match_Data!M981:N981))</x:f>
      </x:c>
      <x:c r="I981" t="str">
        <x:f>IF(OR(Match_Data!O981="",Match_Data!Q981=""),"",Match_Data!O981+Match_Data!Q981)</x:f>
      </x:c>
      <x:c r="J981" t="str">
        <x:f>IF(OR(Match_Data!P981="",Match_Data!R981=""),"",Match_Data!P981+Match_Data!R981)</x:f>
      </x:c>
      <x:c r="K981" t="str">
        <x:f>IF(OR(Match_Data!S981="",Match_Data!T981=""),"",Match_Data!S981+Match_Data!T981)</x:f>
      </x:c>
      <x:c r="L981" t="str">
        <x:f>IF(OR(Match_Data!U981="",Match_Data!V981=""),"",Match_Data!U981-Match_Data!V981)</x:f>
      </x:c>
      <x:c r="M981" s="32" t="str">
        <x:f>IF(Match_Data!Y981="","",1/Match_Data!Y981)</x:f>
      </x:c>
      <x:c r="N981" s="32" t="str">
        <x:f>IF(Match_Data!AA981="","",1/Match_Data!AA981)</x:f>
      </x:c>
      <x:c r="O981" s="32" t="str">
        <x:f>IF(OR(M981="",N981=""),"",N981-M981)</x:f>
      </x:c>
      <x:c r="P981" t="str">
        <x:f>IF(Match_Data!J981="","",IF(Match_Data!J981="OVER",1,0))</x:f>
      </x:c>
    </x:row>
    <x:row r="982">
      <x:c r="A982" t="n">
        <x:f>Match_Data!A982</x:f>
        <x:v>0</x:v>
      </x:c>
      <x:c r="B982" s="28" t="n">
        <x:f>Match_Data!B982</x:f>
        <x:v>0</x:v>
      </x:c>
      <x:c r="C982" t="n">
        <x:f>Match_Data!C982</x:f>
        <x:v>0</x:v>
      </x:c>
      <x:c r="D982" t="n">
        <x:f>Match_Data!E982</x:f>
        <x:v>0</x:v>
      </x:c>
      <x:c r="E982" t="n">
        <x:f>Match_Data!F982</x:f>
        <x:v>0</x:v>
      </x:c>
      <x:c r="F982" t="n">
        <x:f>Match_Data!AC982</x:f>
        <x:v>0</x:v>
      </x:c>
      <x:c r="G982" t="str">
        <x:f>IF(OR(Match_Data!K982="",Match_Data!L982=""),"",AVERAGE(Match_Data!K982:L982))</x:f>
      </x:c>
      <x:c r="H982" t="str">
        <x:f>IF(OR(Match_Data!M982="",Match_Data!N982=""),"",AVERAGE(Match_Data!M982:N982))</x:f>
      </x:c>
      <x:c r="I982" t="str">
        <x:f>IF(OR(Match_Data!O982="",Match_Data!Q982=""),"",Match_Data!O982+Match_Data!Q982)</x:f>
      </x:c>
      <x:c r="J982" t="str">
        <x:f>IF(OR(Match_Data!P982="",Match_Data!R982=""),"",Match_Data!P982+Match_Data!R982)</x:f>
      </x:c>
      <x:c r="K982" t="str">
        <x:f>IF(OR(Match_Data!S982="",Match_Data!T982=""),"",Match_Data!S982+Match_Data!T982)</x:f>
      </x:c>
      <x:c r="L982" t="str">
        <x:f>IF(OR(Match_Data!U982="",Match_Data!V982=""),"",Match_Data!U982-Match_Data!V982)</x:f>
      </x:c>
      <x:c r="M982" s="32" t="str">
        <x:f>IF(Match_Data!Y982="","",1/Match_Data!Y982)</x:f>
      </x:c>
      <x:c r="N982" s="32" t="str">
        <x:f>IF(Match_Data!AA982="","",1/Match_Data!AA982)</x:f>
      </x:c>
      <x:c r="O982" s="32" t="str">
        <x:f>IF(OR(M982="",N982=""),"",N982-M982)</x:f>
      </x:c>
      <x:c r="P982" t="str">
        <x:f>IF(Match_Data!J982="","",IF(Match_Data!J982="OVER",1,0))</x:f>
      </x:c>
    </x:row>
    <x:row r="983">
      <x:c r="A983" t="n">
        <x:f>Match_Data!A983</x:f>
        <x:v>0</x:v>
      </x:c>
      <x:c r="B983" s="28" t="n">
        <x:f>Match_Data!B983</x:f>
        <x:v>0</x:v>
      </x:c>
      <x:c r="C983" t="n">
        <x:f>Match_Data!C983</x:f>
        <x:v>0</x:v>
      </x:c>
      <x:c r="D983" t="n">
        <x:f>Match_Data!E983</x:f>
        <x:v>0</x:v>
      </x:c>
      <x:c r="E983" t="n">
        <x:f>Match_Data!F983</x:f>
        <x:v>0</x:v>
      </x:c>
      <x:c r="F983" t="n">
        <x:f>Match_Data!AC983</x:f>
        <x:v>0</x:v>
      </x:c>
      <x:c r="G983" t="str">
        <x:f>IF(OR(Match_Data!K983="",Match_Data!L983=""),"",AVERAGE(Match_Data!K983:L983))</x:f>
      </x:c>
      <x:c r="H983" t="str">
        <x:f>IF(OR(Match_Data!M983="",Match_Data!N983=""),"",AVERAGE(Match_Data!M983:N983))</x:f>
      </x:c>
      <x:c r="I983" t="str">
        <x:f>IF(OR(Match_Data!O983="",Match_Data!Q983=""),"",Match_Data!O983+Match_Data!Q983)</x:f>
      </x:c>
      <x:c r="J983" t="str">
        <x:f>IF(OR(Match_Data!P983="",Match_Data!R983=""),"",Match_Data!P983+Match_Data!R983)</x:f>
      </x:c>
      <x:c r="K983" t="str">
        <x:f>IF(OR(Match_Data!S983="",Match_Data!T983=""),"",Match_Data!S983+Match_Data!T983)</x:f>
      </x:c>
      <x:c r="L983" t="str">
        <x:f>IF(OR(Match_Data!U983="",Match_Data!V983=""),"",Match_Data!U983-Match_Data!V983)</x:f>
      </x:c>
      <x:c r="M983" s="32" t="str">
        <x:f>IF(Match_Data!Y983="","",1/Match_Data!Y983)</x:f>
      </x:c>
      <x:c r="N983" s="32" t="str">
        <x:f>IF(Match_Data!AA983="","",1/Match_Data!AA983)</x:f>
      </x:c>
      <x:c r="O983" s="32" t="str">
        <x:f>IF(OR(M983="",N983=""),"",N983-M983)</x:f>
      </x:c>
      <x:c r="P983" t="str">
        <x:f>IF(Match_Data!J983="","",IF(Match_Data!J983="OVER",1,0))</x:f>
      </x:c>
    </x:row>
    <x:row r="984">
      <x:c r="A984" t="n">
        <x:f>Match_Data!A984</x:f>
        <x:v>0</x:v>
      </x:c>
      <x:c r="B984" s="28" t="n">
        <x:f>Match_Data!B984</x:f>
        <x:v>0</x:v>
      </x:c>
      <x:c r="C984" t="n">
        <x:f>Match_Data!C984</x:f>
        <x:v>0</x:v>
      </x:c>
      <x:c r="D984" t="n">
        <x:f>Match_Data!E984</x:f>
        <x:v>0</x:v>
      </x:c>
      <x:c r="E984" t="n">
        <x:f>Match_Data!F984</x:f>
        <x:v>0</x:v>
      </x:c>
      <x:c r="F984" t="n">
        <x:f>Match_Data!AC984</x:f>
        <x:v>0</x:v>
      </x:c>
      <x:c r="G984" t="str">
        <x:f>IF(OR(Match_Data!K984="",Match_Data!L984=""),"",AVERAGE(Match_Data!K984:L984))</x:f>
      </x:c>
      <x:c r="H984" t="str">
        <x:f>IF(OR(Match_Data!M984="",Match_Data!N984=""),"",AVERAGE(Match_Data!M984:N984))</x:f>
      </x:c>
      <x:c r="I984" t="str">
        <x:f>IF(OR(Match_Data!O984="",Match_Data!Q984=""),"",Match_Data!O984+Match_Data!Q984)</x:f>
      </x:c>
      <x:c r="J984" t="str">
        <x:f>IF(OR(Match_Data!P984="",Match_Data!R984=""),"",Match_Data!P984+Match_Data!R984)</x:f>
      </x:c>
      <x:c r="K984" t="str">
        <x:f>IF(OR(Match_Data!S984="",Match_Data!T984=""),"",Match_Data!S984+Match_Data!T984)</x:f>
      </x:c>
      <x:c r="L984" t="str">
        <x:f>IF(OR(Match_Data!U984="",Match_Data!V984=""),"",Match_Data!U984-Match_Data!V984)</x:f>
      </x:c>
      <x:c r="M984" s="32" t="str">
        <x:f>IF(Match_Data!Y984="","",1/Match_Data!Y984)</x:f>
      </x:c>
      <x:c r="N984" s="32" t="str">
        <x:f>IF(Match_Data!AA984="","",1/Match_Data!AA984)</x:f>
      </x:c>
      <x:c r="O984" s="32" t="str">
        <x:f>IF(OR(M984="",N984=""),"",N984-M984)</x:f>
      </x:c>
      <x:c r="P984" t="str">
        <x:f>IF(Match_Data!J984="","",IF(Match_Data!J984="OVER",1,0))</x:f>
      </x:c>
    </x:row>
    <x:row r="985">
      <x:c r="A985" t="n">
        <x:f>Match_Data!A985</x:f>
        <x:v>0</x:v>
      </x:c>
      <x:c r="B985" s="28" t="n">
        <x:f>Match_Data!B985</x:f>
        <x:v>0</x:v>
      </x:c>
      <x:c r="C985" t="n">
        <x:f>Match_Data!C985</x:f>
        <x:v>0</x:v>
      </x:c>
      <x:c r="D985" t="n">
        <x:f>Match_Data!E985</x:f>
        <x:v>0</x:v>
      </x:c>
      <x:c r="E985" t="n">
        <x:f>Match_Data!F985</x:f>
        <x:v>0</x:v>
      </x:c>
      <x:c r="F985" t="n">
        <x:f>Match_Data!AC985</x:f>
        <x:v>0</x:v>
      </x:c>
      <x:c r="G985" t="str">
        <x:f>IF(OR(Match_Data!K985="",Match_Data!L985=""),"",AVERAGE(Match_Data!K985:L985))</x:f>
      </x:c>
      <x:c r="H985" t="str">
        <x:f>IF(OR(Match_Data!M985="",Match_Data!N985=""),"",AVERAGE(Match_Data!M985:N985))</x:f>
      </x:c>
      <x:c r="I985" t="str">
        <x:f>IF(OR(Match_Data!O985="",Match_Data!Q985=""),"",Match_Data!O985+Match_Data!Q985)</x:f>
      </x:c>
      <x:c r="J985" t="str">
        <x:f>IF(OR(Match_Data!P985="",Match_Data!R985=""),"",Match_Data!P985+Match_Data!R985)</x:f>
      </x:c>
      <x:c r="K985" t="str">
        <x:f>IF(OR(Match_Data!S985="",Match_Data!T985=""),"",Match_Data!S985+Match_Data!T985)</x:f>
      </x:c>
      <x:c r="L985" t="str">
        <x:f>IF(OR(Match_Data!U985="",Match_Data!V985=""),"",Match_Data!U985-Match_Data!V985)</x:f>
      </x:c>
      <x:c r="M985" s="32" t="str">
        <x:f>IF(Match_Data!Y985="","",1/Match_Data!Y985)</x:f>
      </x:c>
      <x:c r="N985" s="32" t="str">
        <x:f>IF(Match_Data!AA985="","",1/Match_Data!AA985)</x:f>
      </x:c>
      <x:c r="O985" s="32" t="str">
        <x:f>IF(OR(M985="",N985=""),"",N985-M985)</x:f>
      </x:c>
      <x:c r="P985" t="str">
        <x:f>IF(Match_Data!J985="","",IF(Match_Data!J985="OVER",1,0))</x:f>
      </x:c>
    </x:row>
    <x:row r="986">
      <x:c r="A986" t="n">
        <x:f>Match_Data!A986</x:f>
        <x:v>0</x:v>
      </x:c>
      <x:c r="B986" s="28" t="n">
        <x:f>Match_Data!B986</x:f>
        <x:v>0</x:v>
      </x:c>
      <x:c r="C986" t="n">
        <x:f>Match_Data!C986</x:f>
        <x:v>0</x:v>
      </x:c>
      <x:c r="D986" t="n">
        <x:f>Match_Data!E986</x:f>
        <x:v>0</x:v>
      </x:c>
      <x:c r="E986" t="n">
        <x:f>Match_Data!F986</x:f>
        <x:v>0</x:v>
      </x:c>
      <x:c r="F986" t="n">
        <x:f>Match_Data!AC986</x:f>
        <x:v>0</x:v>
      </x:c>
      <x:c r="G986" t="str">
        <x:f>IF(OR(Match_Data!K986="",Match_Data!L986=""),"",AVERAGE(Match_Data!K986:L986))</x:f>
      </x:c>
      <x:c r="H986" t="str">
        <x:f>IF(OR(Match_Data!M986="",Match_Data!N986=""),"",AVERAGE(Match_Data!M986:N986))</x:f>
      </x:c>
      <x:c r="I986" t="str">
        <x:f>IF(OR(Match_Data!O986="",Match_Data!Q986=""),"",Match_Data!O986+Match_Data!Q986)</x:f>
      </x:c>
      <x:c r="J986" t="str">
        <x:f>IF(OR(Match_Data!P986="",Match_Data!R986=""),"",Match_Data!P986+Match_Data!R986)</x:f>
      </x:c>
      <x:c r="K986" t="str">
        <x:f>IF(OR(Match_Data!S986="",Match_Data!T986=""),"",Match_Data!S986+Match_Data!T986)</x:f>
      </x:c>
      <x:c r="L986" t="str">
        <x:f>IF(OR(Match_Data!U986="",Match_Data!V986=""),"",Match_Data!U986-Match_Data!V986)</x:f>
      </x:c>
      <x:c r="M986" s="32" t="str">
        <x:f>IF(Match_Data!Y986="","",1/Match_Data!Y986)</x:f>
      </x:c>
      <x:c r="N986" s="32" t="str">
        <x:f>IF(Match_Data!AA986="","",1/Match_Data!AA986)</x:f>
      </x:c>
      <x:c r="O986" s="32" t="str">
        <x:f>IF(OR(M986="",N986=""),"",N986-M986)</x:f>
      </x:c>
      <x:c r="P986" t="str">
        <x:f>IF(Match_Data!J986="","",IF(Match_Data!J986="OVER",1,0))</x:f>
      </x:c>
    </x:row>
    <x:row r="987">
      <x:c r="A987" t="n">
        <x:f>Match_Data!A987</x:f>
        <x:v>0</x:v>
      </x:c>
      <x:c r="B987" s="28" t="n">
        <x:f>Match_Data!B987</x:f>
        <x:v>0</x:v>
      </x:c>
      <x:c r="C987" t="n">
        <x:f>Match_Data!C987</x:f>
        <x:v>0</x:v>
      </x:c>
      <x:c r="D987" t="n">
        <x:f>Match_Data!E987</x:f>
        <x:v>0</x:v>
      </x:c>
      <x:c r="E987" t="n">
        <x:f>Match_Data!F987</x:f>
        <x:v>0</x:v>
      </x:c>
      <x:c r="F987" t="n">
        <x:f>Match_Data!AC987</x:f>
        <x:v>0</x:v>
      </x:c>
      <x:c r="G987" t="str">
        <x:f>IF(OR(Match_Data!K987="",Match_Data!L987=""),"",AVERAGE(Match_Data!K987:L987))</x:f>
      </x:c>
      <x:c r="H987" t="str">
        <x:f>IF(OR(Match_Data!M987="",Match_Data!N987=""),"",AVERAGE(Match_Data!M987:N987))</x:f>
      </x:c>
      <x:c r="I987" t="str">
        <x:f>IF(OR(Match_Data!O987="",Match_Data!Q987=""),"",Match_Data!O987+Match_Data!Q987)</x:f>
      </x:c>
      <x:c r="J987" t="str">
        <x:f>IF(OR(Match_Data!P987="",Match_Data!R987=""),"",Match_Data!P987+Match_Data!R987)</x:f>
      </x:c>
      <x:c r="K987" t="str">
        <x:f>IF(OR(Match_Data!S987="",Match_Data!T987=""),"",Match_Data!S987+Match_Data!T987)</x:f>
      </x:c>
      <x:c r="L987" t="str">
        <x:f>IF(OR(Match_Data!U987="",Match_Data!V987=""),"",Match_Data!U987-Match_Data!V987)</x:f>
      </x:c>
      <x:c r="M987" s="32" t="str">
        <x:f>IF(Match_Data!Y987="","",1/Match_Data!Y987)</x:f>
      </x:c>
      <x:c r="N987" s="32" t="str">
        <x:f>IF(Match_Data!AA987="","",1/Match_Data!AA987)</x:f>
      </x:c>
      <x:c r="O987" s="32" t="str">
        <x:f>IF(OR(M987="",N987=""),"",N987-M987)</x:f>
      </x:c>
      <x:c r="P987" t="str">
        <x:f>IF(Match_Data!J987="","",IF(Match_Data!J987="OVER",1,0))</x:f>
      </x:c>
    </x:row>
    <x:row r="988">
      <x:c r="A988" t="n">
        <x:f>Match_Data!A988</x:f>
        <x:v>0</x:v>
      </x:c>
      <x:c r="B988" s="28" t="n">
        <x:f>Match_Data!B988</x:f>
        <x:v>0</x:v>
      </x:c>
      <x:c r="C988" t="n">
        <x:f>Match_Data!C988</x:f>
        <x:v>0</x:v>
      </x:c>
      <x:c r="D988" t="n">
        <x:f>Match_Data!E988</x:f>
        <x:v>0</x:v>
      </x:c>
      <x:c r="E988" t="n">
        <x:f>Match_Data!F988</x:f>
        <x:v>0</x:v>
      </x:c>
      <x:c r="F988" t="n">
        <x:f>Match_Data!AC988</x:f>
        <x:v>0</x:v>
      </x:c>
      <x:c r="G988" t="str">
        <x:f>IF(OR(Match_Data!K988="",Match_Data!L988=""),"",AVERAGE(Match_Data!K988:L988))</x:f>
      </x:c>
      <x:c r="H988" t="str">
        <x:f>IF(OR(Match_Data!M988="",Match_Data!N988=""),"",AVERAGE(Match_Data!M988:N988))</x:f>
      </x:c>
      <x:c r="I988" t="str">
        <x:f>IF(OR(Match_Data!O988="",Match_Data!Q988=""),"",Match_Data!O988+Match_Data!Q988)</x:f>
      </x:c>
      <x:c r="J988" t="str">
        <x:f>IF(OR(Match_Data!P988="",Match_Data!R988=""),"",Match_Data!P988+Match_Data!R988)</x:f>
      </x:c>
      <x:c r="K988" t="str">
        <x:f>IF(OR(Match_Data!S988="",Match_Data!T988=""),"",Match_Data!S988+Match_Data!T988)</x:f>
      </x:c>
      <x:c r="L988" t="str">
        <x:f>IF(OR(Match_Data!U988="",Match_Data!V988=""),"",Match_Data!U988-Match_Data!V988)</x:f>
      </x:c>
      <x:c r="M988" s="32" t="str">
        <x:f>IF(Match_Data!Y988="","",1/Match_Data!Y988)</x:f>
      </x:c>
      <x:c r="N988" s="32" t="str">
        <x:f>IF(Match_Data!AA988="","",1/Match_Data!AA988)</x:f>
      </x:c>
      <x:c r="O988" s="32" t="str">
        <x:f>IF(OR(M988="",N988=""),"",N988-M988)</x:f>
      </x:c>
      <x:c r="P988" t="str">
        <x:f>IF(Match_Data!J988="","",IF(Match_Data!J988="OVER",1,0))</x:f>
      </x:c>
    </x:row>
    <x:row r="989">
      <x:c r="A989" t="n">
        <x:f>Match_Data!A989</x:f>
        <x:v>0</x:v>
      </x:c>
      <x:c r="B989" s="28" t="n">
        <x:f>Match_Data!B989</x:f>
        <x:v>0</x:v>
      </x:c>
      <x:c r="C989" t="n">
        <x:f>Match_Data!C989</x:f>
        <x:v>0</x:v>
      </x:c>
      <x:c r="D989" t="n">
        <x:f>Match_Data!E989</x:f>
        <x:v>0</x:v>
      </x:c>
      <x:c r="E989" t="n">
        <x:f>Match_Data!F989</x:f>
        <x:v>0</x:v>
      </x:c>
      <x:c r="F989" t="n">
        <x:f>Match_Data!AC989</x:f>
        <x:v>0</x:v>
      </x:c>
      <x:c r="G989" t="str">
        <x:f>IF(OR(Match_Data!K989="",Match_Data!L989=""),"",AVERAGE(Match_Data!K989:L989))</x:f>
      </x:c>
      <x:c r="H989" t="str">
        <x:f>IF(OR(Match_Data!M989="",Match_Data!N989=""),"",AVERAGE(Match_Data!M989:N989))</x:f>
      </x:c>
      <x:c r="I989" t="str">
        <x:f>IF(OR(Match_Data!O989="",Match_Data!Q989=""),"",Match_Data!O989+Match_Data!Q989)</x:f>
      </x:c>
      <x:c r="J989" t="str">
        <x:f>IF(OR(Match_Data!P989="",Match_Data!R989=""),"",Match_Data!P989+Match_Data!R989)</x:f>
      </x:c>
      <x:c r="K989" t="str">
        <x:f>IF(OR(Match_Data!S989="",Match_Data!T989=""),"",Match_Data!S989+Match_Data!T989)</x:f>
      </x:c>
      <x:c r="L989" t="str">
        <x:f>IF(OR(Match_Data!U989="",Match_Data!V989=""),"",Match_Data!U989-Match_Data!V989)</x:f>
      </x:c>
      <x:c r="M989" s="32" t="str">
        <x:f>IF(Match_Data!Y989="","",1/Match_Data!Y989)</x:f>
      </x:c>
      <x:c r="N989" s="32" t="str">
        <x:f>IF(Match_Data!AA989="","",1/Match_Data!AA989)</x:f>
      </x:c>
      <x:c r="O989" s="32" t="str">
        <x:f>IF(OR(M989="",N989=""),"",N989-M989)</x:f>
      </x:c>
      <x:c r="P989" t="str">
        <x:f>IF(Match_Data!J989="","",IF(Match_Data!J989="OVER",1,0))</x:f>
      </x:c>
    </x:row>
    <x:row r="990">
      <x:c r="A990" t="n">
        <x:f>Match_Data!A990</x:f>
        <x:v>0</x:v>
      </x:c>
      <x:c r="B990" s="28" t="n">
        <x:f>Match_Data!B990</x:f>
        <x:v>0</x:v>
      </x:c>
      <x:c r="C990" t="n">
        <x:f>Match_Data!C990</x:f>
        <x:v>0</x:v>
      </x:c>
      <x:c r="D990" t="n">
        <x:f>Match_Data!E990</x:f>
        <x:v>0</x:v>
      </x:c>
      <x:c r="E990" t="n">
        <x:f>Match_Data!F990</x:f>
        <x:v>0</x:v>
      </x:c>
      <x:c r="F990" t="n">
        <x:f>Match_Data!AC990</x:f>
        <x:v>0</x:v>
      </x:c>
      <x:c r="G990" t="str">
        <x:f>IF(OR(Match_Data!K990="",Match_Data!L990=""),"",AVERAGE(Match_Data!K990:L990))</x:f>
      </x:c>
      <x:c r="H990" t="str">
        <x:f>IF(OR(Match_Data!M990="",Match_Data!N990=""),"",AVERAGE(Match_Data!M990:N990))</x:f>
      </x:c>
      <x:c r="I990" t="str">
        <x:f>IF(OR(Match_Data!O990="",Match_Data!Q990=""),"",Match_Data!O990+Match_Data!Q990)</x:f>
      </x:c>
      <x:c r="J990" t="str">
        <x:f>IF(OR(Match_Data!P990="",Match_Data!R990=""),"",Match_Data!P990+Match_Data!R990)</x:f>
      </x:c>
      <x:c r="K990" t="str">
        <x:f>IF(OR(Match_Data!S990="",Match_Data!T990=""),"",Match_Data!S990+Match_Data!T990)</x:f>
      </x:c>
      <x:c r="L990" t="str">
        <x:f>IF(OR(Match_Data!U990="",Match_Data!V990=""),"",Match_Data!U990-Match_Data!V990)</x:f>
      </x:c>
      <x:c r="M990" s="32" t="str">
        <x:f>IF(Match_Data!Y990="","",1/Match_Data!Y990)</x:f>
      </x:c>
      <x:c r="N990" s="32" t="str">
        <x:f>IF(Match_Data!AA990="","",1/Match_Data!AA990)</x:f>
      </x:c>
      <x:c r="O990" s="32" t="str">
        <x:f>IF(OR(M990="",N990=""),"",N990-M990)</x:f>
      </x:c>
      <x:c r="P990" t="str">
        <x:f>IF(Match_Data!J990="","",IF(Match_Data!J990="OVER",1,0))</x:f>
      </x:c>
    </x:row>
    <x:row r="991">
      <x:c r="A991" t="n">
        <x:f>Match_Data!A991</x:f>
        <x:v>0</x:v>
      </x:c>
      <x:c r="B991" s="28" t="n">
        <x:f>Match_Data!B991</x:f>
        <x:v>0</x:v>
      </x:c>
      <x:c r="C991" t="n">
        <x:f>Match_Data!C991</x:f>
        <x:v>0</x:v>
      </x:c>
      <x:c r="D991" t="n">
        <x:f>Match_Data!E991</x:f>
        <x:v>0</x:v>
      </x:c>
      <x:c r="E991" t="n">
        <x:f>Match_Data!F991</x:f>
        <x:v>0</x:v>
      </x:c>
      <x:c r="F991" t="n">
        <x:f>Match_Data!AC991</x:f>
        <x:v>0</x:v>
      </x:c>
      <x:c r="G991" t="str">
        <x:f>IF(OR(Match_Data!K991="",Match_Data!L991=""),"",AVERAGE(Match_Data!K991:L991))</x:f>
      </x:c>
      <x:c r="H991" t="str">
        <x:f>IF(OR(Match_Data!M991="",Match_Data!N991=""),"",AVERAGE(Match_Data!M991:N991))</x:f>
      </x:c>
      <x:c r="I991" t="str">
        <x:f>IF(OR(Match_Data!O991="",Match_Data!Q991=""),"",Match_Data!O991+Match_Data!Q991)</x:f>
      </x:c>
      <x:c r="J991" t="str">
        <x:f>IF(OR(Match_Data!P991="",Match_Data!R991=""),"",Match_Data!P991+Match_Data!R991)</x:f>
      </x:c>
      <x:c r="K991" t="str">
        <x:f>IF(OR(Match_Data!S991="",Match_Data!T991=""),"",Match_Data!S991+Match_Data!T991)</x:f>
      </x:c>
      <x:c r="L991" t="str">
        <x:f>IF(OR(Match_Data!U991="",Match_Data!V991=""),"",Match_Data!U991-Match_Data!V991)</x:f>
      </x:c>
      <x:c r="M991" s="32" t="str">
        <x:f>IF(Match_Data!Y991="","",1/Match_Data!Y991)</x:f>
      </x:c>
      <x:c r="N991" s="32" t="str">
        <x:f>IF(Match_Data!AA991="","",1/Match_Data!AA991)</x:f>
      </x:c>
      <x:c r="O991" s="32" t="str">
        <x:f>IF(OR(M991="",N991=""),"",N991-M991)</x:f>
      </x:c>
      <x:c r="P991" t="str">
        <x:f>IF(Match_Data!J991="","",IF(Match_Data!J991="OVER",1,0))</x:f>
      </x:c>
    </x:row>
    <x:row r="992">
      <x:c r="A992" t="n">
        <x:f>Match_Data!A992</x:f>
        <x:v>0</x:v>
      </x:c>
      <x:c r="B992" s="28" t="n">
        <x:f>Match_Data!B992</x:f>
        <x:v>0</x:v>
      </x:c>
      <x:c r="C992" t="n">
        <x:f>Match_Data!C992</x:f>
        <x:v>0</x:v>
      </x:c>
      <x:c r="D992" t="n">
        <x:f>Match_Data!E992</x:f>
        <x:v>0</x:v>
      </x:c>
      <x:c r="E992" t="n">
        <x:f>Match_Data!F992</x:f>
        <x:v>0</x:v>
      </x:c>
      <x:c r="F992" t="n">
        <x:f>Match_Data!AC992</x:f>
        <x:v>0</x:v>
      </x:c>
      <x:c r="G992" t="str">
        <x:f>IF(OR(Match_Data!K992="",Match_Data!L992=""),"",AVERAGE(Match_Data!K992:L992))</x:f>
      </x:c>
      <x:c r="H992" t="str">
        <x:f>IF(OR(Match_Data!M992="",Match_Data!N992=""),"",AVERAGE(Match_Data!M992:N992))</x:f>
      </x:c>
      <x:c r="I992" t="str">
        <x:f>IF(OR(Match_Data!O992="",Match_Data!Q992=""),"",Match_Data!O992+Match_Data!Q992)</x:f>
      </x:c>
      <x:c r="J992" t="str">
        <x:f>IF(OR(Match_Data!P992="",Match_Data!R992=""),"",Match_Data!P992+Match_Data!R992)</x:f>
      </x:c>
      <x:c r="K992" t="str">
        <x:f>IF(OR(Match_Data!S992="",Match_Data!T992=""),"",Match_Data!S992+Match_Data!T992)</x:f>
      </x:c>
      <x:c r="L992" t="str">
        <x:f>IF(OR(Match_Data!U992="",Match_Data!V992=""),"",Match_Data!U992-Match_Data!V992)</x:f>
      </x:c>
      <x:c r="M992" s="32" t="str">
        <x:f>IF(Match_Data!Y992="","",1/Match_Data!Y992)</x:f>
      </x:c>
      <x:c r="N992" s="32" t="str">
        <x:f>IF(Match_Data!AA992="","",1/Match_Data!AA992)</x:f>
      </x:c>
      <x:c r="O992" s="32" t="str">
        <x:f>IF(OR(M992="",N992=""),"",N992-M992)</x:f>
      </x:c>
      <x:c r="P992" t="str">
        <x:f>IF(Match_Data!J992="","",IF(Match_Data!J992="OVER",1,0))</x:f>
      </x:c>
    </x:row>
    <x:row r="993">
      <x:c r="A993" t="n">
        <x:f>Match_Data!A993</x:f>
        <x:v>0</x:v>
      </x:c>
      <x:c r="B993" s="28" t="n">
        <x:f>Match_Data!B993</x:f>
        <x:v>0</x:v>
      </x:c>
      <x:c r="C993" t="n">
        <x:f>Match_Data!C993</x:f>
        <x:v>0</x:v>
      </x:c>
      <x:c r="D993" t="n">
        <x:f>Match_Data!E993</x:f>
        <x:v>0</x:v>
      </x:c>
      <x:c r="E993" t="n">
        <x:f>Match_Data!F993</x:f>
        <x:v>0</x:v>
      </x:c>
      <x:c r="F993" t="n">
        <x:f>Match_Data!AC993</x:f>
        <x:v>0</x:v>
      </x:c>
      <x:c r="G993" t="str">
        <x:f>IF(OR(Match_Data!K993="",Match_Data!L993=""),"",AVERAGE(Match_Data!K993:L993))</x:f>
      </x:c>
      <x:c r="H993" t="str">
        <x:f>IF(OR(Match_Data!M993="",Match_Data!N993=""),"",AVERAGE(Match_Data!M993:N993))</x:f>
      </x:c>
      <x:c r="I993" t="str">
        <x:f>IF(OR(Match_Data!O993="",Match_Data!Q993=""),"",Match_Data!O993+Match_Data!Q993)</x:f>
      </x:c>
      <x:c r="J993" t="str">
        <x:f>IF(OR(Match_Data!P993="",Match_Data!R993=""),"",Match_Data!P993+Match_Data!R993)</x:f>
      </x:c>
      <x:c r="K993" t="str">
        <x:f>IF(OR(Match_Data!S993="",Match_Data!T993=""),"",Match_Data!S993+Match_Data!T993)</x:f>
      </x:c>
      <x:c r="L993" t="str">
        <x:f>IF(OR(Match_Data!U993="",Match_Data!V993=""),"",Match_Data!U993-Match_Data!V993)</x:f>
      </x:c>
      <x:c r="M993" s="32" t="str">
        <x:f>IF(Match_Data!Y993="","",1/Match_Data!Y993)</x:f>
      </x:c>
      <x:c r="N993" s="32" t="str">
        <x:f>IF(Match_Data!AA993="","",1/Match_Data!AA993)</x:f>
      </x:c>
      <x:c r="O993" s="32" t="str">
        <x:f>IF(OR(M993="",N993=""),"",N993-M993)</x:f>
      </x:c>
      <x:c r="P993" t="str">
        <x:f>IF(Match_Data!J993="","",IF(Match_Data!J993="OVER",1,0))</x:f>
      </x:c>
    </x:row>
    <x:row r="994">
      <x:c r="A994" t="n">
        <x:f>Match_Data!A994</x:f>
        <x:v>0</x:v>
      </x:c>
      <x:c r="B994" s="28" t="n">
        <x:f>Match_Data!B994</x:f>
        <x:v>0</x:v>
      </x:c>
      <x:c r="C994" t="n">
        <x:f>Match_Data!C994</x:f>
        <x:v>0</x:v>
      </x:c>
      <x:c r="D994" t="n">
        <x:f>Match_Data!E994</x:f>
        <x:v>0</x:v>
      </x:c>
      <x:c r="E994" t="n">
        <x:f>Match_Data!F994</x:f>
        <x:v>0</x:v>
      </x:c>
      <x:c r="F994" t="n">
        <x:f>Match_Data!AC994</x:f>
        <x:v>0</x:v>
      </x:c>
      <x:c r="G994" t="str">
        <x:f>IF(OR(Match_Data!K994="",Match_Data!L994=""),"",AVERAGE(Match_Data!K994:L994))</x:f>
      </x:c>
      <x:c r="H994" t="str">
        <x:f>IF(OR(Match_Data!M994="",Match_Data!N994=""),"",AVERAGE(Match_Data!M994:N994))</x:f>
      </x:c>
      <x:c r="I994" t="str">
        <x:f>IF(OR(Match_Data!O994="",Match_Data!Q994=""),"",Match_Data!O994+Match_Data!Q994)</x:f>
      </x:c>
      <x:c r="J994" t="str">
        <x:f>IF(OR(Match_Data!P994="",Match_Data!R994=""),"",Match_Data!P994+Match_Data!R994)</x:f>
      </x:c>
      <x:c r="K994" t="str">
        <x:f>IF(OR(Match_Data!S994="",Match_Data!T994=""),"",Match_Data!S994+Match_Data!T994)</x:f>
      </x:c>
      <x:c r="L994" t="str">
        <x:f>IF(OR(Match_Data!U994="",Match_Data!V994=""),"",Match_Data!U994-Match_Data!V994)</x:f>
      </x:c>
      <x:c r="M994" s="32" t="str">
        <x:f>IF(Match_Data!Y994="","",1/Match_Data!Y994)</x:f>
      </x:c>
      <x:c r="N994" s="32" t="str">
        <x:f>IF(Match_Data!AA994="","",1/Match_Data!AA994)</x:f>
      </x:c>
      <x:c r="O994" s="32" t="str">
        <x:f>IF(OR(M994="",N994=""),"",N994-M994)</x:f>
      </x:c>
      <x:c r="P994" t="str">
        <x:f>IF(Match_Data!J994="","",IF(Match_Data!J994="OVER",1,0))</x:f>
      </x:c>
    </x:row>
    <x:row r="995">
      <x:c r="A995" t="n">
        <x:f>Match_Data!A995</x:f>
        <x:v>0</x:v>
      </x:c>
      <x:c r="B995" s="28" t="n">
        <x:f>Match_Data!B995</x:f>
        <x:v>0</x:v>
      </x:c>
      <x:c r="C995" t="n">
        <x:f>Match_Data!C995</x:f>
        <x:v>0</x:v>
      </x:c>
      <x:c r="D995" t="n">
        <x:f>Match_Data!E995</x:f>
        <x:v>0</x:v>
      </x:c>
      <x:c r="E995" t="n">
        <x:f>Match_Data!F995</x:f>
        <x:v>0</x:v>
      </x:c>
      <x:c r="F995" t="n">
        <x:f>Match_Data!AC995</x:f>
        <x:v>0</x:v>
      </x:c>
      <x:c r="G995" t="str">
        <x:f>IF(OR(Match_Data!K995="",Match_Data!L995=""),"",AVERAGE(Match_Data!K995:L995))</x:f>
      </x:c>
      <x:c r="H995" t="str">
        <x:f>IF(OR(Match_Data!M995="",Match_Data!N995=""),"",AVERAGE(Match_Data!M995:N995))</x:f>
      </x:c>
      <x:c r="I995" t="str">
        <x:f>IF(OR(Match_Data!O995="",Match_Data!Q995=""),"",Match_Data!O995+Match_Data!Q995)</x:f>
      </x:c>
      <x:c r="J995" t="str">
        <x:f>IF(OR(Match_Data!P995="",Match_Data!R995=""),"",Match_Data!P995+Match_Data!R995)</x:f>
      </x:c>
      <x:c r="K995" t="str">
        <x:f>IF(OR(Match_Data!S995="",Match_Data!T995=""),"",Match_Data!S995+Match_Data!T995)</x:f>
      </x:c>
      <x:c r="L995" t="str">
        <x:f>IF(OR(Match_Data!U995="",Match_Data!V995=""),"",Match_Data!U995-Match_Data!V995)</x:f>
      </x:c>
      <x:c r="M995" s="32" t="str">
        <x:f>IF(Match_Data!Y995="","",1/Match_Data!Y995)</x:f>
      </x:c>
      <x:c r="N995" s="32" t="str">
        <x:f>IF(Match_Data!AA995="","",1/Match_Data!AA995)</x:f>
      </x:c>
      <x:c r="O995" s="32" t="str">
        <x:f>IF(OR(M995="",N995=""),"",N995-M995)</x:f>
      </x:c>
      <x:c r="P995" t="str">
        <x:f>IF(Match_Data!J995="","",IF(Match_Data!J995="OVER",1,0))</x:f>
      </x:c>
    </x:row>
    <x:row r="996">
      <x:c r="A996" t="n">
        <x:f>Match_Data!A996</x:f>
        <x:v>0</x:v>
      </x:c>
      <x:c r="B996" s="28" t="n">
        <x:f>Match_Data!B996</x:f>
        <x:v>0</x:v>
      </x:c>
      <x:c r="C996" t="n">
        <x:f>Match_Data!C996</x:f>
        <x:v>0</x:v>
      </x:c>
      <x:c r="D996" t="n">
        <x:f>Match_Data!E996</x:f>
        <x:v>0</x:v>
      </x:c>
      <x:c r="E996" t="n">
        <x:f>Match_Data!F996</x:f>
        <x:v>0</x:v>
      </x:c>
      <x:c r="F996" t="n">
        <x:f>Match_Data!AC996</x:f>
        <x:v>0</x:v>
      </x:c>
      <x:c r="G996" t="str">
        <x:f>IF(OR(Match_Data!K996="",Match_Data!L996=""),"",AVERAGE(Match_Data!K996:L996))</x:f>
      </x:c>
      <x:c r="H996" t="str">
        <x:f>IF(OR(Match_Data!M996="",Match_Data!N996=""),"",AVERAGE(Match_Data!M996:N996))</x:f>
      </x:c>
      <x:c r="I996" t="str">
        <x:f>IF(OR(Match_Data!O996="",Match_Data!Q996=""),"",Match_Data!O996+Match_Data!Q996)</x:f>
      </x:c>
      <x:c r="J996" t="str">
        <x:f>IF(OR(Match_Data!P996="",Match_Data!R996=""),"",Match_Data!P996+Match_Data!R996)</x:f>
      </x:c>
      <x:c r="K996" t="str">
        <x:f>IF(OR(Match_Data!S996="",Match_Data!T996=""),"",Match_Data!S996+Match_Data!T996)</x:f>
      </x:c>
      <x:c r="L996" t="str">
        <x:f>IF(OR(Match_Data!U996="",Match_Data!V996=""),"",Match_Data!U996-Match_Data!V996)</x:f>
      </x:c>
      <x:c r="M996" s="32" t="str">
        <x:f>IF(Match_Data!Y996="","",1/Match_Data!Y996)</x:f>
      </x:c>
      <x:c r="N996" s="32" t="str">
        <x:f>IF(Match_Data!AA996="","",1/Match_Data!AA996)</x:f>
      </x:c>
      <x:c r="O996" s="32" t="str">
        <x:f>IF(OR(M996="",N996=""),"",N996-M996)</x:f>
      </x:c>
      <x:c r="P996" t="str">
        <x:f>IF(Match_Data!J996="","",IF(Match_Data!J996="OVER",1,0))</x:f>
      </x:c>
    </x:row>
    <x:row r="997">
      <x:c r="A997" t="n">
        <x:f>Match_Data!A997</x:f>
        <x:v>0</x:v>
      </x:c>
      <x:c r="B997" s="28" t="n">
        <x:f>Match_Data!B997</x:f>
        <x:v>0</x:v>
      </x:c>
      <x:c r="C997" t="n">
        <x:f>Match_Data!C997</x:f>
        <x:v>0</x:v>
      </x:c>
      <x:c r="D997" t="n">
        <x:f>Match_Data!E997</x:f>
        <x:v>0</x:v>
      </x:c>
      <x:c r="E997" t="n">
        <x:f>Match_Data!F997</x:f>
        <x:v>0</x:v>
      </x:c>
      <x:c r="F997" t="n">
        <x:f>Match_Data!AC997</x:f>
        <x:v>0</x:v>
      </x:c>
      <x:c r="G997" t="str">
        <x:f>IF(OR(Match_Data!K997="",Match_Data!L997=""),"",AVERAGE(Match_Data!K997:L997))</x:f>
      </x:c>
      <x:c r="H997" t="str">
        <x:f>IF(OR(Match_Data!M997="",Match_Data!N997=""),"",AVERAGE(Match_Data!M997:N997))</x:f>
      </x:c>
      <x:c r="I997" t="str">
        <x:f>IF(OR(Match_Data!O997="",Match_Data!Q997=""),"",Match_Data!O997+Match_Data!Q997)</x:f>
      </x:c>
      <x:c r="J997" t="str">
        <x:f>IF(OR(Match_Data!P997="",Match_Data!R997=""),"",Match_Data!P997+Match_Data!R997)</x:f>
      </x:c>
      <x:c r="K997" t="str">
        <x:f>IF(OR(Match_Data!S997="",Match_Data!T997=""),"",Match_Data!S997+Match_Data!T997)</x:f>
      </x:c>
      <x:c r="L997" t="str">
        <x:f>IF(OR(Match_Data!U997="",Match_Data!V997=""),"",Match_Data!U997-Match_Data!V997)</x:f>
      </x:c>
      <x:c r="M997" s="32" t="str">
        <x:f>IF(Match_Data!Y997="","",1/Match_Data!Y997)</x:f>
      </x:c>
      <x:c r="N997" s="32" t="str">
        <x:f>IF(Match_Data!AA997="","",1/Match_Data!AA997)</x:f>
      </x:c>
      <x:c r="O997" s="32" t="str">
        <x:f>IF(OR(M997="",N997=""),"",N997-M997)</x:f>
      </x:c>
      <x:c r="P997" t="str">
        <x:f>IF(Match_Data!J997="","",IF(Match_Data!J997="OVER",1,0))</x:f>
      </x:c>
    </x:row>
    <x:row r="998">
      <x:c r="A998" t="n">
        <x:f>Match_Data!A998</x:f>
        <x:v>0</x:v>
      </x:c>
      <x:c r="B998" s="28" t="n">
        <x:f>Match_Data!B998</x:f>
        <x:v>0</x:v>
      </x:c>
      <x:c r="C998" t="n">
        <x:f>Match_Data!C998</x:f>
        <x:v>0</x:v>
      </x:c>
      <x:c r="D998" t="n">
        <x:f>Match_Data!E998</x:f>
        <x:v>0</x:v>
      </x:c>
      <x:c r="E998" t="n">
        <x:f>Match_Data!F998</x:f>
        <x:v>0</x:v>
      </x:c>
      <x:c r="F998" t="n">
        <x:f>Match_Data!AC998</x:f>
        <x:v>0</x:v>
      </x:c>
      <x:c r="G998" t="str">
        <x:f>IF(OR(Match_Data!K998="",Match_Data!L998=""),"",AVERAGE(Match_Data!K998:L998))</x:f>
      </x:c>
      <x:c r="H998" t="str">
        <x:f>IF(OR(Match_Data!M998="",Match_Data!N998=""),"",AVERAGE(Match_Data!M998:N998))</x:f>
      </x:c>
      <x:c r="I998" t="str">
        <x:f>IF(OR(Match_Data!O998="",Match_Data!Q998=""),"",Match_Data!O998+Match_Data!Q998)</x:f>
      </x:c>
      <x:c r="J998" t="str">
        <x:f>IF(OR(Match_Data!P998="",Match_Data!R998=""),"",Match_Data!P998+Match_Data!R998)</x:f>
      </x:c>
      <x:c r="K998" t="str">
        <x:f>IF(OR(Match_Data!S998="",Match_Data!T998=""),"",Match_Data!S998+Match_Data!T998)</x:f>
      </x:c>
      <x:c r="L998" t="str">
        <x:f>IF(OR(Match_Data!U998="",Match_Data!V998=""),"",Match_Data!U998-Match_Data!V998)</x:f>
      </x:c>
      <x:c r="M998" s="32" t="str">
        <x:f>IF(Match_Data!Y998="","",1/Match_Data!Y998)</x:f>
      </x:c>
      <x:c r="N998" s="32" t="str">
        <x:f>IF(Match_Data!AA998="","",1/Match_Data!AA998)</x:f>
      </x:c>
      <x:c r="O998" s="32" t="str">
        <x:f>IF(OR(M998="",N998=""),"",N998-M998)</x:f>
      </x:c>
      <x:c r="P998" t="str">
        <x:f>IF(Match_Data!J998="","",IF(Match_Data!J998="OVER",1,0))</x:f>
      </x:c>
    </x:row>
    <x:row r="999">
      <x:c r="A999" t="n">
        <x:f>Match_Data!A999</x:f>
        <x:v>0</x:v>
      </x:c>
      <x:c r="B999" s="28" t="n">
        <x:f>Match_Data!B999</x:f>
        <x:v>0</x:v>
      </x:c>
      <x:c r="C999" t="n">
        <x:f>Match_Data!C999</x:f>
        <x:v>0</x:v>
      </x:c>
      <x:c r="D999" t="n">
        <x:f>Match_Data!E999</x:f>
        <x:v>0</x:v>
      </x:c>
      <x:c r="E999" t="n">
        <x:f>Match_Data!F999</x:f>
        <x:v>0</x:v>
      </x:c>
      <x:c r="F999" t="n">
        <x:f>Match_Data!AC999</x:f>
        <x:v>0</x:v>
      </x:c>
      <x:c r="G999" t="str">
        <x:f>IF(OR(Match_Data!K999="",Match_Data!L999=""),"",AVERAGE(Match_Data!K999:L999))</x:f>
      </x:c>
      <x:c r="H999" t="str">
        <x:f>IF(OR(Match_Data!M999="",Match_Data!N999=""),"",AVERAGE(Match_Data!M999:N999))</x:f>
      </x:c>
      <x:c r="I999" t="str">
        <x:f>IF(OR(Match_Data!O999="",Match_Data!Q999=""),"",Match_Data!O999+Match_Data!Q999)</x:f>
      </x:c>
      <x:c r="J999" t="str">
        <x:f>IF(OR(Match_Data!P999="",Match_Data!R999=""),"",Match_Data!P999+Match_Data!R999)</x:f>
      </x:c>
      <x:c r="K999" t="str">
        <x:f>IF(OR(Match_Data!S999="",Match_Data!T999=""),"",Match_Data!S999+Match_Data!T999)</x:f>
      </x:c>
      <x:c r="L999" t="str">
        <x:f>IF(OR(Match_Data!U999="",Match_Data!V999=""),"",Match_Data!U999-Match_Data!V999)</x:f>
      </x:c>
      <x:c r="M999" s="32" t="str">
        <x:f>IF(Match_Data!Y999="","",1/Match_Data!Y999)</x:f>
      </x:c>
      <x:c r="N999" s="32" t="str">
        <x:f>IF(Match_Data!AA999="","",1/Match_Data!AA999)</x:f>
      </x:c>
      <x:c r="O999" s="32" t="str">
        <x:f>IF(OR(M999="",N999=""),"",N999-M999)</x:f>
      </x:c>
      <x:c r="P999" t="str">
        <x:f>IF(Match_Data!J999="","",IF(Match_Data!J999="OVER",1,0))</x:f>
      </x:c>
    </x:row>
    <x:row r="1000">
      <x:c r="A1000" t="n">
        <x:f>Match_Data!A1000</x:f>
        <x:v>0</x:v>
      </x:c>
      <x:c r="B1000" s="28" t="n">
        <x:f>Match_Data!B1000</x:f>
        <x:v>0</x:v>
      </x:c>
      <x:c r="C1000" t="n">
        <x:f>Match_Data!C1000</x:f>
        <x:v>0</x:v>
      </x:c>
      <x:c r="D1000" t="n">
        <x:f>Match_Data!E1000</x:f>
        <x:v>0</x:v>
      </x:c>
      <x:c r="E1000" t="n">
        <x:f>Match_Data!F1000</x:f>
        <x:v>0</x:v>
      </x:c>
      <x:c r="F1000" t="n">
        <x:f>Match_Data!AC1000</x:f>
        <x:v>0</x:v>
      </x:c>
      <x:c r="G1000" t="str">
        <x:f>IF(OR(Match_Data!K1000="",Match_Data!L1000=""),"",AVERAGE(Match_Data!K1000:L1000))</x:f>
      </x:c>
      <x:c r="H1000" t="str">
        <x:f>IF(OR(Match_Data!M1000="",Match_Data!N1000=""),"",AVERAGE(Match_Data!M1000:N1000))</x:f>
      </x:c>
      <x:c r="I1000" t="str">
        <x:f>IF(OR(Match_Data!O1000="",Match_Data!Q1000=""),"",Match_Data!O1000+Match_Data!Q1000)</x:f>
      </x:c>
      <x:c r="J1000" t="str">
        <x:f>IF(OR(Match_Data!P1000="",Match_Data!R1000=""),"",Match_Data!P1000+Match_Data!R1000)</x:f>
      </x:c>
      <x:c r="K1000" t="str">
        <x:f>IF(OR(Match_Data!S1000="",Match_Data!T1000=""),"",Match_Data!S1000+Match_Data!T1000)</x:f>
      </x:c>
      <x:c r="L1000" t="str">
        <x:f>IF(OR(Match_Data!U1000="",Match_Data!V1000=""),"",Match_Data!U1000-Match_Data!V1000)</x:f>
      </x:c>
      <x:c r="M1000" s="32" t="str">
        <x:f>IF(Match_Data!Y1000="","",1/Match_Data!Y1000)</x:f>
      </x:c>
      <x:c r="N1000" s="32" t="str">
        <x:f>IF(Match_Data!AA1000="","",1/Match_Data!AA1000)</x:f>
      </x:c>
      <x:c r="O1000" s="32" t="str">
        <x:f>IF(OR(M1000="",N1000=""),"",N1000-M1000)</x:f>
      </x:c>
      <x:c r="P1000" t="str">
        <x:f>IF(Match_Data!J1000="","",IF(Match_Data!J1000="OVER",1,0))</x:f>
      </x:c>
    </x:row>
    <x:row r="1001">
      <x:c r="A1001" t="n">
        <x:f>Match_Data!A1001</x:f>
        <x:v>0</x:v>
      </x:c>
      <x:c r="B1001" s="28" t="n">
        <x:f>Match_Data!B1001</x:f>
        <x:v>0</x:v>
      </x:c>
      <x:c r="C1001" t="n">
        <x:f>Match_Data!C1001</x:f>
        <x:v>0</x:v>
      </x:c>
      <x:c r="D1001" t="n">
        <x:f>Match_Data!E1001</x:f>
        <x:v>0</x:v>
      </x:c>
      <x:c r="E1001" t="n">
        <x:f>Match_Data!F1001</x:f>
        <x:v>0</x:v>
      </x:c>
      <x:c r="F1001" t="n">
        <x:f>Match_Data!AC1001</x:f>
        <x:v>0</x:v>
      </x:c>
      <x:c r="G1001" t="str">
        <x:f>IF(OR(Match_Data!K1001="",Match_Data!L1001=""),"",AVERAGE(Match_Data!K1001:L1001))</x:f>
      </x:c>
      <x:c r="H1001" t="str">
        <x:f>IF(OR(Match_Data!M1001="",Match_Data!N1001=""),"",AVERAGE(Match_Data!M1001:N1001))</x:f>
      </x:c>
      <x:c r="I1001" t="str">
        <x:f>IF(OR(Match_Data!O1001="",Match_Data!Q1001=""),"",Match_Data!O1001+Match_Data!Q1001)</x:f>
      </x:c>
      <x:c r="J1001" t="str">
        <x:f>IF(OR(Match_Data!P1001="",Match_Data!R1001=""),"",Match_Data!P1001+Match_Data!R1001)</x:f>
      </x:c>
      <x:c r="K1001" t="str">
        <x:f>IF(OR(Match_Data!S1001="",Match_Data!T1001=""),"",Match_Data!S1001+Match_Data!T1001)</x:f>
      </x:c>
      <x:c r="L1001" t="str">
        <x:f>IF(OR(Match_Data!U1001="",Match_Data!V1001=""),"",Match_Data!U1001-Match_Data!V1001)</x:f>
      </x:c>
      <x:c r="M1001" s="32" t="str">
        <x:f>IF(Match_Data!Y1001="","",1/Match_Data!Y1001)</x:f>
      </x:c>
      <x:c r="N1001" s="32" t="str">
        <x:f>IF(Match_Data!AA1001="","",1/Match_Data!AA1001)</x:f>
      </x:c>
      <x:c r="O1001" s="32" t="str">
        <x:f>IF(OR(M1001="",N1001=""),"",N1001-M1001)</x:f>
      </x:c>
      <x:c r="P1001" t="str">
        <x:f>IF(Match_Data!J1001="","",IF(Match_Data!J1001="OVER",1,0))</x:f>
      </x:c>
    </x:row>
  </x:sheetData>
  <x:pageMargins left="0.7" right="0.7" top="0.75" bottom="0.75" header="0.3" footer="0.3"/>
  <x:tableParts count="1">
    <x:tablePart xmlns:r="http://schemas.openxmlformats.org/officeDocument/2006/relationships" r:id="Rcf44cec51ba24b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2" hidden="0" customWidth="1"/>
  </x:cols>
  <x:sheetData>
    <x:row r="1">
      <x:c r="A1" s="38" t="str">
        <x:v>Pattern_ID</x:v>
      </x:c>
      <x:c r="B1" s="38" t="str">
        <x:v>Pattern_Name</x:v>
      </x:c>
      <x:c r="C1" s="38" t="str">
        <x:v>Rule_Definition</x:v>
      </x:c>
      <x:c r="D1" s="38" t="str">
        <x:v>Market</x:v>
      </x:c>
      <x:c r="E1" s="38" t="str">
        <x:v>Discovery_N</x:v>
      </x:c>
      <x:c r="F1" s="38" t="str">
        <x:v>Discovery_Hits</x:v>
      </x:c>
      <x:c r="G1" s="38" t="str">
        <x:v>Discovery_Hit_Rate</x:v>
      </x:c>
      <x:c r="H1" s="38" t="str">
        <x:v>Validation_N</x:v>
      </x:c>
      <x:c r="I1" s="38" t="str">
        <x:v>Validation_Hits</x:v>
      </x:c>
      <x:c r="J1" s="38" t="str">
        <x:v>Validation_Hit_Rate</x:v>
      </x:c>
      <x:c r="K1" s="38" t="str">
        <x:v>Forward_N</x:v>
      </x:c>
      <x:c r="L1" s="38" t="str">
        <x:v>Forward_Hits</x:v>
      </x:c>
      <x:c r="M1" s="38" t="str">
        <x:v>Forward_Hit_Rate</x:v>
      </x:c>
      <x:c r="N1" s="38" t="str">
        <x:v>Avg_Odds</x:v>
      </x:c>
      <x:c r="O1" s="38" t="str">
        <x:v>ROI</x:v>
      </x:c>
      <x:c r="P1" s="38" t="str">
        <x:v>Max_Drawdown</x:v>
      </x:c>
      <x:c r="Q1" s="38" t="str">
        <x:v>Status</x:v>
      </x:c>
      <x:c r="R1" s="38" t="str">
        <x:v>Notes</x:v>
      </x:c>
    </x:row>
    <x:row r="2">
      <x:c r="A2" t="str">
        <x:v>P002</x:v>
      </x:c>
      <x:c r="B2" t="str">
        <x:v>Moderate total λ + inflated public Over line</x:v>
      </x:c>
      <x:c r="C2" t="str">
        <x:v>Weighted expected total goals 2.7–3.1; Over 2.5 priced very short; alternative Under 3.5 model probability exceeds de-vig market by &gt;=5pp; no major confirmed attacking lineup upgrade.</x:v>
      </x:c>
      <x:c r="D2" t="str">
        <x:v>Under 3.5</x:v>
      </x:c>
      <x:c r="E2" t="n">
        <x:v>0</x:v>
      </x:c>
      <x:c r="F2" t="n">
        <x:v>0</x:v>
      </x:c>
      <x:c r="G2" s="32" t="str">
        <x:f>IF(E2=0,"",F2/E2)</x:f>
      </x:c>
      <x:c r="H2" t="n">
        <x:v>25</x:v>
      </x:c>
      <x:c r="I2" t="n">
        <x:f>'Validation_v0.1.7'!F32</x:f>
        <x:v>5</x:v>
      </x:c>
      <x:c r="J2" s="32" t="n">
        <x:f>'Validation_v0.1.7'!G32</x:f>
        <x:v>1</x:v>
      </x:c>
      <x:c r="K2" t="n">
        <x:v>0</x:v>
      </x:c>
      <x:c r="L2" t="n">
        <x:v>0</x:v>
      </x:c>
      <x:c r="M2" s="32" t="str">
        <x:f>IF(K2=0,"",L2/K2)</x:f>
      </x:c>
      <x:c r="N2" t="n">
        <x:v>1.6061</x:v>
      </x:c>
      <x:c r="O2" s="32" t="n">
        <x:f>'Validation_v0.1.7'!I32</x:f>
        <x:v>0.6900000000000001</x:v>
      </x:c>
      <x:c r="P2" s="32"/>
      <x:c r="Q2" t="str">
        <x:v>Candidate</x:v>
      </x:c>
      <x:c r="R2" t="str">
        <x:v>v0.2.0 DATA-INTEGRITY AUDIT: prior validation is not promoted because historical 1xBet closing odds were compared with live best/consensus prices. Pattern #002 remains frozen as a hypothesis. Future validation must use a single reference-price convention; execution price is stored separately.</x:v>
      </x:c>
    </x:row>
    <x:row r="3">
      <x:c r="G3" s="32" t="str">
        <x:f>IF(E3=0,"",F3/E3)</x:f>
      </x:c>
      <x:c r="J3" s="32" t="str">
        <x:f>IF(H3=0,"",I3/H3)</x:f>
      </x:c>
      <x:c r="M3" s="32" t="str">
        <x:f>IF(K3=0,"",L3/K3)</x:f>
      </x:c>
      <x:c r="O3" s="32"/>
      <x:c r="P3" s="32"/>
    </x:row>
    <x:row r="4">
      <x:c r="G4" s="32" t="str">
        <x:f>IF(E4=0,"",F4/E4)</x:f>
      </x:c>
      <x:c r="J4" s="32" t="str">
        <x:f>IF(H4=0,"",I4/H4)</x:f>
      </x:c>
      <x:c r="M4" s="32" t="str">
        <x:f>IF(K4=0,"",L4/K4)</x:f>
      </x:c>
      <x:c r="O4" s="32"/>
      <x:c r="P4" s="32"/>
    </x:row>
    <x:row r="5">
      <x:c r="G5" s="32" t="str">
        <x:f>IF(E5=0,"",F5/E5)</x:f>
      </x:c>
      <x:c r="J5" s="32" t="str">
        <x:f>IF(H5=0,"",I5/H5)</x:f>
      </x:c>
      <x:c r="M5" s="32" t="str">
        <x:f>IF(K5=0,"",L5/K5)</x:f>
      </x:c>
      <x:c r="O5" s="32"/>
      <x:c r="P5" s="32"/>
    </x:row>
    <x:row r="6">
      <x:c r="G6" s="32" t="str">
        <x:f>IF(E6=0,"",F6/E6)</x:f>
      </x:c>
      <x:c r="J6" s="32" t="str">
        <x:f>IF(H6=0,"",I6/H6)</x:f>
      </x:c>
      <x:c r="M6" s="32" t="str">
        <x:f>IF(K6=0,"",L6/K6)</x:f>
      </x:c>
      <x:c r="O6" s="32"/>
      <x:c r="P6" s="32"/>
    </x:row>
    <x:row r="7">
      <x:c r="G7" s="32" t="str">
        <x:f>IF(E7=0,"",F7/E7)</x:f>
      </x:c>
      <x:c r="J7" s="32" t="str">
        <x:f>IF(H7=0,"",I7/H7)</x:f>
      </x:c>
      <x:c r="M7" s="32" t="str">
        <x:f>IF(K7=0,"",L7/K7)</x:f>
      </x:c>
      <x:c r="O7" s="32"/>
      <x:c r="P7" s="32"/>
    </x:row>
    <x:row r="8">
      <x:c r="G8" s="32" t="str">
        <x:f>IF(E8=0,"",F8/E8)</x:f>
      </x:c>
      <x:c r="J8" s="32" t="str">
        <x:f>IF(H8=0,"",I8/H8)</x:f>
      </x:c>
      <x:c r="M8" s="32" t="str">
        <x:f>IF(K8=0,"",L8/K8)</x:f>
      </x:c>
      <x:c r="O8" s="32"/>
      <x:c r="P8" s="32"/>
    </x:row>
    <x:row r="9">
      <x:c r="G9" s="32" t="str">
        <x:f>IF(E9=0,"",F9/E9)</x:f>
      </x:c>
      <x:c r="J9" s="32" t="str">
        <x:f>IF(H9=0,"",I9/H9)</x:f>
      </x:c>
      <x:c r="M9" s="32" t="str">
        <x:f>IF(K9=0,"",L9/K9)</x:f>
      </x:c>
      <x:c r="O9" s="32"/>
      <x:c r="P9" s="32"/>
    </x:row>
    <x:row r="10">
      <x:c r="G10" s="32" t="str">
        <x:f>IF(E10=0,"",F10/E10)</x:f>
      </x:c>
      <x:c r="J10" s="32" t="str">
        <x:f>IF(H10=0,"",I10/H10)</x:f>
      </x:c>
      <x:c r="M10" s="32" t="str">
        <x:f>IF(K10=0,"",L10/K10)</x:f>
      </x:c>
      <x:c r="O10" s="32"/>
      <x:c r="P10" s="32"/>
    </x:row>
    <x:row r="11">
      <x:c r="G11" s="32" t="str">
        <x:f>IF(E11=0,"",F11/E11)</x:f>
      </x:c>
      <x:c r="J11" s="32" t="str">
        <x:f>IF(H11=0,"",I11/H11)</x:f>
      </x:c>
      <x:c r="M11" s="32" t="str">
        <x:f>IF(K11=0,"",L11/K11)</x:f>
      </x:c>
      <x:c r="O11" s="32"/>
      <x:c r="P11" s="32"/>
    </x:row>
    <x:row r="12">
      <x:c r="G12" s="32" t="str">
        <x:f>IF(E12=0,"",F12/E12)</x:f>
      </x:c>
      <x:c r="J12" s="32" t="str">
        <x:f>IF(H12=0,"",I12/H12)</x:f>
      </x:c>
      <x:c r="M12" s="32" t="str">
        <x:f>IF(K12=0,"",L12/K12)</x:f>
      </x:c>
      <x:c r="O12" s="32"/>
      <x:c r="P12" s="32"/>
    </x:row>
    <x:row r="13">
      <x:c r="G13" s="32" t="str">
        <x:f>IF(E13=0,"",F13/E13)</x:f>
      </x:c>
      <x:c r="J13" s="32" t="str">
        <x:f>IF(H13=0,"",I13/H13)</x:f>
      </x:c>
      <x:c r="M13" s="32" t="str">
        <x:f>IF(K13=0,"",L13/K13)</x:f>
      </x:c>
      <x:c r="O13" s="32"/>
      <x:c r="P13" s="32"/>
    </x:row>
    <x:row r="14">
      <x:c r="G14" s="32" t="str">
        <x:f>IF(E14=0,"",F14/E14)</x:f>
      </x:c>
      <x:c r="J14" s="32" t="str">
        <x:f>IF(H14=0,"",I14/H14)</x:f>
      </x:c>
      <x:c r="M14" s="32" t="str">
        <x:f>IF(K14=0,"",L14/K14)</x:f>
      </x:c>
      <x:c r="O14" s="32"/>
      <x:c r="P14" s="32"/>
    </x:row>
    <x:row r="15">
      <x:c r="G15" s="32" t="str">
        <x:f>IF(E15=0,"",F15/E15)</x:f>
      </x:c>
      <x:c r="J15" s="32" t="str">
        <x:f>IF(H15=0,"",I15/H15)</x:f>
      </x:c>
      <x:c r="M15" s="32" t="str">
        <x:f>IF(K15=0,"",L15/K15)</x:f>
      </x:c>
      <x:c r="O15" s="32"/>
      <x:c r="P15" s="32"/>
    </x:row>
    <x:row r="16">
      <x:c r="G16" s="32" t="str">
        <x:f>IF(E16=0,"",F16/E16)</x:f>
      </x:c>
      <x:c r="J16" s="32" t="str">
        <x:f>IF(H16=0,"",I16/H16)</x:f>
      </x:c>
      <x:c r="M16" s="32" t="str">
        <x:f>IF(K16=0,"",L16/K16)</x:f>
      </x:c>
      <x:c r="O16" s="32"/>
      <x:c r="P16" s="32"/>
    </x:row>
    <x:row r="17">
      <x:c r="G17" s="32" t="str">
        <x:f>IF(E17=0,"",F17/E17)</x:f>
      </x:c>
      <x:c r="J17" s="32" t="str">
        <x:f>IF(H17=0,"",I17/H17)</x:f>
      </x:c>
      <x:c r="M17" s="32" t="str">
        <x:f>IF(K17=0,"",L17/K17)</x:f>
      </x:c>
      <x:c r="O17" s="32"/>
      <x:c r="P17" s="32"/>
    </x:row>
    <x:row r="18">
      <x:c r="G18" s="32" t="str">
        <x:f>IF(E18=0,"",F18/E18)</x:f>
      </x:c>
      <x:c r="J18" s="32" t="str">
        <x:f>IF(H18=0,"",I18/H18)</x:f>
      </x:c>
      <x:c r="M18" s="32" t="str">
        <x:f>IF(K18=0,"",L18/K18)</x:f>
      </x:c>
      <x:c r="O18" s="32"/>
      <x:c r="P18" s="32"/>
    </x:row>
    <x:row r="19">
      <x:c r="G19" s="32" t="str">
        <x:f>IF(E19=0,"",F19/E19)</x:f>
      </x:c>
      <x:c r="J19" s="32" t="str">
        <x:f>IF(H19=0,"",I19/H19)</x:f>
      </x:c>
      <x:c r="M19" s="32" t="str">
        <x:f>IF(K19=0,"",L19/K19)</x:f>
      </x:c>
      <x:c r="O19" s="32"/>
      <x:c r="P19" s="32"/>
    </x:row>
    <x:row r="20">
      <x:c r="G20" s="32" t="str">
        <x:f>IF(E20=0,"",F20/E20)</x:f>
      </x:c>
      <x:c r="J20" s="32" t="str">
        <x:f>IF(H20=0,"",I20/H20)</x:f>
      </x:c>
      <x:c r="M20" s="32" t="str">
        <x:f>IF(K20=0,"",L20/K20)</x:f>
      </x:c>
      <x:c r="O20" s="32"/>
      <x:c r="P20" s="32"/>
    </x:row>
    <x:row r="21">
      <x:c r="G21" s="32" t="str">
        <x:f>IF(E21=0,"",F21/E21)</x:f>
      </x:c>
      <x:c r="J21" s="32" t="str">
        <x:f>IF(H21=0,"",I21/H21)</x:f>
      </x:c>
      <x:c r="M21" s="32" t="str">
        <x:f>IF(K21=0,"",L21/K21)</x:f>
      </x:c>
      <x:c r="O21" s="32"/>
      <x:c r="P21" s="32"/>
    </x:row>
    <x:row r="22">
      <x:c r="G22" s="32" t="str">
        <x:f>IF(E22=0,"",F22/E22)</x:f>
      </x:c>
      <x:c r="J22" s="32" t="str">
        <x:f>IF(H22=0,"",I22/H22)</x:f>
      </x:c>
      <x:c r="M22" s="32" t="str">
        <x:f>IF(K22=0,"",L22/K22)</x:f>
      </x:c>
      <x:c r="O22" s="32"/>
      <x:c r="P22" s="32"/>
    </x:row>
    <x:row r="23">
      <x:c r="G23" s="32" t="str">
        <x:f>IF(E23=0,"",F23/E23)</x:f>
      </x:c>
      <x:c r="J23" s="32" t="str">
        <x:f>IF(H23=0,"",I23/H23)</x:f>
      </x:c>
      <x:c r="M23" s="32" t="str">
        <x:f>IF(K23=0,"",L23/K23)</x:f>
      </x:c>
      <x:c r="O23" s="32"/>
      <x:c r="P23" s="32"/>
    </x:row>
    <x:row r="24">
      <x:c r="G24" s="32" t="str">
        <x:f>IF(E24=0,"",F24/E24)</x:f>
      </x:c>
      <x:c r="J24" s="32" t="str">
        <x:f>IF(H24=0,"",I24/H24)</x:f>
      </x:c>
      <x:c r="M24" s="32" t="str">
        <x:f>IF(K24=0,"",L24/K24)</x:f>
      </x:c>
      <x:c r="O24" s="32"/>
      <x:c r="P24" s="32"/>
    </x:row>
    <x:row r="25">
      <x:c r="G25" s="32" t="str">
        <x:f>IF(E25=0,"",F25/E25)</x:f>
      </x:c>
      <x:c r="J25" s="32" t="str">
        <x:f>IF(H25=0,"",I25/H25)</x:f>
      </x:c>
      <x:c r="M25" s="32" t="str">
        <x:f>IF(K25=0,"",L25/K25)</x:f>
      </x:c>
      <x:c r="O25" s="32"/>
      <x:c r="P25" s="32"/>
    </x:row>
    <x:row r="26">
      <x:c r="G26" s="32" t="str">
        <x:f>IF(E26=0,"",F26/E26)</x:f>
      </x:c>
      <x:c r="J26" s="32" t="str">
        <x:f>IF(H26=0,"",I26/H26)</x:f>
      </x:c>
      <x:c r="M26" s="32" t="str">
        <x:f>IF(K26=0,"",L26/K26)</x:f>
      </x:c>
      <x:c r="O26" s="32"/>
      <x:c r="P26" s="32"/>
    </x:row>
    <x:row r="27">
      <x:c r="G27" s="32" t="str">
        <x:f>IF(E27=0,"",F27/E27)</x:f>
      </x:c>
      <x:c r="J27" s="32" t="str">
        <x:f>IF(H27=0,"",I27/H27)</x:f>
      </x:c>
      <x:c r="M27" s="32" t="str">
        <x:f>IF(K27=0,"",L27/K27)</x:f>
      </x:c>
      <x:c r="O27" s="32"/>
      <x:c r="P27" s="32"/>
    </x:row>
    <x:row r="28">
      <x:c r="G28" s="32" t="str">
        <x:f>IF(E28=0,"",F28/E28)</x:f>
      </x:c>
      <x:c r="J28" s="32" t="str">
        <x:f>IF(H28=0,"",I28/H28)</x:f>
      </x:c>
      <x:c r="M28" s="32" t="str">
        <x:f>IF(K28=0,"",L28/K28)</x:f>
      </x:c>
      <x:c r="O28" s="32"/>
      <x:c r="P28" s="32"/>
    </x:row>
    <x:row r="29">
      <x:c r="G29" s="32" t="str">
        <x:f>IF(E29=0,"",F29/E29)</x:f>
      </x:c>
      <x:c r="J29" s="32" t="str">
        <x:f>IF(H29=0,"",I29/H29)</x:f>
      </x:c>
      <x:c r="M29" s="32" t="str">
        <x:f>IF(K29=0,"",L29/K29)</x:f>
      </x:c>
      <x:c r="O29" s="32"/>
      <x:c r="P29" s="32"/>
    </x:row>
    <x:row r="30">
      <x:c r="G30" s="32" t="str">
        <x:f>IF(E30=0,"",F30/E30)</x:f>
      </x:c>
      <x:c r="J30" s="32" t="str">
        <x:f>IF(H30=0,"",I30/H30)</x:f>
      </x:c>
      <x:c r="M30" s="32" t="str">
        <x:f>IF(K30=0,"",L30/K30)</x:f>
      </x:c>
      <x:c r="O30" s="32"/>
      <x:c r="P30" s="32"/>
    </x:row>
    <x:row r="31">
      <x:c r="G31" s="32" t="str">
        <x:f>IF(E31=0,"",F31/E31)</x:f>
      </x:c>
      <x:c r="J31" s="32" t="str">
        <x:f>IF(H31=0,"",I31/H31)</x:f>
      </x:c>
      <x:c r="M31" s="32" t="str">
        <x:f>IF(K31=0,"",L31/K31)</x:f>
      </x:c>
      <x:c r="O31" s="32"/>
      <x:c r="P31" s="32"/>
    </x:row>
    <x:row r="32">
      <x:c r="G32" s="32" t="str">
        <x:f>IF(E32=0,"",F32/E32)</x:f>
      </x:c>
      <x:c r="J32" s="32" t="str">
        <x:f>IF(H32=0,"",I32/H32)</x:f>
      </x:c>
      <x:c r="M32" s="32" t="str">
        <x:f>IF(K32=0,"",L32/K32)</x:f>
      </x:c>
      <x:c r="O32" s="32"/>
      <x:c r="P32" s="32"/>
    </x:row>
    <x:row r="33">
      <x:c r="G33" s="32" t="str">
        <x:f>IF(E33=0,"",F33/E33)</x:f>
      </x:c>
      <x:c r="J33" s="32" t="str">
        <x:f>IF(H33=0,"",I33/H33)</x:f>
      </x:c>
      <x:c r="M33" s="32" t="str">
        <x:f>IF(K33=0,"",L33/K33)</x:f>
      </x:c>
      <x:c r="O33" s="32"/>
      <x:c r="P33" s="32"/>
    </x:row>
    <x:row r="34">
      <x:c r="G34" s="32" t="str">
        <x:f>IF(E34=0,"",F34/E34)</x:f>
      </x:c>
      <x:c r="J34" s="32" t="str">
        <x:f>IF(H34=0,"",I34/H34)</x:f>
      </x:c>
      <x:c r="M34" s="32" t="str">
        <x:f>IF(K34=0,"",L34/K34)</x:f>
      </x:c>
      <x:c r="O34" s="32"/>
      <x:c r="P34" s="32"/>
    </x:row>
    <x:row r="35">
      <x:c r="G35" s="32" t="str">
        <x:f>IF(E35=0,"",F35/E35)</x:f>
      </x:c>
      <x:c r="J35" s="32" t="str">
        <x:f>IF(H35=0,"",I35/H35)</x:f>
      </x:c>
      <x:c r="M35" s="32" t="str">
        <x:f>IF(K35=0,"",L35/K35)</x:f>
      </x:c>
      <x:c r="O35" s="32"/>
      <x:c r="P35" s="32"/>
    </x:row>
    <x:row r="36">
      <x:c r="G36" s="32" t="str">
        <x:f>IF(E36=0,"",F36/E36)</x:f>
      </x:c>
      <x:c r="J36" s="32" t="str">
        <x:f>IF(H36=0,"",I36/H36)</x:f>
      </x:c>
      <x:c r="M36" s="32" t="str">
        <x:f>IF(K36=0,"",L36/K36)</x:f>
      </x:c>
      <x:c r="O36" s="32"/>
      <x:c r="P36" s="32"/>
    </x:row>
    <x:row r="37">
      <x:c r="G37" s="32" t="str">
        <x:f>IF(E37=0,"",F37/E37)</x:f>
      </x:c>
      <x:c r="J37" s="32" t="str">
        <x:f>IF(H37=0,"",I37/H37)</x:f>
      </x:c>
      <x:c r="M37" s="32" t="str">
        <x:f>IF(K37=0,"",L37/K37)</x:f>
      </x:c>
      <x:c r="O37" s="32"/>
      <x:c r="P37" s="32"/>
    </x:row>
    <x:row r="38">
      <x:c r="G38" s="32" t="str">
        <x:f>IF(E38=0,"",F38/E38)</x:f>
      </x:c>
      <x:c r="J38" s="32" t="str">
        <x:f>IF(H38=0,"",I38/H38)</x:f>
      </x:c>
      <x:c r="M38" s="32" t="str">
        <x:f>IF(K38=0,"",L38/K38)</x:f>
      </x:c>
      <x:c r="O38" s="32"/>
      <x:c r="P38" s="32"/>
    </x:row>
    <x:row r="39">
      <x:c r="G39" s="32" t="str">
        <x:f>IF(E39=0,"",F39/E39)</x:f>
      </x:c>
      <x:c r="J39" s="32" t="str">
        <x:f>IF(H39=0,"",I39/H39)</x:f>
      </x:c>
      <x:c r="M39" s="32" t="str">
        <x:f>IF(K39=0,"",L39/K39)</x:f>
      </x:c>
      <x:c r="O39" s="32"/>
      <x:c r="P39" s="32"/>
    </x:row>
    <x:row r="40">
      <x:c r="G40" s="32" t="str">
        <x:f>IF(E40=0,"",F40/E40)</x:f>
      </x:c>
      <x:c r="J40" s="32" t="str">
        <x:f>IF(H40=0,"",I40/H40)</x:f>
      </x:c>
      <x:c r="M40" s="32" t="str">
        <x:f>IF(K40=0,"",L40/K40)</x:f>
      </x:c>
      <x:c r="O40" s="32"/>
      <x:c r="P40" s="32"/>
    </x:row>
    <x:row r="41">
      <x:c r="G41" s="32" t="str">
        <x:f>IF(E41=0,"",F41/E41)</x:f>
      </x:c>
      <x:c r="J41" s="32" t="str">
        <x:f>IF(H41=0,"",I41/H41)</x:f>
      </x:c>
      <x:c r="M41" s="32" t="str">
        <x:f>IF(K41=0,"",L41/K41)</x:f>
      </x:c>
      <x:c r="O41" s="32"/>
      <x:c r="P41" s="32"/>
    </x:row>
    <x:row r="42">
      <x:c r="G42" s="32" t="str">
        <x:f>IF(E42=0,"",F42/E42)</x:f>
      </x:c>
      <x:c r="J42" s="32" t="str">
        <x:f>IF(H42=0,"",I42/H42)</x:f>
      </x:c>
      <x:c r="M42" s="32" t="str">
        <x:f>IF(K42=0,"",L42/K42)</x:f>
      </x:c>
      <x:c r="O42" s="32"/>
      <x:c r="P42" s="32"/>
    </x:row>
    <x:row r="43">
      <x:c r="G43" s="32" t="str">
        <x:f>IF(E43=0,"",F43/E43)</x:f>
      </x:c>
      <x:c r="J43" s="32" t="str">
        <x:f>IF(H43=0,"",I43/H43)</x:f>
      </x:c>
      <x:c r="M43" s="32" t="str">
        <x:f>IF(K43=0,"",L43/K43)</x:f>
      </x:c>
      <x:c r="O43" s="32"/>
      <x:c r="P43" s="32"/>
    </x:row>
    <x:row r="44">
      <x:c r="G44" s="32" t="str">
        <x:f>IF(E44=0,"",F44/E44)</x:f>
      </x:c>
      <x:c r="J44" s="32" t="str">
        <x:f>IF(H44=0,"",I44/H44)</x:f>
      </x:c>
      <x:c r="M44" s="32" t="str">
        <x:f>IF(K44=0,"",L44/K44)</x:f>
      </x:c>
      <x:c r="O44" s="32"/>
      <x:c r="P44" s="32"/>
    </x:row>
    <x:row r="45">
      <x:c r="G45" s="32" t="str">
        <x:f>IF(E45=0,"",F45/E45)</x:f>
      </x:c>
      <x:c r="J45" s="32" t="str">
        <x:f>IF(H45=0,"",I45/H45)</x:f>
      </x:c>
      <x:c r="M45" s="32" t="str">
        <x:f>IF(K45=0,"",L45/K45)</x:f>
      </x:c>
      <x:c r="O45" s="32"/>
      <x:c r="P45" s="32"/>
    </x:row>
    <x:row r="46">
      <x:c r="G46" s="32" t="str">
        <x:f>IF(E46=0,"",F46/E46)</x:f>
      </x:c>
      <x:c r="J46" s="32" t="str">
        <x:f>IF(H46=0,"",I46/H46)</x:f>
      </x:c>
      <x:c r="M46" s="32" t="str">
        <x:f>IF(K46=0,"",L46/K46)</x:f>
      </x:c>
      <x:c r="O46" s="32"/>
      <x:c r="P46" s="32"/>
    </x:row>
    <x:row r="47">
      <x:c r="G47" s="32" t="str">
        <x:f>IF(E47=0,"",F47/E47)</x:f>
      </x:c>
      <x:c r="J47" s="32" t="str">
        <x:f>IF(H47=0,"",I47/H47)</x:f>
      </x:c>
      <x:c r="M47" s="32" t="str">
        <x:f>IF(K47=0,"",L47/K47)</x:f>
      </x:c>
      <x:c r="O47" s="32"/>
      <x:c r="P47" s="32"/>
    </x:row>
    <x:row r="48">
      <x:c r="G48" s="32" t="str">
        <x:f>IF(E48=0,"",F48/E48)</x:f>
      </x:c>
      <x:c r="J48" s="32" t="str">
        <x:f>IF(H48=0,"",I48/H48)</x:f>
      </x:c>
      <x:c r="M48" s="32" t="str">
        <x:f>IF(K48=0,"",L48/K48)</x:f>
      </x:c>
      <x:c r="O48" s="32"/>
      <x:c r="P48" s="32"/>
    </x:row>
    <x:row r="49">
      <x:c r="G49" s="32" t="str">
        <x:f>IF(E49=0,"",F49/E49)</x:f>
      </x:c>
      <x:c r="J49" s="32" t="str">
        <x:f>IF(H49=0,"",I49/H49)</x:f>
      </x:c>
      <x:c r="M49" s="32" t="str">
        <x:f>IF(K49=0,"",L49/K49)</x:f>
      </x:c>
      <x:c r="O49" s="32"/>
      <x:c r="P49" s="32"/>
    </x:row>
    <x:row r="50">
      <x:c r="G50" s="32" t="str">
        <x:f>IF(E50=0,"",F50/E50)</x:f>
      </x:c>
      <x:c r="J50" s="32" t="str">
        <x:f>IF(H50=0,"",I50/H50)</x:f>
      </x:c>
      <x:c r="M50" s="32" t="str">
        <x:f>IF(K50=0,"",L50/K50)</x:f>
      </x:c>
      <x:c r="O50" s="32"/>
      <x:c r="P50" s="32"/>
    </x:row>
    <x:row r="51">
      <x:c r="G51" s="32" t="str">
        <x:f>IF(E51=0,"",F51/E51)</x:f>
      </x:c>
      <x:c r="J51" s="32" t="str">
        <x:f>IF(H51=0,"",I51/H51)</x:f>
      </x:c>
      <x:c r="M51" s="32" t="str">
        <x:f>IF(K51=0,"",L51/K51)</x:f>
      </x:c>
      <x:c r="O51" s="32"/>
      <x:c r="P51" s="32"/>
    </x:row>
    <x:row r="52">
      <x:c r="G52" s="32" t="str">
        <x:f>IF(E52=0,"",F52/E52)</x:f>
      </x:c>
      <x:c r="J52" s="32" t="str">
        <x:f>IF(H52=0,"",I52/H52)</x:f>
      </x:c>
      <x:c r="M52" s="32" t="str">
        <x:f>IF(K52=0,"",L52/K52)</x:f>
      </x:c>
      <x:c r="O52" s="32"/>
      <x:c r="P52" s="32"/>
    </x:row>
    <x:row r="53">
      <x:c r="G53" s="32" t="str">
        <x:f>IF(E53=0,"",F53/E53)</x:f>
      </x:c>
      <x:c r="J53" s="32" t="str">
        <x:f>IF(H53=0,"",I53/H53)</x:f>
      </x:c>
      <x:c r="M53" s="32" t="str">
        <x:f>IF(K53=0,"",L53/K53)</x:f>
      </x:c>
      <x:c r="O53" s="32"/>
      <x:c r="P53" s="32"/>
    </x:row>
    <x:row r="54">
      <x:c r="G54" s="32" t="str">
        <x:f>IF(E54=0,"",F54/E54)</x:f>
      </x:c>
      <x:c r="J54" s="32" t="str">
        <x:f>IF(H54=0,"",I54/H54)</x:f>
      </x:c>
      <x:c r="M54" s="32" t="str">
        <x:f>IF(K54=0,"",L54/K54)</x:f>
      </x:c>
      <x:c r="O54" s="32"/>
      <x:c r="P54" s="32"/>
    </x:row>
    <x:row r="55">
      <x:c r="G55" s="32" t="str">
        <x:f>IF(E55=0,"",F55/E55)</x:f>
      </x:c>
      <x:c r="J55" s="32" t="str">
        <x:f>IF(H55=0,"",I55/H55)</x:f>
      </x:c>
      <x:c r="M55" s="32" t="str">
        <x:f>IF(K55=0,"",L55/K55)</x:f>
      </x:c>
      <x:c r="O55" s="32"/>
      <x:c r="P55" s="32"/>
    </x:row>
    <x:row r="56">
      <x:c r="G56" s="32" t="str">
        <x:f>IF(E56=0,"",F56/E56)</x:f>
      </x:c>
      <x:c r="J56" s="32" t="str">
        <x:f>IF(H56=0,"",I56/H56)</x:f>
      </x:c>
      <x:c r="M56" s="32" t="str">
        <x:f>IF(K56=0,"",L56/K56)</x:f>
      </x:c>
      <x:c r="O56" s="32"/>
      <x:c r="P56" s="32"/>
    </x:row>
    <x:row r="57">
      <x:c r="G57" s="32" t="str">
        <x:f>IF(E57=0,"",F57/E57)</x:f>
      </x:c>
      <x:c r="J57" s="32" t="str">
        <x:f>IF(H57=0,"",I57/H57)</x:f>
      </x:c>
      <x:c r="M57" s="32" t="str">
        <x:f>IF(K57=0,"",L57/K57)</x:f>
      </x:c>
      <x:c r="O57" s="32"/>
      <x:c r="P57" s="32"/>
    </x:row>
    <x:row r="58">
      <x:c r="G58" s="32" t="str">
        <x:f>IF(E58=0,"",F58/E58)</x:f>
      </x:c>
      <x:c r="J58" s="32" t="str">
        <x:f>IF(H58=0,"",I58/H58)</x:f>
      </x:c>
      <x:c r="M58" s="32" t="str">
        <x:f>IF(K58=0,"",L58/K58)</x:f>
      </x:c>
      <x:c r="O58" s="32"/>
      <x:c r="P58" s="32"/>
    </x:row>
    <x:row r="59">
      <x:c r="G59" s="32" t="str">
        <x:f>IF(E59=0,"",F59/E59)</x:f>
      </x:c>
      <x:c r="J59" s="32" t="str">
        <x:f>IF(H59=0,"",I59/H59)</x:f>
      </x:c>
      <x:c r="M59" s="32" t="str">
        <x:f>IF(K59=0,"",L59/K59)</x:f>
      </x:c>
      <x:c r="O59" s="32"/>
      <x:c r="P59" s="32"/>
    </x:row>
    <x:row r="60">
      <x:c r="G60" s="32" t="str">
        <x:f>IF(E60=0,"",F60/E60)</x:f>
      </x:c>
      <x:c r="J60" s="32" t="str">
        <x:f>IF(H60=0,"",I60/H60)</x:f>
      </x:c>
      <x:c r="M60" s="32" t="str">
        <x:f>IF(K60=0,"",L60/K60)</x:f>
      </x:c>
      <x:c r="O60" s="32"/>
      <x:c r="P60" s="32"/>
    </x:row>
    <x:row r="61">
      <x:c r="G61" s="32" t="str">
        <x:f>IF(E61=0,"",F61/E61)</x:f>
      </x:c>
      <x:c r="J61" s="32" t="str">
        <x:f>IF(H61=0,"",I61/H61)</x:f>
      </x:c>
      <x:c r="M61" s="32" t="str">
        <x:f>IF(K61=0,"",L61/K61)</x:f>
      </x:c>
      <x:c r="O61" s="32"/>
      <x:c r="P61" s="32"/>
    </x:row>
    <x:row r="62">
      <x:c r="G62" s="32" t="str">
        <x:f>IF(E62=0,"",F62/E62)</x:f>
      </x:c>
      <x:c r="J62" s="32" t="str">
        <x:f>IF(H62=0,"",I62/H62)</x:f>
      </x:c>
      <x:c r="M62" s="32" t="str">
        <x:f>IF(K62=0,"",L62/K62)</x:f>
      </x:c>
      <x:c r="O62" s="32"/>
      <x:c r="P62" s="32"/>
    </x:row>
    <x:row r="63">
      <x:c r="G63" s="32" t="str">
        <x:f>IF(E63=0,"",F63/E63)</x:f>
      </x:c>
      <x:c r="J63" s="32" t="str">
        <x:f>IF(H63=0,"",I63/H63)</x:f>
      </x:c>
      <x:c r="M63" s="32" t="str">
        <x:f>IF(K63=0,"",L63/K63)</x:f>
      </x:c>
      <x:c r="O63" s="32"/>
      <x:c r="P63" s="32"/>
    </x:row>
    <x:row r="64">
      <x:c r="G64" s="32" t="str">
        <x:f>IF(E64=0,"",F64/E64)</x:f>
      </x:c>
      <x:c r="J64" s="32" t="str">
        <x:f>IF(H64=0,"",I64/H64)</x:f>
      </x:c>
      <x:c r="M64" s="32" t="str">
        <x:f>IF(K64=0,"",L64/K64)</x:f>
      </x:c>
      <x:c r="O64" s="32"/>
      <x:c r="P64" s="32"/>
    </x:row>
    <x:row r="65">
      <x:c r="G65" s="32" t="str">
        <x:f>IF(E65=0,"",F65/E65)</x:f>
      </x:c>
      <x:c r="J65" s="32" t="str">
        <x:f>IF(H65=0,"",I65/H65)</x:f>
      </x:c>
      <x:c r="M65" s="32" t="str">
        <x:f>IF(K65=0,"",L65/K65)</x:f>
      </x:c>
      <x:c r="O65" s="32"/>
      <x:c r="P65" s="32"/>
    </x:row>
    <x:row r="66">
      <x:c r="G66" s="32" t="str">
        <x:f>IF(E66=0,"",F66/E66)</x:f>
      </x:c>
      <x:c r="J66" s="32" t="str">
        <x:f>IF(H66=0,"",I66/H66)</x:f>
      </x:c>
      <x:c r="M66" s="32" t="str">
        <x:f>IF(K66=0,"",L66/K66)</x:f>
      </x:c>
      <x:c r="O66" s="32"/>
      <x:c r="P66" s="32"/>
    </x:row>
    <x:row r="67">
      <x:c r="G67" s="32" t="str">
        <x:f>IF(E67=0,"",F67/E67)</x:f>
      </x:c>
      <x:c r="J67" s="32" t="str">
        <x:f>IF(H67=0,"",I67/H67)</x:f>
      </x:c>
      <x:c r="M67" s="32" t="str">
        <x:f>IF(K67=0,"",L67/K67)</x:f>
      </x:c>
      <x:c r="O67" s="32"/>
      <x:c r="P67" s="32"/>
    </x:row>
    <x:row r="68">
      <x:c r="G68" s="32" t="str">
        <x:f>IF(E68=0,"",F68/E68)</x:f>
      </x:c>
      <x:c r="J68" s="32" t="str">
        <x:f>IF(H68=0,"",I68/H68)</x:f>
      </x:c>
      <x:c r="M68" s="32" t="str">
        <x:f>IF(K68=0,"",L68/K68)</x:f>
      </x:c>
      <x:c r="O68" s="32"/>
      <x:c r="P68" s="32"/>
    </x:row>
    <x:row r="69">
      <x:c r="G69" s="32" t="str">
        <x:f>IF(E69=0,"",F69/E69)</x:f>
      </x:c>
      <x:c r="J69" s="32" t="str">
        <x:f>IF(H69=0,"",I69/H69)</x:f>
      </x:c>
      <x:c r="M69" s="32" t="str">
        <x:f>IF(K69=0,"",L69/K69)</x:f>
      </x:c>
      <x:c r="O69" s="32"/>
      <x:c r="P69" s="32"/>
    </x:row>
    <x:row r="70">
      <x:c r="G70" s="32" t="str">
        <x:f>IF(E70=0,"",F70/E70)</x:f>
      </x:c>
      <x:c r="J70" s="32" t="str">
        <x:f>IF(H70=0,"",I70/H70)</x:f>
      </x:c>
      <x:c r="M70" s="32" t="str">
        <x:f>IF(K70=0,"",L70/K70)</x:f>
      </x:c>
      <x:c r="O70" s="32"/>
      <x:c r="P70" s="32"/>
    </x:row>
    <x:row r="71">
      <x:c r="G71" s="32" t="str">
        <x:f>IF(E71=0,"",F71/E71)</x:f>
      </x:c>
      <x:c r="J71" s="32" t="str">
        <x:f>IF(H71=0,"",I71/H71)</x:f>
      </x:c>
      <x:c r="M71" s="32" t="str">
        <x:f>IF(K71=0,"",L71/K71)</x:f>
      </x:c>
      <x:c r="O71" s="32"/>
      <x:c r="P71" s="32"/>
    </x:row>
    <x:row r="72">
      <x:c r="G72" s="32" t="str">
        <x:f>IF(E72=0,"",F72/E72)</x:f>
      </x:c>
      <x:c r="J72" s="32" t="str">
        <x:f>IF(H72=0,"",I72/H72)</x:f>
      </x:c>
      <x:c r="M72" s="32" t="str">
        <x:f>IF(K72=0,"",L72/K72)</x:f>
      </x:c>
      <x:c r="O72" s="32"/>
      <x:c r="P72" s="32"/>
    </x:row>
    <x:row r="73">
      <x:c r="G73" s="32" t="str">
        <x:f>IF(E73=0,"",F73/E73)</x:f>
      </x:c>
      <x:c r="J73" s="32" t="str">
        <x:f>IF(H73=0,"",I73/H73)</x:f>
      </x:c>
      <x:c r="M73" s="32" t="str">
        <x:f>IF(K73=0,"",L73/K73)</x:f>
      </x:c>
      <x:c r="O73" s="32"/>
      <x:c r="P73" s="32"/>
    </x:row>
    <x:row r="74">
      <x:c r="G74" s="32" t="str">
        <x:f>IF(E74=0,"",F74/E74)</x:f>
      </x:c>
      <x:c r="J74" s="32" t="str">
        <x:f>IF(H74=0,"",I74/H74)</x:f>
      </x:c>
      <x:c r="M74" s="32" t="str">
        <x:f>IF(K74=0,"",L74/K74)</x:f>
      </x:c>
      <x:c r="O74" s="32"/>
      <x:c r="P74" s="32"/>
    </x:row>
    <x:row r="75">
      <x:c r="G75" s="32" t="str">
        <x:f>IF(E75=0,"",F75/E75)</x:f>
      </x:c>
      <x:c r="J75" s="32" t="str">
        <x:f>IF(H75=0,"",I75/H75)</x:f>
      </x:c>
      <x:c r="M75" s="32" t="str">
        <x:f>IF(K75=0,"",L75/K75)</x:f>
      </x:c>
      <x:c r="O75" s="32"/>
      <x:c r="P75" s="32"/>
    </x:row>
    <x:row r="76">
      <x:c r="G76" s="32" t="str">
        <x:f>IF(E76=0,"",F76/E76)</x:f>
      </x:c>
      <x:c r="J76" s="32" t="str">
        <x:f>IF(H76=0,"",I76/H76)</x:f>
      </x:c>
      <x:c r="M76" s="32" t="str">
        <x:f>IF(K76=0,"",L76/K76)</x:f>
      </x:c>
      <x:c r="O76" s="32"/>
      <x:c r="P76" s="32"/>
    </x:row>
    <x:row r="77">
      <x:c r="G77" s="32" t="str">
        <x:f>IF(E77=0,"",F77/E77)</x:f>
      </x:c>
      <x:c r="J77" s="32" t="str">
        <x:f>IF(H77=0,"",I77/H77)</x:f>
      </x:c>
      <x:c r="M77" s="32" t="str">
        <x:f>IF(K77=0,"",L77/K77)</x:f>
      </x:c>
      <x:c r="O77" s="32"/>
      <x:c r="P77" s="32"/>
    </x:row>
    <x:row r="78">
      <x:c r="G78" s="32" t="str">
        <x:f>IF(E78=0,"",F78/E78)</x:f>
      </x:c>
      <x:c r="J78" s="32" t="str">
        <x:f>IF(H78=0,"",I78/H78)</x:f>
      </x:c>
      <x:c r="M78" s="32" t="str">
        <x:f>IF(K78=0,"",L78/K78)</x:f>
      </x:c>
      <x:c r="O78" s="32"/>
      <x:c r="P78" s="32"/>
    </x:row>
    <x:row r="79">
      <x:c r="G79" s="32" t="str">
        <x:f>IF(E79=0,"",F79/E79)</x:f>
      </x:c>
      <x:c r="J79" s="32" t="str">
        <x:f>IF(H79=0,"",I79/H79)</x:f>
      </x:c>
      <x:c r="M79" s="32" t="str">
        <x:f>IF(K79=0,"",L79/K79)</x:f>
      </x:c>
      <x:c r="O79" s="32"/>
      <x:c r="P79" s="32"/>
    </x:row>
    <x:row r="80">
      <x:c r="G80" s="32" t="str">
        <x:f>IF(E80=0,"",F80/E80)</x:f>
      </x:c>
      <x:c r="J80" s="32" t="str">
        <x:f>IF(H80=0,"",I80/H80)</x:f>
      </x:c>
      <x:c r="M80" s="32" t="str">
        <x:f>IF(K80=0,"",L80/K80)</x:f>
      </x:c>
      <x:c r="O80" s="32"/>
      <x:c r="P80" s="32"/>
    </x:row>
    <x:row r="81">
      <x:c r="G81" s="32" t="str">
        <x:f>IF(E81=0,"",F81/E81)</x:f>
      </x:c>
      <x:c r="J81" s="32" t="str">
        <x:f>IF(H81=0,"",I81/H81)</x:f>
      </x:c>
      <x:c r="M81" s="32" t="str">
        <x:f>IF(K81=0,"",L81/K81)</x:f>
      </x:c>
      <x:c r="O81" s="32"/>
      <x:c r="P81" s="32"/>
    </x:row>
    <x:row r="82">
      <x:c r="G82" s="32" t="str">
        <x:f>IF(E82=0,"",F82/E82)</x:f>
      </x:c>
      <x:c r="J82" s="32" t="str">
        <x:f>IF(H82=0,"",I82/H82)</x:f>
      </x:c>
      <x:c r="M82" s="32" t="str">
        <x:f>IF(K82=0,"",L82/K82)</x:f>
      </x:c>
      <x:c r="O82" s="32"/>
      <x:c r="P82" s="32"/>
    </x:row>
    <x:row r="83">
      <x:c r="G83" s="32" t="str">
        <x:f>IF(E83=0,"",F83/E83)</x:f>
      </x:c>
      <x:c r="J83" s="32" t="str">
        <x:f>IF(H83=0,"",I83/H83)</x:f>
      </x:c>
      <x:c r="M83" s="32" t="str">
        <x:f>IF(K83=0,"",L83/K83)</x:f>
      </x:c>
      <x:c r="O83" s="32"/>
      <x:c r="P83" s="32"/>
    </x:row>
    <x:row r="84">
      <x:c r="G84" s="32" t="str">
        <x:f>IF(E84=0,"",F84/E84)</x:f>
      </x:c>
      <x:c r="J84" s="32" t="str">
        <x:f>IF(H84=0,"",I84/H84)</x:f>
      </x:c>
      <x:c r="M84" s="32" t="str">
        <x:f>IF(K84=0,"",L84/K84)</x:f>
      </x:c>
      <x:c r="O84" s="32"/>
      <x:c r="P84" s="32"/>
    </x:row>
    <x:row r="85">
      <x:c r="G85" s="32" t="str">
        <x:f>IF(E85=0,"",F85/E85)</x:f>
      </x:c>
      <x:c r="J85" s="32" t="str">
        <x:f>IF(H85=0,"",I85/H85)</x:f>
      </x:c>
      <x:c r="M85" s="32" t="str">
        <x:f>IF(K85=0,"",L85/K85)</x:f>
      </x:c>
      <x:c r="O85" s="32"/>
      <x:c r="P85" s="32"/>
    </x:row>
    <x:row r="86">
      <x:c r="G86" s="32" t="str">
        <x:f>IF(E86=0,"",F86/E86)</x:f>
      </x:c>
      <x:c r="J86" s="32" t="str">
        <x:f>IF(H86=0,"",I86/H86)</x:f>
      </x:c>
      <x:c r="M86" s="32" t="str">
        <x:f>IF(K86=0,"",L86/K86)</x:f>
      </x:c>
      <x:c r="O86" s="32"/>
      <x:c r="P86" s="32"/>
    </x:row>
    <x:row r="87">
      <x:c r="G87" s="32" t="str">
        <x:f>IF(E87=0,"",F87/E87)</x:f>
      </x:c>
      <x:c r="J87" s="32" t="str">
        <x:f>IF(H87=0,"",I87/H87)</x:f>
      </x:c>
      <x:c r="M87" s="32" t="str">
        <x:f>IF(K87=0,"",L87/K87)</x:f>
      </x:c>
      <x:c r="O87" s="32"/>
      <x:c r="P87" s="32"/>
    </x:row>
    <x:row r="88">
      <x:c r="G88" s="32" t="str">
        <x:f>IF(E88=0,"",F88/E88)</x:f>
      </x:c>
      <x:c r="J88" s="32" t="str">
        <x:f>IF(H88=0,"",I88/H88)</x:f>
      </x:c>
      <x:c r="M88" s="32" t="str">
        <x:f>IF(K88=0,"",L88/K88)</x:f>
      </x:c>
      <x:c r="O88" s="32"/>
      <x:c r="P88" s="32"/>
    </x:row>
    <x:row r="89">
      <x:c r="G89" s="32" t="str">
        <x:f>IF(E89=0,"",F89/E89)</x:f>
      </x:c>
      <x:c r="J89" s="32" t="str">
        <x:f>IF(H89=0,"",I89/H89)</x:f>
      </x:c>
      <x:c r="M89" s="32" t="str">
        <x:f>IF(K89=0,"",L89/K89)</x:f>
      </x:c>
      <x:c r="O89" s="32"/>
      <x:c r="P89" s="32"/>
    </x:row>
    <x:row r="90">
      <x:c r="G90" s="32" t="str">
        <x:f>IF(E90=0,"",F90/E90)</x:f>
      </x:c>
      <x:c r="J90" s="32" t="str">
        <x:f>IF(H90=0,"",I90/H90)</x:f>
      </x:c>
      <x:c r="M90" s="32" t="str">
        <x:f>IF(K90=0,"",L90/K90)</x:f>
      </x:c>
      <x:c r="O90" s="32"/>
      <x:c r="P90" s="32"/>
    </x:row>
    <x:row r="91">
      <x:c r="G91" s="32" t="str">
        <x:f>IF(E91=0,"",F91/E91)</x:f>
      </x:c>
      <x:c r="J91" s="32" t="str">
        <x:f>IF(H91=0,"",I91/H91)</x:f>
      </x:c>
      <x:c r="M91" s="32" t="str">
        <x:f>IF(K91=0,"",L91/K91)</x:f>
      </x:c>
      <x:c r="O91" s="32"/>
      <x:c r="P91" s="32"/>
    </x:row>
    <x:row r="92">
      <x:c r="G92" s="32" t="str">
        <x:f>IF(E92=0,"",F92/E92)</x:f>
      </x:c>
      <x:c r="J92" s="32" t="str">
        <x:f>IF(H92=0,"",I92/H92)</x:f>
      </x:c>
      <x:c r="M92" s="32" t="str">
        <x:f>IF(K92=0,"",L92/K92)</x:f>
      </x:c>
      <x:c r="O92" s="32"/>
      <x:c r="P92" s="32"/>
    </x:row>
    <x:row r="93">
      <x:c r="G93" s="32" t="str">
        <x:f>IF(E93=0,"",F93/E93)</x:f>
      </x:c>
      <x:c r="J93" s="32" t="str">
        <x:f>IF(H93=0,"",I93/H93)</x:f>
      </x:c>
      <x:c r="M93" s="32" t="str">
        <x:f>IF(K93=0,"",L93/K93)</x:f>
      </x:c>
      <x:c r="O93" s="32"/>
      <x:c r="P93" s="32"/>
    </x:row>
    <x:row r="94">
      <x:c r="G94" s="32" t="str">
        <x:f>IF(E94=0,"",F94/E94)</x:f>
      </x:c>
      <x:c r="J94" s="32" t="str">
        <x:f>IF(H94=0,"",I94/H94)</x:f>
      </x:c>
      <x:c r="M94" s="32" t="str">
        <x:f>IF(K94=0,"",L94/K94)</x:f>
      </x:c>
      <x:c r="O94" s="32"/>
      <x:c r="P94" s="32"/>
    </x:row>
    <x:row r="95">
      <x:c r="G95" s="32" t="str">
        <x:f>IF(E95=0,"",F95/E95)</x:f>
      </x:c>
      <x:c r="J95" s="32" t="str">
        <x:f>IF(H95=0,"",I95/H95)</x:f>
      </x:c>
      <x:c r="M95" s="32" t="str">
        <x:f>IF(K95=0,"",L95/K95)</x:f>
      </x:c>
      <x:c r="O95" s="32"/>
      <x:c r="P95" s="32"/>
    </x:row>
    <x:row r="96">
      <x:c r="G96" s="32" t="str">
        <x:f>IF(E96=0,"",F96/E96)</x:f>
      </x:c>
      <x:c r="J96" s="32" t="str">
        <x:f>IF(H96=0,"",I96/H96)</x:f>
      </x:c>
      <x:c r="M96" s="32" t="str">
        <x:f>IF(K96=0,"",L96/K96)</x:f>
      </x:c>
      <x:c r="O96" s="32"/>
      <x:c r="P96" s="32"/>
    </x:row>
    <x:row r="97">
      <x:c r="G97" s="32" t="str">
        <x:f>IF(E97=0,"",F97/E97)</x:f>
      </x:c>
      <x:c r="J97" s="32" t="str">
        <x:f>IF(H97=0,"",I97/H97)</x:f>
      </x:c>
      <x:c r="M97" s="32" t="str">
        <x:f>IF(K97=0,"",L97/K97)</x:f>
      </x:c>
      <x:c r="O97" s="32"/>
      <x:c r="P97" s="32"/>
    </x:row>
    <x:row r="98">
      <x:c r="G98" s="32" t="str">
        <x:f>IF(E98=0,"",F98/E98)</x:f>
      </x:c>
      <x:c r="J98" s="32" t="str">
        <x:f>IF(H98=0,"",I98/H98)</x:f>
      </x:c>
      <x:c r="M98" s="32" t="str">
        <x:f>IF(K98=0,"",L98/K98)</x:f>
      </x:c>
      <x:c r="O98" s="32"/>
      <x:c r="P98" s="32"/>
    </x:row>
    <x:row r="99">
      <x:c r="G99" s="32" t="str">
        <x:f>IF(E99=0,"",F99/E99)</x:f>
      </x:c>
      <x:c r="J99" s="32" t="str">
        <x:f>IF(H99=0,"",I99/H99)</x:f>
      </x:c>
      <x:c r="M99" s="32" t="str">
        <x:f>IF(K99=0,"",L99/K99)</x:f>
      </x:c>
      <x:c r="O99" s="32"/>
      <x:c r="P99" s="32"/>
    </x:row>
    <x:row r="100">
      <x:c r="G100" s="32" t="str">
        <x:f>IF(E100=0,"",F100/E100)</x:f>
      </x:c>
      <x:c r="J100" s="32" t="str">
        <x:f>IF(H100=0,"",I100/H100)</x:f>
      </x:c>
      <x:c r="M100" s="32" t="str">
        <x:f>IF(K100=0,"",L100/K100)</x:f>
      </x:c>
      <x:c r="O100" s="32"/>
      <x:c r="P100" s="32"/>
    </x:row>
    <x:row r="101">
      <x:c r="G101" s="32" t="str">
        <x:f>IF(E101=0,"",F101/E101)</x:f>
      </x:c>
      <x:c r="J101" s="32" t="str">
        <x:f>IF(H101=0,"",I101/H101)</x:f>
      </x:c>
      <x:c r="M101" s="32" t="str">
        <x:f>IF(K101=0,"",L101/K101)</x:f>
      </x:c>
      <x:c r="O101" s="32"/>
      <x:c r="P101" s="32"/>
    </x:row>
    <x:row r="102">
      <x:c r="G102" s="32" t="str">
        <x:f>IF(E102=0,"",F102/E102)</x:f>
      </x:c>
      <x:c r="J102" s="32" t="str">
        <x:f>IF(H102=0,"",I102/H102)</x:f>
      </x:c>
      <x:c r="M102" s="32" t="str">
        <x:f>IF(K102=0,"",L102/K102)</x:f>
      </x:c>
      <x:c r="O102" s="32"/>
      <x:c r="P102" s="32"/>
    </x:row>
    <x:row r="103">
      <x:c r="G103" s="32" t="str">
        <x:f>IF(E103=0,"",F103/E103)</x:f>
      </x:c>
      <x:c r="J103" s="32" t="str">
        <x:f>IF(H103=0,"",I103/H103)</x:f>
      </x:c>
      <x:c r="M103" s="32" t="str">
        <x:f>IF(K103=0,"",L103/K103)</x:f>
      </x:c>
      <x:c r="O103" s="32"/>
      <x:c r="P103" s="32"/>
    </x:row>
    <x:row r="104">
      <x:c r="G104" s="32" t="str">
        <x:f>IF(E104=0,"",F104/E104)</x:f>
      </x:c>
      <x:c r="J104" s="32" t="str">
        <x:f>IF(H104=0,"",I104/H104)</x:f>
      </x:c>
      <x:c r="M104" s="32" t="str">
        <x:f>IF(K104=0,"",L104/K104)</x:f>
      </x:c>
      <x:c r="O104" s="32"/>
      <x:c r="P104" s="32"/>
    </x:row>
    <x:row r="105">
      <x:c r="G105" s="32" t="str">
        <x:f>IF(E105=0,"",F105/E105)</x:f>
      </x:c>
      <x:c r="J105" s="32" t="str">
        <x:f>IF(H105=0,"",I105/H105)</x:f>
      </x:c>
      <x:c r="M105" s="32" t="str">
        <x:f>IF(K105=0,"",L105/K105)</x:f>
      </x:c>
      <x:c r="O105" s="32"/>
      <x:c r="P105" s="32"/>
    </x:row>
    <x:row r="106">
      <x:c r="G106" s="32" t="str">
        <x:f>IF(E106=0,"",F106/E106)</x:f>
      </x:c>
      <x:c r="J106" s="32" t="str">
        <x:f>IF(H106=0,"",I106/H106)</x:f>
      </x:c>
      <x:c r="M106" s="32" t="str">
        <x:f>IF(K106=0,"",L106/K106)</x:f>
      </x:c>
      <x:c r="O106" s="32"/>
      <x:c r="P106" s="32"/>
    </x:row>
    <x:row r="107">
      <x:c r="G107" s="32" t="str">
        <x:f>IF(E107=0,"",F107/E107)</x:f>
      </x:c>
      <x:c r="J107" s="32" t="str">
        <x:f>IF(H107=0,"",I107/H107)</x:f>
      </x:c>
      <x:c r="M107" s="32" t="str">
        <x:f>IF(K107=0,"",L107/K107)</x:f>
      </x:c>
      <x:c r="O107" s="32"/>
      <x:c r="P107" s="32"/>
    </x:row>
    <x:row r="108">
      <x:c r="G108" s="32" t="str">
        <x:f>IF(E108=0,"",F108/E108)</x:f>
      </x:c>
      <x:c r="J108" s="32" t="str">
        <x:f>IF(H108=0,"",I108/H108)</x:f>
      </x:c>
      <x:c r="M108" s="32" t="str">
        <x:f>IF(K108=0,"",L108/K108)</x:f>
      </x:c>
      <x:c r="O108" s="32"/>
      <x:c r="P108" s="32"/>
    </x:row>
    <x:row r="109">
      <x:c r="G109" s="32" t="str">
        <x:f>IF(E109=0,"",F109/E109)</x:f>
      </x:c>
      <x:c r="J109" s="32" t="str">
        <x:f>IF(H109=0,"",I109/H109)</x:f>
      </x:c>
      <x:c r="M109" s="32" t="str">
        <x:f>IF(K109=0,"",L109/K109)</x:f>
      </x:c>
      <x:c r="O109" s="32"/>
      <x:c r="P109" s="32"/>
    </x:row>
    <x:row r="110">
      <x:c r="G110" s="32" t="str">
        <x:f>IF(E110=0,"",F110/E110)</x:f>
      </x:c>
      <x:c r="J110" s="32" t="str">
        <x:f>IF(H110=0,"",I110/H110)</x:f>
      </x:c>
      <x:c r="M110" s="32" t="str">
        <x:f>IF(K110=0,"",L110/K110)</x:f>
      </x:c>
      <x:c r="O110" s="32"/>
      <x:c r="P110" s="32"/>
    </x:row>
    <x:row r="111">
      <x:c r="G111" s="32" t="str">
        <x:f>IF(E111=0,"",F111/E111)</x:f>
      </x:c>
      <x:c r="J111" s="32" t="str">
        <x:f>IF(H111=0,"",I111/H111)</x:f>
      </x:c>
      <x:c r="M111" s="32" t="str">
        <x:f>IF(K111=0,"",L111/K111)</x:f>
      </x:c>
      <x:c r="O111" s="32"/>
      <x:c r="P111" s="32"/>
    </x:row>
    <x:row r="112">
      <x:c r="G112" s="32" t="str">
        <x:f>IF(E112=0,"",F112/E112)</x:f>
      </x:c>
      <x:c r="J112" s="32" t="str">
        <x:f>IF(H112=0,"",I112/H112)</x:f>
      </x:c>
      <x:c r="M112" s="32" t="str">
        <x:f>IF(K112=0,"",L112/K112)</x:f>
      </x:c>
      <x:c r="O112" s="32"/>
      <x:c r="P112" s="32"/>
    </x:row>
    <x:row r="113">
      <x:c r="G113" s="32" t="str">
        <x:f>IF(E113=0,"",F113/E113)</x:f>
      </x:c>
      <x:c r="J113" s="32" t="str">
        <x:f>IF(H113=0,"",I113/H113)</x:f>
      </x:c>
      <x:c r="M113" s="32" t="str">
        <x:f>IF(K113=0,"",L113/K113)</x:f>
      </x:c>
      <x:c r="O113" s="32"/>
      <x:c r="P113" s="32"/>
    </x:row>
    <x:row r="114">
      <x:c r="G114" s="32" t="str">
        <x:f>IF(E114=0,"",F114/E114)</x:f>
      </x:c>
      <x:c r="J114" s="32" t="str">
        <x:f>IF(H114=0,"",I114/H114)</x:f>
      </x:c>
      <x:c r="M114" s="32" t="str">
        <x:f>IF(K114=0,"",L114/K114)</x:f>
      </x:c>
      <x:c r="O114" s="32"/>
      <x:c r="P114" s="32"/>
    </x:row>
    <x:row r="115">
      <x:c r="G115" s="32" t="str">
        <x:f>IF(E115=0,"",F115/E115)</x:f>
      </x:c>
      <x:c r="J115" s="32" t="str">
        <x:f>IF(H115=0,"",I115/H115)</x:f>
      </x:c>
      <x:c r="M115" s="32" t="str">
        <x:f>IF(K115=0,"",L115/K115)</x:f>
      </x:c>
      <x:c r="O115" s="32"/>
      <x:c r="P115" s="32"/>
    </x:row>
    <x:row r="116">
      <x:c r="G116" s="32" t="str">
        <x:f>IF(E116=0,"",F116/E116)</x:f>
      </x:c>
      <x:c r="J116" s="32" t="str">
        <x:f>IF(H116=0,"",I116/H116)</x:f>
      </x:c>
      <x:c r="M116" s="32" t="str">
        <x:f>IF(K116=0,"",L116/K116)</x:f>
      </x:c>
      <x:c r="O116" s="32"/>
      <x:c r="P116" s="32"/>
    </x:row>
    <x:row r="117">
      <x:c r="G117" s="32" t="str">
        <x:f>IF(E117=0,"",F117/E117)</x:f>
      </x:c>
      <x:c r="J117" s="32" t="str">
        <x:f>IF(H117=0,"",I117/H117)</x:f>
      </x:c>
      <x:c r="M117" s="32" t="str">
        <x:f>IF(K117=0,"",L117/K117)</x:f>
      </x:c>
      <x:c r="O117" s="32"/>
      <x:c r="P117" s="32"/>
    </x:row>
    <x:row r="118">
      <x:c r="G118" s="32" t="str">
        <x:f>IF(E118=0,"",F118/E118)</x:f>
      </x:c>
      <x:c r="J118" s="32" t="str">
        <x:f>IF(H118=0,"",I118/H118)</x:f>
      </x:c>
      <x:c r="M118" s="32" t="str">
        <x:f>IF(K118=0,"",L118/K118)</x:f>
      </x:c>
      <x:c r="O118" s="32"/>
      <x:c r="P118" s="32"/>
    </x:row>
    <x:row r="119">
      <x:c r="G119" s="32" t="str">
        <x:f>IF(E119=0,"",F119/E119)</x:f>
      </x:c>
      <x:c r="J119" s="32" t="str">
        <x:f>IF(H119=0,"",I119/H119)</x:f>
      </x:c>
      <x:c r="M119" s="32" t="str">
        <x:f>IF(K119=0,"",L119/K119)</x:f>
      </x:c>
      <x:c r="O119" s="32"/>
      <x:c r="P119" s="32"/>
    </x:row>
    <x:row r="120">
      <x:c r="G120" s="32" t="str">
        <x:f>IF(E120=0,"",F120/E120)</x:f>
      </x:c>
      <x:c r="J120" s="32" t="str">
        <x:f>IF(H120=0,"",I120/H120)</x:f>
      </x:c>
      <x:c r="M120" s="32" t="str">
        <x:f>IF(K120=0,"",L120/K120)</x:f>
      </x:c>
      <x:c r="O120" s="32"/>
      <x:c r="P120" s="32"/>
    </x:row>
    <x:row r="121">
      <x:c r="G121" s="32" t="str">
        <x:f>IF(E121=0,"",F121/E121)</x:f>
      </x:c>
      <x:c r="J121" s="32" t="str">
        <x:f>IF(H121=0,"",I121/H121)</x:f>
      </x:c>
      <x:c r="M121" s="32" t="str">
        <x:f>IF(K121=0,"",L121/K121)</x:f>
      </x:c>
      <x:c r="O121" s="32"/>
      <x:c r="P121" s="32"/>
    </x:row>
    <x:row r="122">
      <x:c r="G122" s="32" t="str">
        <x:f>IF(E122=0,"",F122/E122)</x:f>
      </x:c>
      <x:c r="J122" s="32" t="str">
        <x:f>IF(H122=0,"",I122/H122)</x:f>
      </x:c>
      <x:c r="M122" s="32" t="str">
        <x:f>IF(K122=0,"",L122/K122)</x:f>
      </x:c>
      <x:c r="O122" s="32"/>
      <x:c r="P122" s="32"/>
    </x:row>
    <x:row r="123">
      <x:c r="G123" s="32" t="str">
        <x:f>IF(E123=0,"",F123/E123)</x:f>
      </x:c>
      <x:c r="J123" s="32" t="str">
        <x:f>IF(H123=0,"",I123/H123)</x:f>
      </x:c>
      <x:c r="M123" s="32" t="str">
        <x:f>IF(K123=0,"",L123/K123)</x:f>
      </x:c>
      <x:c r="O123" s="32"/>
      <x:c r="P123" s="32"/>
    </x:row>
    <x:row r="124">
      <x:c r="G124" s="32" t="str">
        <x:f>IF(E124=0,"",F124/E124)</x:f>
      </x:c>
      <x:c r="J124" s="32" t="str">
        <x:f>IF(H124=0,"",I124/H124)</x:f>
      </x:c>
      <x:c r="M124" s="32" t="str">
        <x:f>IF(K124=0,"",L124/K124)</x:f>
      </x:c>
      <x:c r="O124" s="32"/>
      <x:c r="P124" s="32"/>
    </x:row>
    <x:row r="125">
      <x:c r="G125" s="32" t="str">
        <x:f>IF(E125=0,"",F125/E125)</x:f>
      </x:c>
      <x:c r="J125" s="32" t="str">
        <x:f>IF(H125=0,"",I125/H125)</x:f>
      </x:c>
      <x:c r="M125" s="32" t="str">
        <x:f>IF(K125=0,"",L125/K125)</x:f>
      </x:c>
      <x:c r="O125" s="32"/>
      <x:c r="P125" s="32"/>
    </x:row>
    <x:row r="126">
      <x:c r="G126" s="32" t="str">
        <x:f>IF(E126=0,"",F126/E126)</x:f>
      </x:c>
      <x:c r="J126" s="32" t="str">
        <x:f>IF(H126=0,"",I126/H126)</x:f>
      </x:c>
      <x:c r="M126" s="32" t="str">
        <x:f>IF(K126=0,"",L126/K126)</x:f>
      </x:c>
      <x:c r="O126" s="32"/>
      <x:c r="P126" s="32"/>
    </x:row>
    <x:row r="127">
      <x:c r="G127" s="32" t="str">
        <x:f>IF(E127=0,"",F127/E127)</x:f>
      </x:c>
      <x:c r="J127" s="32" t="str">
        <x:f>IF(H127=0,"",I127/H127)</x:f>
      </x:c>
      <x:c r="M127" s="32" t="str">
        <x:f>IF(K127=0,"",L127/K127)</x:f>
      </x:c>
      <x:c r="O127" s="32"/>
      <x:c r="P127" s="32"/>
    </x:row>
    <x:row r="128">
      <x:c r="G128" s="32" t="str">
        <x:f>IF(E128=0,"",F128/E128)</x:f>
      </x:c>
      <x:c r="J128" s="32" t="str">
        <x:f>IF(H128=0,"",I128/H128)</x:f>
      </x:c>
      <x:c r="M128" s="32" t="str">
        <x:f>IF(K128=0,"",L128/K128)</x:f>
      </x:c>
      <x:c r="O128" s="32"/>
      <x:c r="P128" s="32"/>
    </x:row>
    <x:row r="129">
      <x:c r="G129" s="32" t="str">
        <x:f>IF(E129=0,"",F129/E129)</x:f>
      </x:c>
      <x:c r="J129" s="32" t="str">
        <x:f>IF(H129=0,"",I129/H129)</x:f>
      </x:c>
      <x:c r="M129" s="32" t="str">
        <x:f>IF(K129=0,"",L129/K129)</x:f>
      </x:c>
      <x:c r="O129" s="32"/>
      <x:c r="P129" s="32"/>
    </x:row>
    <x:row r="130">
      <x:c r="G130" s="32" t="str">
        <x:f>IF(E130=0,"",F130/E130)</x:f>
      </x:c>
      <x:c r="J130" s="32" t="str">
        <x:f>IF(H130=0,"",I130/H130)</x:f>
      </x:c>
      <x:c r="M130" s="32" t="str">
        <x:f>IF(K130=0,"",L130/K130)</x:f>
      </x:c>
      <x:c r="O130" s="32"/>
      <x:c r="P130" s="32"/>
    </x:row>
    <x:row r="131">
      <x:c r="G131" s="32" t="str">
        <x:f>IF(E131=0,"",F131/E131)</x:f>
      </x:c>
      <x:c r="J131" s="32" t="str">
        <x:f>IF(H131=0,"",I131/H131)</x:f>
      </x:c>
      <x:c r="M131" s="32" t="str">
        <x:f>IF(K131=0,"",L131/K131)</x:f>
      </x:c>
      <x:c r="O131" s="32"/>
      <x:c r="P131" s="32"/>
    </x:row>
    <x:row r="132">
      <x:c r="G132" s="32" t="str">
        <x:f>IF(E132=0,"",F132/E132)</x:f>
      </x:c>
      <x:c r="J132" s="32" t="str">
        <x:f>IF(H132=0,"",I132/H132)</x:f>
      </x:c>
      <x:c r="M132" s="32" t="str">
        <x:f>IF(K132=0,"",L132/K132)</x:f>
      </x:c>
      <x:c r="O132" s="32"/>
      <x:c r="P132" s="32"/>
    </x:row>
    <x:row r="133">
      <x:c r="G133" s="32" t="str">
        <x:f>IF(E133=0,"",F133/E133)</x:f>
      </x:c>
      <x:c r="J133" s="32" t="str">
        <x:f>IF(H133=0,"",I133/H133)</x:f>
      </x:c>
      <x:c r="M133" s="32" t="str">
        <x:f>IF(K133=0,"",L133/K133)</x:f>
      </x:c>
      <x:c r="O133" s="32"/>
      <x:c r="P133" s="32"/>
    </x:row>
    <x:row r="134">
      <x:c r="G134" s="32" t="str">
        <x:f>IF(E134=0,"",F134/E134)</x:f>
      </x:c>
      <x:c r="J134" s="32" t="str">
        <x:f>IF(H134=0,"",I134/H134)</x:f>
      </x:c>
      <x:c r="M134" s="32" t="str">
        <x:f>IF(K134=0,"",L134/K134)</x:f>
      </x:c>
      <x:c r="O134" s="32"/>
      <x:c r="P134" s="32"/>
    </x:row>
    <x:row r="135">
      <x:c r="G135" s="32" t="str">
        <x:f>IF(E135=0,"",F135/E135)</x:f>
      </x:c>
      <x:c r="J135" s="32" t="str">
        <x:f>IF(H135=0,"",I135/H135)</x:f>
      </x:c>
      <x:c r="M135" s="32" t="str">
        <x:f>IF(K135=0,"",L135/K135)</x:f>
      </x:c>
      <x:c r="O135" s="32"/>
      <x:c r="P135" s="32"/>
    </x:row>
    <x:row r="136">
      <x:c r="G136" s="32" t="str">
        <x:f>IF(E136=0,"",F136/E136)</x:f>
      </x:c>
      <x:c r="J136" s="32" t="str">
        <x:f>IF(H136=0,"",I136/H136)</x:f>
      </x:c>
      <x:c r="M136" s="32" t="str">
        <x:f>IF(K136=0,"",L136/K136)</x:f>
      </x:c>
      <x:c r="O136" s="32"/>
      <x:c r="P136" s="32"/>
    </x:row>
    <x:row r="137">
      <x:c r="G137" s="32" t="str">
        <x:f>IF(E137=0,"",F137/E137)</x:f>
      </x:c>
      <x:c r="J137" s="32" t="str">
        <x:f>IF(H137=0,"",I137/H137)</x:f>
      </x:c>
      <x:c r="M137" s="32" t="str">
        <x:f>IF(K137=0,"",L137/K137)</x:f>
      </x:c>
      <x:c r="O137" s="32"/>
      <x:c r="P137" s="32"/>
    </x:row>
    <x:row r="138">
      <x:c r="G138" s="32" t="str">
        <x:f>IF(E138=0,"",F138/E138)</x:f>
      </x:c>
      <x:c r="J138" s="32" t="str">
        <x:f>IF(H138=0,"",I138/H138)</x:f>
      </x:c>
      <x:c r="M138" s="32" t="str">
        <x:f>IF(K138=0,"",L138/K138)</x:f>
      </x:c>
      <x:c r="O138" s="32"/>
      <x:c r="P138" s="32"/>
    </x:row>
    <x:row r="139">
      <x:c r="G139" s="32" t="str">
        <x:f>IF(E139=0,"",F139/E139)</x:f>
      </x:c>
      <x:c r="J139" s="32" t="str">
        <x:f>IF(H139=0,"",I139/H139)</x:f>
      </x:c>
      <x:c r="M139" s="32" t="str">
        <x:f>IF(K139=0,"",L139/K139)</x:f>
      </x:c>
      <x:c r="O139" s="32"/>
      <x:c r="P139" s="32"/>
    </x:row>
    <x:row r="140">
      <x:c r="G140" s="32" t="str">
        <x:f>IF(E140=0,"",F140/E140)</x:f>
      </x:c>
      <x:c r="J140" s="32" t="str">
        <x:f>IF(H140=0,"",I140/H140)</x:f>
      </x:c>
      <x:c r="M140" s="32" t="str">
        <x:f>IF(K140=0,"",L140/K140)</x:f>
      </x:c>
      <x:c r="O140" s="32"/>
      <x:c r="P140" s="32"/>
    </x:row>
    <x:row r="141">
      <x:c r="G141" s="32" t="str">
        <x:f>IF(E141=0,"",F141/E141)</x:f>
      </x:c>
      <x:c r="J141" s="32" t="str">
        <x:f>IF(H141=0,"",I141/H141)</x:f>
      </x:c>
      <x:c r="M141" s="32" t="str">
        <x:f>IF(K141=0,"",L141/K141)</x:f>
      </x:c>
      <x:c r="O141" s="32"/>
      <x:c r="P141" s="32"/>
    </x:row>
    <x:row r="142">
      <x:c r="G142" s="32" t="str">
        <x:f>IF(E142=0,"",F142/E142)</x:f>
      </x:c>
      <x:c r="J142" s="32" t="str">
        <x:f>IF(H142=0,"",I142/H142)</x:f>
      </x:c>
      <x:c r="M142" s="32" t="str">
        <x:f>IF(K142=0,"",L142/K142)</x:f>
      </x:c>
      <x:c r="O142" s="32"/>
      <x:c r="P142" s="32"/>
    </x:row>
    <x:row r="143">
      <x:c r="G143" s="32" t="str">
        <x:f>IF(E143=0,"",F143/E143)</x:f>
      </x:c>
      <x:c r="J143" s="32" t="str">
        <x:f>IF(H143=0,"",I143/H143)</x:f>
      </x:c>
      <x:c r="M143" s="32" t="str">
        <x:f>IF(K143=0,"",L143/K143)</x:f>
      </x:c>
      <x:c r="O143" s="32"/>
      <x:c r="P143" s="32"/>
    </x:row>
    <x:row r="144">
      <x:c r="G144" s="32" t="str">
        <x:f>IF(E144=0,"",F144/E144)</x:f>
      </x:c>
      <x:c r="J144" s="32" t="str">
        <x:f>IF(H144=0,"",I144/H144)</x:f>
      </x:c>
      <x:c r="M144" s="32" t="str">
        <x:f>IF(K144=0,"",L144/K144)</x:f>
      </x:c>
      <x:c r="O144" s="32"/>
      <x:c r="P144" s="32"/>
    </x:row>
    <x:row r="145">
      <x:c r="G145" s="32" t="str">
        <x:f>IF(E145=0,"",F145/E145)</x:f>
      </x:c>
      <x:c r="J145" s="32" t="str">
        <x:f>IF(H145=0,"",I145/H145)</x:f>
      </x:c>
      <x:c r="M145" s="32" t="str">
        <x:f>IF(K145=0,"",L145/K145)</x:f>
      </x:c>
      <x:c r="O145" s="32"/>
      <x:c r="P145" s="32"/>
    </x:row>
    <x:row r="146">
      <x:c r="G146" s="32" t="str">
        <x:f>IF(E146=0,"",F146/E146)</x:f>
      </x:c>
      <x:c r="J146" s="32" t="str">
        <x:f>IF(H146=0,"",I146/H146)</x:f>
      </x:c>
      <x:c r="M146" s="32" t="str">
        <x:f>IF(K146=0,"",L146/K146)</x:f>
      </x:c>
      <x:c r="O146" s="32"/>
      <x:c r="P146" s="32"/>
    </x:row>
    <x:row r="147">
      <x:c r="G147" s="32" t="str">
        <x:f>IF(E147=0,"",F147/E147)</x:f>
      </x:c>
      <x:c r="J147" s="32" t="str">
        <x:f>IF(H147=0,"",I147/H147)</x:f>
      </x:c>
      <x:c r="M147" s="32" t="str">
        <x:f>IF(K147=0,"",L147/K147)</x:f>
      </x:c>
      <x:c r="O147" s="32"/>
      <x:c r="P147" s="32"/>
    </x:row>
    <x:row r="148">
      <x:c r="G148" s="32" t="str">
        <x:f>IF(E148=0,"",F148/E148)</x:f>
      </x:c>
      <x:c r="J148" s="32" t="str">
        <x:f>IF(H148=0,"",I148/H148)</x:f>
      </x:c>
      <x:c r="M148" s="32" t="str">
        <x:f>IF(K148=0,"",L148/K148)</x:f>
      </x:c>
      <x:c r="O148" s="32"/>
      <x:c r="P148" s="32"/>
    </x:row>
    <x:row r="149">
      <x:c r="G149" s="32" t="str">
        <x:f>IF(E149=0,"",F149/E149)</x:f>
      </x:c>
      <x:c r="J149" s="32" t="str">
        <x:f>IF(H149=0,"",I149/H149)</x:f>
      </x:c>
      <x:c r="M149" s="32" t="str">
        <x:f>IF(K149=0,"",L149/K149)</x:f>
      </x:c>
      <x:c r="O149" s="32"/>
      <x:c r="P149" s="32"/>
    </x:row>
    <x:row r="150">
      <x:c r="G150" s="32" t="str">
        <x:f>IF(E150=0,"",F150/E150)</x:f>
      </x:c>
      <x:c r="J150" s="32" t="str">
        <x:f>IF(H150=0,"",I150/H150)</x:f>
      </x:c>
      <x:c r="M150" s="32" t="str">
        <x:f>IF(K150=0,"",L150/K150)</x:f>
      </x:c>
      <x:c r="O150" s="32"/>
      <x:c r="P150" s="32"/>
    </x:row>
    <x:row r="151">
      <x:c r="G151" s="32" t="str">
        <x:f>IF(E151=0,"",F151/E151)</x:f>
      </x:c>
      <x:c r="J151" s="32" t="str">
        <x:f>IF(H151=0,"",I151/H151)</x:f>
      </x:c>
      <x:c r="M151" s="32" t="str">
        <x:f>IF(K151=0,"",L151/K151)</x:f>
      </x:c>
      <x:c r="O151" s="32"/>
      <x:c r="P151" s="32"/>
    </x:row>
    <x:row r="152">
      <x:c r="G152" s="32" t="str">
        <x:f>IF(E152=0,"",F152/E152)</x:f>
      </x:c>
      <x:c r="J152" s="32" t="str">
        <x:f>IF(H152=0,"",I152/H152)</x:f>
      </x:c>
      <x:c r="M152" s="32" t="str">
        <x:f>IF(K152=0,"",L152/K152)</x:f>
      </x:c>
      <x:c r="O152" s="32"/>
      <x:c r="P152" s="32"/>
    </x:row>
    <x:row r="153">
      <x:c r="G153" s="32" t="str">
        <x:f>IF(E153=0,"",F153/E153)</x:f>
      </x:c>
      <x:c r="J153" s="32" t="str">
        <x:f>IF(H153=0,"",I153/H153)</x:f>
      </x:c>
      <x:c r="M153" s="32" t="str">
        <x:f>IF(K153=0,"",L153/K153)</x:f>
      </x:c>
      <x:c r="O153" s="32"/>
      <x:c r="P153" s="32"/>
    </x:row>
    <x:row r="154">
      <x:c r="G154" s="32" t="str">
        <x:f>IF(E154=0,"",F154/E154)</x:f>
      </x:c>
      <x:c r="J154" s="32" t="str">
        <x:f>IF(H154=0,"",I154/H154)</x:f>
      </x:c>
      <x:c r="M154" s="32" t="str">
        <x:f>IF(K154=0,"",L154/K154)</x:f>
      </x:c>
      <x:c r="O154" s="32"/>
      <x:c r="P154" s="32"/>
    </x:row>
    <x:row r="155">
      <x:c r="G155" s="32" t="str">
        <x:f>IF(E155=0,"",F155/E155)</x:f>
      </x:c>
      <x:c r="J155" s="32" t="str">
        <x:f>IF(H155=0,"",I155/H155)</x:f>
      </x:c>
      <x:c r="M155" s="32" t="str">
        <x:f>IF(K155=0,"",L155/K155)</x:f>
      </x:c>
      <x:c r="O155" s="32"/>
      <x:c r="P155" s="32"/>
    </x:row>
    <x:row r="156">
      <x:c r="G156" s="32" t="str">
        <x:f>IF(E156=0,"",F156/E156)</x:f>
      </x:c>
      <x:c r="J156" s="32" t="str">
        <x:f>IF(H156=0,"",I156/H156)</x:f>
      </x:c>
      <x:c r="M156" s="32" t="str">
        <x:f>IF(K156=0,"",L156/K156)</x:f>
      </x:c>
      <x:c r="O156" s="32"/>
      <x:c r="P156" s="32"/>
    </x:row>
    <x:row r="157">
      <x:c r="G157" s="32" t="str">
        <x:f>IF(E157=0,"",F157/E157)</x:f>
      </x:c>
      <x:c r="J157" s="32" t="str">
        <x:f>IF(H157=0,"",I157/H157)</x:f>
      </x:c>
      <x:c r="M157" s="32" t="str">
        <x:f>IF(K157=0,"",L157/K157)</x:f>
      </x:c>
      <x:c r="O157" s="32"/>
      <x:c r="P157" s="32"/>
    </x:row>
    <x:row r="158">
      <x:c r="G158" s="32" t="str">
        <x:f>IF(E158=0,"",F158/E158)</x:f>
      </x:c>
      <x:c r="J158" s="32" t="str">
        <x:f>IF(H158=0,"",I158/H158)</x:f>
      </x:c>
      <x:c r="M158" s="32" t="str">
        <x:f>IF(K158=0,"",L158/K158)</x:f>
      </x:c>
      <x:c r="O158" s="32"/>
      <x:c r="P158" s="32"/>
    </x:row>
    <x:row r="159">
      <x:c r="G159" s="32" t="str">
        <x:f>IF(E159=0,"",F159/E159)</x:f>
      </x:c>
      <x:c r="J159" s="32" t="str">
        <x:f>IF(H159=0,"",I159/H159)</x:f>
      </x:c>
      <x:c r="M159" s="32" t="str">
        <x:f>IF(K159=0,"",L159/K159)</x:f>
      </x:c>
      <x:c r="O159" s="32"/>
      <x:c r="P159" s="32"/>
    </x:row>
    <x:row r="160">
      <x:c r="G160" s="32" t="str">
        <x:f>IF(E160=0,"",F160/E160)</x:f>
      </x:c>
      <x:c r="J160" s="32" t="str">
        <x:f>IF(H160=0,"",I160/H160)</x:f>
      </x:c>
      <x:c r="M160" s="32" t="str">
        <x:f>IF(K160=0,"",L160/K160)</x:f>
      </x:c>
      <x:c r="O160" s="32"/>
      <x:c r="P160" s="32"/>
    </x:row>
    <x:row r="161">
      <x:c r="G161" s="32" t="str">
        <x:f>IF(E161=0,"",F161/E161)</x:f>
      </x:c>
      <x:c r="J161" s="32" t="str">
        <x:f>IF(H161=0,"",I161/H161)</x:f>
      </x:c>
      <x:c r="M161" s="32" t="str">
        <x:f>IF(K161=0,"",L161/K161)</x:f>
      </x:c>
      <x:c r="O161" s="32"/>
      <x:c r="P161" s="32"/>
    </x:row>
    <x:row r="162">
      <x:c r="G162" s="32" t="str">
        <x:f>IF(E162=0,"",F162/E162)</x:f>
      </x:c>
      <x:c r="J162" s="32" t="str">
        <x:f>IF(H162=0,"",I162/H162)</x:f>
      </x:c>
      <x:c r="M162" s="32" t="str">
        <x:f>IF(K162=0,"",L162/K162)</x:f>
      </x:c>
      <x:c r="O162" s="32"/>
      <x:c r="P162" s="32"/>
    </x:row>
    <x:row r="163">
      <x:c r="G163" s="32" t="str">
        <x:f>IF(E163=0,"",F163/E163)</x:f>
      </x:c>
      <x:c r="J163" s="32" t="str">
        <x:f>IF(H163=0,"",I163/H163)</x:f>
      </x:c>
      <x:c r="M163" s="32" t="str">
        <x:f>IF(K163=0,"",L163/K163)</x:f>
      </x:c>
      <x:c r="O163" s="32"/>
      <x:c r="P163" s="32"/>
    </x:row>
    <x:row r="164">
      <x:c r="G164" s="32" t="str">
        <x:f>IF(E164=0,"",F164/E164)</x:f>
      </x:c>
      <x:c r="J164" s="32" t="str">
        <x:f>IF(H164=0,"",I164/H164)</x:f>
      </x:c>
      <x:c r="M164" s="32" t="str">
        <x:f>IF(K164=0,"",L164/K164)</x:f>
      </x:c>
      <x:c r="O164" s="32"/>
      <x:c r="P164" s="32"/>
    </x:row>
    <x:row r="165">
      <x:c r="G165" s="32" t="str">
        <x:f>IF(E165=0,"",F165/E165)</x:f>
      </x:c>
      <x:c r="J165" s="32" t="str">
        <x:f>IF(H165=0,"",I165/H165)</x:f>
      </x:c>
      <x:c r="M165" s="32" t="str">
        <x:f>IF(K165=0,"",L165/K165)</x:f>
      </x:c>
      <x:c r="O165" s="32"/>
      <x:c r="P165" s="32"/>
    </x:row>
    <x:row r="166">
      <x:c r="G166" s="32" t="str">
        <x:f>IF(E166=0,"",F166/E166)</x:f>
      </x:c>
      <x:c r="J166" s="32" t="str">
        <x:f>IF(H166=0,"",I166/H166)</x:f>
      </x:c>
      <x:c r="M166" s="32" t="str">
        <x:f>IF(K166=0,"",L166/K166)</x:f>
      </x:c>
      <x:c r="O166" s="32"/>
      <x:c r="P166" s="32"/>
    </x:row>
    <x:row r="167">
      <x:c r="G167" s="32" t="str">
        <x:f>IF(E167=0,"",F167/E167)</x:f>
      </x:c>
      <x:c r="J167" s="32" t="str">
        <x:f>IF(H167=0,"",I167/H167)</x:f>
      </x:c>
      <x:c r="M167" s="32" t="str">
        <x:f>IF(K167=0,"",L167/K167)</x:f>
      </x:c>
      <x:c r="O167" s="32"/>
      <x:c r="P167" s="32"/>
    </x:row>
    <x:row r="168">
      <x:c r="G168" s="32" t="str">
        <x:f>IF(E168=0,"",F168/E168)</x:f>
      </x:c>
      <x:c r="J168" s="32" t="str">
        <x:f>IF(H168=0,"",I168/H168)</x:f>
      </x:c>
      <x:c r="M168" s="32" t="str">
        <x:f>IF(K168=0,"",L168/K168)</x:f>
      </x:c>
      <x:c r="O168" s="32"/>
      <x:c r="P168" s="32"/>
    </x:row>
    <x:row r="169">
      <x:c r="G169" s="32" t="str">
        <x:f>IF(E169=0,"",F169/E169)</x:f>
      </x:c>
      <x:c r="J169" s="32" t="str">
        <x:f>IF(H169=0,"",I169/H169)</x:f>
      </x:c>
      <x:c r="M169" s="32" t="str">
        <x:f>IF(K169=0,"",L169/K169)</x:f>
      </x:c>
      <x:c r="O169" s="32"/>
      <x:c r="P169" s="32"/>
    </x:row>
    <x:row r="170">
      <x:c r="G170" s="32" t="str">
        <x:f>IF(E170=0,"",F170/E170)</x:f>
      </x:c>
      <x:c r="J170" s="32" t="str">
        <x:f>IF(H170=0,"",I170/H170)</x:f>
      </x:c>
      <x:c r="M170" s="32" t="str">
        <x:f>IF(K170=0,"",L170/K170)</x:f>
      </x:c>
      <x:c r="O170" s="32"/>
      <x:c r="P170" s="32"/>
    </x:row>
    <x:row r="171">
      <x:c r="G171" s="32" t="str">
        <x:f>IF(E171=0,"",F171/E171)</x:f>
      </x:c>
      <x:c r="J171" s="32" t="str">
        <x:f>IF(H171=0,"",I171/H171)</x:f>
      </x:c>
      <x:c r="M171" s="32" t="str">
        <x:f>IF(K171=0,"",L171/K171)</x:f>
      </x:c>
      <x:c r="O171" s="32"/>
      <x:c r="P171" s="32"/>
    </x:row>
    <x:row r="172">
      <x:c r="G172" s="32" t="str">
        <x:f>IF(E172=0,"",F172/E172)</x:f>
      </x:c>
      <x:c r="J172" s="32" t="str">
        <x:f>IF(H172=0,"",I172/H172)</x:f>
      </x:c>
      <x:c r="M172" s="32" t="str">
        <x:f>IF(K172=0,"",L172/K172)</x:f>
      </x:c>
      <x:c r="O172" s="32"/>
      <x:c r="P172" s="32"/>
    </x:row>
    <x:row r="173">
      <x:c r="G173" s="32" t="str">
        <x:f>IF(E173=0,"",F173/E173)</x:f>
      </x:c>
      <x:c r="J173" s="32" t="str">
        <x:f>IF(H173=0,"",I173/H173)</x:f>
      </x:c>
      <x:c r="M173" s="32" t="str">
        <x:f>IF(K173=0,"",L173/K173)</x:f>
      </x:c>
      <x:c r="O173" s="32"/>
      <x:c r="P173" s="32"/>
    </x:row>
    <x:row r="174">
      <x:c r="G174" s="32" t="str">
        <x:f>IF(E174=0,"",F174/E174)</x:f>
      </x:c>
      <x:c r="J174" s="32" t="str">
        <x:f>IF(H174=0,"",I174/H174)</x:f>
      </x:c>
      <x:c r="M174" s="32" t="str">
        <x:f>IF(K174=0,"",L174/K174)</x:f>
      </x:c>
      <x:c r="O174" s="32"/>
      <x:c r="P174" s="32"/>
    </x:row>
    <x:row r="175">
      <x:c r="G175" s="32" t="str">
        <x:f>IF(E175=0,"",F175/E175)</x:f>
      </x:c>
      <x:c r="J175" s="32" t="str">
        <x:f>IF(H175=0,"",I175/H175)</x:f>
      </x:c>
      <x:c r="M175" s="32" t="str">
        <x:f>IF(K175=0,"",L175/K175)</x:f>
      </x:c>
      <x:c r="O175" s="32"/>
      <x:c r="P175" s="32"/>
    </x:row>
    <x:row r="176">
      <x:c r="G176" s="32" t="str">
        <x:f>IF(E176=0,"",F176/E176)</x:f>
      </x:c>
      <x:c r="J176" s="32" t="str">
        <x:f>IF(H176=0,"",I176/H176)</x:f>
      </x:c>
      <x:c r="M176" s="32" t="str">
        <x:f>IF(K176=0,"",L176/K176)</x:f>
      </x:c>
      <x:c r="O176" s="32"/>
      <x:c r="P176" s="32"/>
    </x:row>
    <x:row r="177">
      <x:c r="G177" s="32" t="str">
        <x:f>IF(E177=0,"",F177/E177)</x:f>
      </x:c>
      <x:c r="J177" s="32" t="str">
        <x:f>IF(H177=0,"",I177/H177)</x:f>
      </x:c>
      <x:c r="M177" s="32" t="str">
        <x:f>IF(K177=0,"",L177/K177)</x:f>
      </x:c>
      <x:c r="O177" s="32"/>
      <x:c r="P177" s="32"/>
    </x:row>
    <x:row r="178">
      <x:c r="G178" s="32" t="str">
        <x:f>IF(E178=0,"",F178/E178)</x:f>
      </x:c>
      <x:c r="J178" s="32" t="str">
        <x:f>IF(H178=0,"",I178/H178)</x:f>
      </x:c>
      <x:c r="M178" s="32" t="str">
        <x:f>IF(K178=0,"",L178/K178)</x:f>
      </x:c>
      <x:c r="O178" s="32"/>
      <x:c r="P178" s="32"/>
    </x:row>
    <x:row r="179">
      <x:c r="G179" s="32" t="str">
        <x:f>IF(E179=0,"",F179/E179)</x:f>
      </x:c>
      <x:c r="J179" s="32" t="str">
        <x:f>IF(H179=0,"",I179/H179)</x:f>
      </x:c>
      <x:c r="M179" s="32" t="str">
        <x:f>IF(K179=0,"",L179/K179)</x:f>
      </x:c>
      <x:c r="O179" s="32"/>
      <x:c r="P179" s="32"/>
    </x:row>
    <x:row r="180">
      <x:c r="G180" s="32" t="str">
        <x:f>IF(E180=0,"",F180/E180)</x:f>
      </x:c>
      <x:c r="J180" s="32" t="str">
        <x:f>IF(H180=0,"",I180/H180)</x:f>
      </x:c>
      <x:c r="M180" s="32" t="str">
        <x:f>IF(K180=0,"",L180/K180)</x:f>
      </x:c>
      <x:c r="O180" s="32"/>
      <x:c r="P180" s="32"/>
    </x:row>
    <x:row r="181">
      <x:c r="G181" s="32" t="str">
        <x:f>IF(E181=0,"",F181/E181)</x:f>
      </x:c>
      <x:c r="J181" s="32" t="str">
        <x:f>IF(H181=0,"",I181/H181)</x:f>
      </x:c>
      <x:c r="M181" s="32" t="str">
        <x:f>IF(K181=0,"",L181/K181)</x:f>
      </x:c>
      <x:c r="O181" s="32"/>
      <x:c r="P181" s="32"/>
    </x:row>
    <x:row r="182">
      <x:c r="G182" s="32" t="str">
        <x:f>IF(E182=0,"",F182/E182)</x:f>
      </x:c>
      <x:c r="J182" s="32" t="str">
        <x:f>IF(H182=0,"",I182/H182)</x:f>
      </x:c>
      <x:c r="M182" s="32" t="str">
        <x:f>IF(K182=0,"",L182/K182)</x:f>
      </x:c>
      <x:c r="O182" s="32"/>
      <x:c r="P182" s="32"/>
    </x:row>
    <x:row r="183">
      <x:c r="G183" s="32" t="str">
        <x:f>IF(E183=0,"",F183/E183)</x:f>
      </x:c>
      <x:c r="J183" s="32" t="str">
        <x:f>IF(H183=0,"",I183/H183)</x:f>
      </x:c>
      <x:c r="M183" s="32" t="str">
        <x:f>IF(K183=0,"",L183/K183)</x:f>
      </x:c>
      <x:c r="O183" s="32"/>
      <x:c r="P183" s="32"/>
    </x:row>
    <x:row r="184">
      <x:c r="G184" s="32" t="str">
        <x:f>IF(E184=0,"",F184/E184)</x:f>
      </x:c>
      <x:c r="J184" s="32" t="str">
        <x:f>IF(H184=0,"",I184/H184)</x:f>
      </x:c>
      <x:c r="M184" s="32" t="str">
        <x:f>IF(K184=0,"",L184/K184)</x:f>
      </x:c>
      <x:c r="O184" s="32"/>
      <x:c r="P184" s="32"/>
    </x:row>
    <x:row r="185">
      <x:c r="G185" s="32" t="str">
        <x:f>IF(E185=0,"",F185/E185)</x:f>
      </x:c>
      <x:c r="J185" s="32" t="str">
        <x:f>IF(H185=0,"",I185/H185)</x:f>
      </x:c>
      <x:c r="M185" s="32" t="str">
        <x:f>IF(K185=0,"",L185/K185)</x:f>
      </x:c>
      <x:c r="O185" s="32"/>
      <x:c r="P185" s="32"/>
    </x:row>
    <x:row r="186">
      <x:c r="G186" s="32" t="str">
        <x:f>IF(E186=0,"",F186/E186)</x:f>
      </x:c>
      <x:c r="J186" s="32" t="str">
        <x:f>IF(H186=0,"",I186/H186)</x:f>
      </x:c>
      <x:c r="M186" s="32" t="str">
        <x:f>IF(K186=0,"",L186/K186)</x:f>
      </x:c>
      <x:c r="O186" s="32"/>
      <x:c r="P186" s="32"/>
    </x:row>
    <x:row r="187">
      <x:c r="G187" s="32" t="str">
        <x:f>IF(E187=0,"",F187/E187)</x:f>
      </x:c>
      <x:c r="J187" s="32" t="str">
        <x:f>IF(H187=0,"",I187/H187)</x:f>
      </x:c>
      <x:c r="M187" s="32" t="str">
        <x:f>IF(K187=0,"",L187/K187)</x:f>
      </x:c>
      <x:c r="O187" s="32"/>
      <x:c r="P187" s="32"/>
    </x:row>
    <x:row r="188">
      <x:c r="G188" s="32" t="str">
        <x:f>IF(E188=0,"",F188/E188)</x:f>
      </x:c>
      <x:c r="J188" s="32" t="str">
        <x:f>IF(H188=0,"",I188/H188)</x:f>
      </x:c>
      <x:c r="M188" s="32" t="str">
        <x:f>IF(K188=0,"",L188/K188)</x:f>
      </x:c>
      <x:c r="O188" s="32"/>
      <x:c r="P188" s="32"/>
    </x:row>
    <x:row r="189">
      <x:c r="G189" s="32" t="str">
        <x:f>IF(E189=0,"",F189/E189)</x:f>
      </x:c>
      <x:c r="J189" s="32" t="str">
        <x:f>IF(H189=0,"",I189/H189)</x:f>
      </x:c>
      <x:c r="M189" s="32" t="str">
        <x:f>IF(K189=0,"",L189/K189)</x:f>
      </x:c>
      <x:c r="O189" s="32"/>
      <x:c r="P189" s="32"/>
    </x:row>
    <x:row r="190">
      <x:c r="G190" s="32" t="str">
        <x:f>IF(E190=0,"",F190/E190)</x:f>
      </x:c>
      <x:c r="J190" s="32" t="str">
        <x:f>IF(H190=0,"",I190/H190)</x:f>
      </x:c>
      <x:c r="M190" s="32" t="str">
        <x:f>IF(K190=0,"",L190/K190)</x:f>
      </x:c>
      <x:c r="O190" s="32"/>
      <x:c r="P190" s="32"/>
    </x:row>
    <x:row r="191">
      <x:c r="G191" s="32" t="str">
        <x:f>IF(E191=0,"",F191/E191)</x:f>
      </x:c>
      <x:c r="J191" s="32" t="str">
        <x:f>IF(H191=0,"",I191/H191)</x:f>
      </x:c>
      <x:c r="M191" s="32" t="str">
        <x:f>IF(K191=0,"",L191/K191)</x:f>
      </x:c>
      <x:c r="O191" s="32"/>
      <x:c r="P191" s="32"/>
    </x:row>
    <x:row r="192">
      <x:c r="G192" s="32" t="str">
        <x:f>IF(E192=0,"",F192/E192)</x:f>
      </x:c>
      <x:c r="J192" s="32" t="str">
        <x:f>IF(H192=0,"",I192/H192)</x:f>
      </x:c>
      <x:c r="M192" s="32" t="str">
        <x:f>IF(K192=0,"",L192/K192)</x:f>
      </x:c>
      <x:c r="O192" s="32"/>
      <x:c r="P192" s="32"/>
    </x:row>
    <x:row r="193">
      <x:c r="G193" s="32" t="str">
        <x:f>IF(E193=0,"",F193/E193)</x:f>
      </x:c>
      <x:c r="J193" s="32" t="str">
        <x:f>IF(H193=0,"",I193/H193)</x:f>
      </x:c>
      <x:c r="M193" s="32" t="str">
        <x:f>IF(K193=0,"",L193/K193)</x:f>
      </x:c>
      <x:c r="O193" s="32"/>
      <x:c r="P193" s="32"/>
    </x:row>
    <x:row r="194">
      <x:c r="G194" s="32" t="str">
        <x:f>IF(E194=0,"",F194/E194)</x:f>
      </x:c>
      <x:c r="J194" s="32" t="str">
        <x:f>IF(H194=0,"",I194/H194)</x:f>
      </x:c>
      <x:c r="M194" s="32" t="str">
        <x:f>IF(K194=0,"",L194/K194)</x:f>
      </x:c>
      <x:c r="O194" s="32"/>
      <x:c r="P194" s="32"/>
    </x:row>
    <x:row r="195">
      <x:c r="G195" s="32" t="str">
        <x:f>IF(E195=0,"",F195/E195)</x:f>
      </x:c>
      <x:c r="J195" s="32" t="str">
        <x:f>IF(H195=0,"",I195/H195)</x:f>
      </x:c>
      <x:c r="M195" s="32" t="str">
        <x:f>IF(K195=0,"",L195/K195)</x:f>
      </x:c>
      <x:c r="O195" s="32"/>
      <x:c r="P195" s="32"/>
    </x:row>
    <x:row r="196">
      <x:c r="G196" s="32" t="str">
        <x:f>IF(E196=0,"",F196/E196)</x:f>
      </x:c>
      <x:c r="J196" s="32" t="str">
        <x:f>IF(H196=0,"",I196/H196)</x:f>
      </x:c>
      <x:c r="M196" s="32" t="str">
        <x:f>IF(K196=0,"",L196/K196)</x:f>
      </x:c>
      <x:c r="O196" s="32"/>
      <x:c r="P196" s="32"/>
    </x:row>
    <x:row r="197">
      <x:c r="G197" s="32" t="str">
        <x:f>IF(E197=0,"",F197/E197)</x:f>
      </x:c>
      <x:c r="J197" s="32" t="str">
        <x:f>IF(H197=0,"",I197/H197)</x:f>
      </x:c>
      <x:c r="M197" s="32" t="str">
        <x:f>IF(K197=0,"",L197/K197)</x:f>
      </x:c>
      <x:c r="O197" s="32"/>
      <x:c r="P197" s="32"/>
    </x:row>
    <x:row r="198">
      <x:c r="G198" s="32" t="str">
        <x:f>IF(E198=0,"",F198/E198)</x:f>
      </x:c>
      <x:c r="J198" s="32" t="str">
        <x:f>IF(H198=0,"",I198/H198)</x:f>
      </x:c>
      <x:c r="M198" s="32" t="str">
        <x:f>IF(K198=0,"",L198/K198)</x:f>
      </x:c>
      <x:c r="O198" s="32"/>
      <x:c r="P198" s="32"/>
    </x:row>
    <x:row r="199">
      <x:c r="G199" s="32" t="str">
        <x:f>IF(E199=0,"",F199/E199)</x:f>
      </x:c>
      <x:c r="J199" s="32" t="str">
        <x:f>IF(H199=0,"",I199/H199)</x:f>
      </x:c>
      <x:c r="M199" s="32" t="str">
        <x:f>IF(K199=0,"",L199/K199)</x:f>
      </x:c>
      <x:c r="O199" s="32"/>
      <x:c r="P199" s="32"/>
    </x:row>
    <x:row r="200">
      <x:c r="G200" s="32" t="str">
        <x:f>IF(E200=0,"",F200/E200)</x:f>
      </x:c>
      <x:c r="J200" s="32" t="str">
        <x:f>IF(H200=0,"",I200/H200)</x:f>
      </x:c>
      <x:c r="M200" s="32" t="str">
        <x:f>IF(K200=0,"",L200/K200)</x:f>
      </x:c>
      <x:c r="O200" s="32"/>
      <x:c r="P200" s="32"/>
    </x:row>
    <x:row r="201">
      <x:c r="G201" s="32" t="str">
        <x:f>IF(E201=0,"",F201/E201)</x:f>
      </x:c>
      <x:c r="J201" s="32" t="str">
        <x:f>IF(H201=0,"",I201/H201)</x:f>
      </x:c>
      <x:c r="M201" s="32" t="str">
        <x:f>IF(K201=0,"",L201/K201)</x:f>
      </x:c>
      <x:c r="O201" s="32"/>
      <x:c r="P201" s="32"/>
    </x:row>
    <x:row r="202">
      <x:c r="G202" s="32" t="str">
        <x:f>IF(E202=0,"",F202/E202)</x:f>
      </x:c>
      <x:c r="J202" s="32" t="str">
        <x:f>IF(H202=0,"",I202/H202)</x:f>
      </x:c>
      <x:c r="M202" s="32" t="str">
        <x:f>IF(K202=0,"",L202/K202)</x:f>
      </x:c>
      <x:c r="O202" s="32"/>
      <x:c r="P202" s="32"/>
    </x:row>
    <x:row r="203">
      <x:c r="G203" s="32" t="str">
        <x:f>IF(E203=0,"",F203/E203)</x:f>
      </x:c>
      <x:c r="J203" s="32" t="str">
        <x:f>IF(H203=0,"",I203/H203)</x:f>
      </x:c>
      <x:c r="M203" s="32" t="str">
        <x:f>IF(K203=0,"",L203/K203)</x:f>
      </x:c>
      <x:c r="O203" s="32"/>
      <x:c r="P203" s="32"/>
    </x:row>
    <x:row r="204">
      <x:c r="G204" s="32" t="str">
        <x:f>IF(E204=0,"",F204/E204)</x:f>
      </x:c>
      <x:c r="J204" s="32" t="str">
        <x:f>IF(H204=0,"",I204/H204)</x:f>
      </x:c>
      <x:c r="M204" s="32" t="str">
        <x:f>IF(K204=0,"",L204/K204)</x:f>
      </x:c>
      <x:c r="O204" s="32"/>
      <x:c r="P204" s="32"/>
    </x:row>
    <x:row r="205">
      <x:c r="G205" s="32" t="str">
        <x:f>IF(E205=0,"",F205/E205)</x:f>
      </x:c>
      <x:c r="J205" s="32" t="str">
        <x:f>IF(H205=0,"",I205/H205)</x:f>
      </x:c>
      <x:c r="M205" s="32" t="str">
        <x:f>IF(K205=0,"",L205/K205)</x:f>
      </x:c>
      <x:c r="O205" s="32"/>
      <x:c r="P205" s="32"/>
    </x:row>
    <x:row r="206">
      <x:c r="G206" s="32" t="str">
        <x:f>IF(E206=0,"",F206/E206)</x:f>
      </x:c>
      <x:c r="J206" s="32" t="str">
        <x:f>IF(H206=0,"",I206/H206)</x:f>
      </x:c>
      <x:c r="M206" s="32" t="str">
        <x:f>IF(K206=0,"",L206/K206)</x:f>
      </x:c>
      <x:c r="O206" s="32"/>
      <x:c r="P206" s="32"/>
    </x:row>
    <x:row r="207">
      <x:c r="G207" s="32" t="str">
        <x:f>IF(E207=0,"",F207/E207)</x:f>
      </x:c>
      <x:c r="J207" s="32" t="str">
        <x:f>IF(H207=0,"",I207/H207)</x:f>
      </x:c>
      <x:c r="M207" s="32" t="str">
        <x:f>IF(K207=0,"",L207/K207)</x:f>
      </x:c>
      <x:c r="O207" s="32"/>
      <x:c r="P207" s="32"/>
    </x:row>
    <x:row r="208">
      <x:c r="G208" s="32" t="str">
        <x:f>IF(E208=0,"",F208/E208)</x:f>
      </x:c>
      <x:c r="J208" s="32" t="str">
        <x:f>IF(H208=0,"",I208/H208)</x:f>
      </x:c>
      <x:c r="M208" s="32" t="str">
        <x:f>IF(K208=0,"",L208/K208)</x:f>
      </x:c>
      <x:c r="O208" s="32"/>
      <x:c r="P208" s="32"/>
    </x:row>
    <x:row r="209">
      <x:c r="G209" s="32" t="str">
        <x:f>IF(E209=0,"",F209/E209)</x:f>
      </x:c>
      <x:c r="J209" s="32" t="str">
        <x:f>IF(H209=0,"",I209/H209)</x:f>
      </x:c>
      <x:c r="M209" s="32" t="str">
        <x:f>IF(K209=0,"",L209/K209)</x:f>
      </x:c>
      <x:c r="O209" s="32"/>
      <x:c r="P209" s="32"/>
    </x:row>
    <x:row r="210">
      <x:c r="G210" s="32" t="str">
        <x:f>IF(E210=0,"",F210/E210)</x:f>
      </x:c>
      <x:c r="J210" s="32" t="str">
        <x:f>IF(H210=0,"",I210/H210)</x:f>
      </x:c>
      <x:c r="M210" s="32" t="str">
        <x:f>IF(K210=0,"",L210/K210)</x:f>
      </x:c>
      <x:c r="O210" s="32"/>
      <x:c r="P210" s="32"/>
    </x:row>
    <x:row r="211">
      <x:c r="G211" s="32" t="str">
        <x:f>IF(E211=0,"",F211/E211)</x:f>
      </x:c>
      <x:c r="J211" s="32" t="str">
        <x:f>IF(H211=0,"",I211/H211)</x:f>
      </x:c>
      <x:c r="M211" s="32" t="str">
        <x:f>IF(K211=0,"",L211/K211)</x:f>
      </x:c>
      <x:c r="O211" s="32"/>
      <x:c r="P211" s="32"/>
    </x:row>
    <x:row r="212">
      <x:c r="G212" s="32" t="str">
        <x:f>IF(E212=0,"",F212/E212)</x:f>
      </x:c>
      <x:c r="J212" s="32" t="str">
        <x:f>IF(H212=0,"",I212/H212)</x:f>
      </x:c>
      <x:c r="M212" s="32" t="str">
        <x:f>IF(K212=0,"",L212/K212)</x:f>
      </x:c>
      <x:c r="O212" s="32"/>
      <x:c r="P212" s="32"/>
    </x:row>
    <x:row r="213">
      <x:c r="G213" s="32" t="str">
        <x:f>IF(E213=0,"",F213/E213)</x:f>
      </x:c>
      <x:c r="J213" s="32" t="str">
        <x:f>IF(H213=0,"",I213/H213)</x:f>
      </x:c>
      <x:c r="M213" s="32" t="str">
        <x:f>IF(K213=0,"",L213/K213)</x:f>
      </x:c>
      <x:c r="O213" s="32"/>
      <x:c r="P213" s="32"/>
    </x:row>
    <x:row r="214">
      <x:c r="G214" s="32" t="str">
        <x:f>IF(E214=0,"",F214/E214)</x:f>
      </x:c>
      <x:c r="J214" s="32" t="str">
        <x:f>IF(H214=0,"",I214/H214)</x:f>
      </x:c>
      <x:c r="M214" s="32" t="str">
        <x:f>IF(K214=0,"",L214/K214)</x:f>
      </x:c>
      <x:c r="O214" s="32"/>
      <x:c r="P214" s="32"/>
    </x:row>
    <x:row r="215">
      <x:c r="G215" s="32" t="str">
        <x:f>IF(E215=0,"",F215/E215)</x:f>
      </x:c>
      <x:c r="J215" s="32" t="str">
        <x:f>IF(H215=0,"",I215/H215)</x:f>
      </x:c>
      <x:c r="M215" s="32" t="str">
        <x:f>IF(K215=0,"",L215/K215)</x:f>
      </x:c>
      <x:c r="O215" s="32"/>
      <x:c r="P215" s="32"/>
    </x:row>
    <x:row r="216">
      <x:c r="G216" s="32" t="str">
        <x:f>IF(E216=0,"",F216/E216)</x:f>
      </x:c>
      <x:c r="J216" s="32" t="str">
        <x:f>IF(H216=0,"",I216/H216)</x:f>
      </x:c>
      <x:c r="M216" s="32" t="str">
        <x:f>IF(K216=0,"",L216/K216)</x:f>
      </x:c>
      <x:c r="O216" s="32"/>
      <x:c r="P216" s="32"/>
    </x:row>
    <x:row r="217">
      <x:c r="G217" s="32" t="str">
        <x:f>IF(E217=0,"",F217/E217)</x:f>
      </x:c>
      <x:c r="J217" s="32" t="str">
        <x:f>IF(H217=0,"",I217/H217)</x:f>
      </x:c>
      <x:c r="M217" s="32" t="str">
        <x:f>IF(K217=0,"",L217/K217)</x:f>
      </x:c>
      <x:c r="O217" s="32"/>
      <x:c r="P217" s="32"/>
    </x:row>
    <x:row r="218">
      <x:c r="G218" s="32" t="str">
        <x:f>IF(E218=0,"",F218/E218)</x:f>
      </x:c>
      <x:c r="J218" s="32" t="str">
        <x:f>IF(H218=0,"",I218/H218)</x:f>
      </x:c>
      <x:c r="M218" s="32" t="str">
        <x:f>IF(K218=0,"",L218/K218)</x:f>
      </x:c>
      <x:c r="O218" s="32"/>
      <x:c r="P218" s="32"/>
    </x:row>
    <x:row r="219">
      <x:c r="G219" s="32" t="str">
        <x:f>IF(E219=0,"",F219/E219)</x:f>
      </x:c>
      <x:c r="J219" s="32" t="str">
        <x:f>IF(H219=0,"",I219/H219)</x:f>
      </x:c>
      <x:c r="M219" s="32" t="str">
        <x:f>IF(K219=0,"",L219/K219)</x:f>
      </x:c>
      <x:c r="O219" s="32"/>
      <x:c r="P219" s="32"/>
    </x:row>
    <x:row r="220">
      <x:c r="G220" s="32" t="str">
        <x:f>IF(E220=0,"",F220/E220)</x:f>
      </x:c>
      <x:c r="J220" s="32" t="str">
        <x:f>IF(H220=0,"",I220/H220)</x:f>
      </x:c>
      <x:c r="M220" s="32" t="str">
        <x:f>IF(K220=0,"",L220/K220)</x:f>
      </x:c>
      <x:c r="O220" s="32"/>
      <x:c r="P220" s="32"/>
    </x:row>
    <x:row r="221">
      <x:c r="G221" s="32" t="str">
        <x:f>IF(E221=0,"",F221/E221)</x:f>
      </x:c>
      <x:c r="J221" s="32" t="str">
        <x:f>IF(H221=0,"",I221/H221)</x:f>
      </x:c>
      <x:c r="M221" s="32" t="str">
        <x:f>IF(K221=0,"",L221/K221)</x:f>
      </x:c>
      <x:c r="O221" s="32"/>
      <x:c r="P221" s="32"/>
    </x:row>
    <x:row r="222">
      <x:c r="G222" s="32" t="str">
        <x:f>IF(E222=0,"",F222/E222)</x:f>
      </x:c>
      <x:c r="J222" s="32" t="str">
        <x:f>IF(H222=0,"",I222/H222)</x:f>
      </x:c>
      <x:c r="M222" s="32" t="str">
        <x:f>IF(K222=0,"",L222/K222)</x:f>
      </x:c>
      <x:c r="O222" s="32"/>
      <x:c r="P222" s="32"/>
    </x:row>
    <x:row r="223">
      <x:c r="G223" s="32" t="str">
        <x:f>IF(E223=0,"",F223/E223)</x:f>
      </x:c>
      <x:c r="J223" s="32" t="str">
        <x:f>IF(H223=0,"",I223/H223)</x:f>
      </x:c>
      <x:c r="M223" s="32" t="str">
        <x:f>IF(K223=0,"",L223/K223)</x:f>
      </x:c>
      <x:c r="O223" s="32"/>
      <x:c r="P223" s="32"/>
    </x:row>
    <x:row r="224">
      <x:c r="G224" s="32" t="str">
        <x:f>IF(E224=0,"",F224/E224)</x:f>
      </x:c>
      <x:c r="J224" s="32" t="str">
        <x:f>IF(H224=0,"",I224/H224)</x:f>
      </x:c>
      <x:c r="M224" s="32" t="str">
        <x:f>IF(K224=0,"",L224/K224)</x:f>
      </x:c>
      <x:c r="O224" s="32"/>
      <x:c r="P224" s="32"/>
    </x:row>
    <x:row r="225">
      <x:c r="G225" s="32" t="str">
        <x:f>IF(E225=0,"",F225/E225)</x:f>
      </x:c>
      <x:c r="J225" s="32" t="str">
        <x:f>IF(H225=0,"",I225/H225)</x:f>
      </x:c>
      <x:c r="M225" s="32" t="str">
        <x:f>IF(K225=0,"",L225/K225)</x:f>
      </x:c>
      <x:c r="O225" s="32"/>
      <x:c r="P225" s="32"/>
    </x:row>
    <x:row r="226">
      <x:c r="G226" s="32" t="str">
        <x:f>IF(E226=0,"",F226/E226)</x:f>
      </x:c>
      <x:c r="J226" s="32" t="str">
        <x:f>IF(H226=0,"",I226/H226)</x:f>
      </x:c>
      <x:c r="M226" s="32" t="str">
        <x:f>IF(K226=0,"",L226/K226)</x:f>
      </x:c>
      <x:c r="O226" s="32"/>
      <x:c r="P226" s="32"/>
    </x:row>
    <x:row r="227">
      <x:c r="G227" s="32" t="str">
        <x:f>IF(E227=0,"",F227/E227)</x:f>
      </x:c>
      <x:c r="J227" s="32" t="str">
        <x:f>IF(H227=0,"",I227/H227)</x:f>
      </x:c>
      <x:c r="M227" s="32" t="str">
        <x:f>IF(K227=0,"",L227/K227)</x:f>
      </x:c>
      <x:c r="O227" s="32"/>
      <x:c r="P227" s="32"/>
    </x:row>
    <x:row r="228">
      <x:c r="G228" s="32" t="str">
        <x:f>IF(E228=0,"",F228/E228)</x:f>
      </x:c>
      <x:c r="J228" s="32" t="str">
        <x:f>IF(H228=0,"",I228/H228)</x:f>
      </x:c>
      <x:c r="M228" s="32" t="str">
        <x:f>IF(K228=0,"",L228/K228)</x:f>
      </x:c>
      <x:c r="O228" s="32"/>
      <x:c r="P228" s="32"/>
    </x:row>
    <x:row r="229">
      <x:c r="G229" s="32" t="str">
        <x:f>IF(E229=0,"",F229/E229)</x:f>
      </x:c>
      <x:c r="J229" s="32" t="str">
        <x:f>IF(H229=0,"",I229/H229)</x:f>
      </x:c>
      <x:c r="M229" s="32" t="str">
        <x:f>IF(K229=0,"",L229/K229)</x:f>
      </x:c>
      <x:c r="O229" s="32"/>
      <x:c r="P229" s="32"/>
    </x:row>
    <x:row r="230">
      <x:c r="G230" s="32" t="str">
        <x:f>IF(E230=0,"",F230/E230)</x:f>
      </x:c>
      <x:c r="J230" s="32" t="str">
        <x:f>IF(H230=0,"",I230/H230)</x:f>
      </x:c>
      <x:c r="M230" s="32" t="str">
        <x:f>IF(K230=0,"",L230/K230)</x:f>
      </x:c>
      <x:c r="O230" s="32"/>
      <x:c r="P230" s="32"/>
    </x:row>
    <x:row r="231">
      <x:c r="G231" s="32" t="str">
        <x:f>IF(E231=0,"",F231/E231)</x:f>
      </x:c>
      <x:c r="J231" s="32" t="str">
        <x:f>IF(H231=0,"",I231/H231)</x:f>
      </x:c>
      <x:c r="M231" s="32" t="str">
        <x:f>IF(K231=0,"",L231/K231)</x:f>
      </x:c>
      <x:c r="O231" s="32"/>
      <x:c r="P231" s="32"/>
    </x:row>
    <x:row r="232">
      <x:c r="G232" s="32" t="str">
        <x:f>IF(E232=0,"",F232/E232)</x:f>
      </x:c>
      <x:c r="J232" s="32" t="str">
        <x:f>IF(H232=0,"",I232/H232)</x:f>
      </x:c>
      <x:c r="M232" s="32" t="str">
        <x:f>IF(K232=0,"",L232/K232)</x:f>
      </x:c>
      <x:c r="O232" s="32"/>
      <x:c r="P232" s="32"/>
    </x:row>
    <x:row r="233">
      <x:c r="G233" s="32" t="str">
        <x:f>IF(E233=0,"",F233/E233)</x:f>
      </x:c>
      <x:c r="J233" s="32" t="str">
        <x:f>IF(H233=0,"",I233/H233)</x:f>
      </x:c>
      <x:c r="M233" s="32" t="str">
        <x:f>IF(K233=0,"",L233/K233)</x:f>
      </x:c>
      <x:c r="O233" s="32"/>
      <x:c r="P233" s="32"/>
    </x:row>
    <x:row r="234">
      <x:c r="G234" s="32" t="str">
        <x:f>IF(E234=0,"",F234/E234)</x:f>
      </x:c>
      <x:c r="J234" s="32" t="str">
        <x:f>IF(H234=0,"",I234/H234)</x:f>
      </x:c>
      <x:c r="M234" s="32" t="str">
        <x:f>IF(K234=0,"",L234/K234)</x:f>
      </x:c>
      <x:c r="O234" s="32"/>
      <x:c r="P234" s="32"/>
    </x:row>
    <x:row r="235">
      <x:c r="G235" s="32" t="str">
        <x:f>IF(E235=0,"",F235/E235)</x:f>
      </x:c>
      <x:c r="J235" s="32" t="str">
        <x:f>IF(H235=0,"",I235/H235)</x:f>
      </x:c>
      <x:c r="M235" s="32" t="str">
        <x:f>IF(K235=0,"",L235/K235)</x:f>
      </x:c>
      <x:c r="O235" s="32"/>
      <x:c r="P235" s="32"/>
    </x:row>
    <x:row r="236">
      <x:c r="G236" s="32" t="str">
        <x:f>IF(E236=0,"",F236/E236)</x:f>
      </x:c>
      <x:c r="J236" s="32" t="str">
        <x:f>IF(H236=0,"",I236/H236)</x:f>
      </x:c>
      <x:c r="M236" s="32" t="str">
        <x:f>IF(K236=0,"",L236/K236)</x:f>
      </x:c>
      <x:c r="O236" s="32"/>
      <x:c r="P236" s="32"/>
    </x:row>
    <x:row r="237">
      <x:c r="G237" s="32" t="str">
        <x:f>IF(E237=0,"",F237/E237)</x:f>
      </x:c>
      <x:c r="J237" s="32" t="str">
        <x:f>IF(H237=0,"",I237/H237)</x:f>
      </x:c>
      <x:c r="M237" s="32" t="str">
        <x:f>IF(K237=0,"",L237/K237)</x:f>
      </x:c>
      <x:c r="O237" s="32"/>
      <x:c r="P237" s="32"/>
    </x:row>
    <x:row r="238">
      <x:c r="G238" s="32" t="str">
        <x:f>IF(E238=0,"",F238/E238)</x:f>
      </x:c>
      <x:c r="J238" s="32" t="str">
        <x:f>IF(H238=0,"",I238/H238)</x:f>
      </x:c>
      <x:c r="M238" s="32" t="str">
        <x:f>IF(K238=0,"",L238/K238)</x:f>
      </x:c>
      <x:c r="O238" s="32"/>
      <x:c r="P238" s="32"/>
    </x:row>
    <x:row r="239">
      <x:c r="G239" s="32" t="str">
        <x:f>IF(E239=0,"",F239/E239)</x:f>
      </x:c>
      <x:c r="J239" s="32" t="str">
        <x:f>IF(H239=0,"",I239/H239)</x:f>
      </x:c>
      <x:c r="M239" s="32" t="str">
        <x:f>IF(K239=0,"",L239/K239)</x:f>
      </x:c>
      <x:c r="O239" s="32"/>
      <x:c r="P239" s="32"/>
    </x:row>
    <x:row r="240">
      <x:c r="G240" s="32" t="str">
        <x:f>IF(E240=0,"",F240/E240)</x:f>
      </x:c>
      <x:c r="J240" s="32" t="str">
        <x:f>IF(H240=0,"",I240/H240)</x:f>
      </x:c>
      <x:c r="M240" s="32" t="str">
        <x:f>IF(K240=0,"",L240/K240)</x:f>
      </x:c>
      <x:c r="O240" s="32"/>
      <x:c r="P240" s="32"/>
    </x:row>
    <x:row r="241">
      <x:c r="G241" s="32" t="str">
        <x:f>IF(E241=0,"",F241/E241)</x:f>
      </x:c>
      <x:c r="J241" s="32" t="str">
        <x:f>IF(H241=0,"",I241/H241)</x:f>
      </x:c>
      <x:c r="M241" s="32" t="str">
        <x:f>IF(K241=0,"",L241/K241)</x:f>
      </x:c>
      <x:c r="O241" s="32"/>
      <x:c r="P241" s="32"/>
    </x:row>
    <x:row r="242">
      <x:c r="G242" s="32" t="str">
        <x:f>IF(E242=0,"",F242/E242)</x:f>
      </x:c>
      <x:c r="J242" s="32" t="str">
        <x:f>IF(H242=0,"",I242/H242)</x:f>
      </x:c>
      <x:c r="M242" s="32" t="str">
        <x:f>IF(K242=0,"",L242/K242)</x:f>
      </x:c>
      <x:c r="O242" s="32"/>
      <x:c r="P242" s="32"/>
    </x:row>
    <x:row r="243">
      <x:c r="G243" s="32" t="str">
        <x:f>IF(E243=0,"",F243/E243)</x:f>
      </x:c>
      <x:c r="J243" s="32" t="str">
        <x:f>IF(H243=0,"",I243/H243)</x:f>
      </x:c>
      <x:c r="M243" s="32" t="str">
        <x:f>IF(K243=0,"",L243/K243)</x:f>
      </x:c>
      <x:c r="O243" s="32"/>
      <x:c r="P243" s="32"/>
    </x:row>
    <x:row r="244">
      <x:c r="G244" s="32" t="str">
        <x:f>IF(E244=0,"",F244/E244)</x:f>
      </x:c>
      <x:c r="J244" s="32" t="str">
        <x:f>IF(H244=0,"",I244/H244)</x:f>
      </x:c>
      <x:c r="M244" s="32" t="str">
        <x:f>IF(K244=0,"",L244/K244)</x:f>
      </x:c>
      <x:c r="O244" s="32"/>
      <x:c r="P244" s="32"/>
    </x:row>
    <x:row r="245">
      <x:c r="G245" s="32" t="str">
        <x:f>IF(E245=0,"",F245/E245)</x:f>
      </x:c>
      <x:c r="J245" s="32" t="str">
        <x:f>IF(H245=0,"",I245/H245)</x:f>
      </x:c>
      <x:c r="M245" s="32" t="str">
        <x:f>IF(K245=0,"",L245/K245)</x:f>
      </x:c>
      <x:c r="O245" s="32"/>
      <x:c r="P245" s="32"/>
    </x:row>
    <x:row r="246">
      <x:c r="G246" s="32" t="str">
        <x:f>IF(E246=0,"",F246/E246)</x:f>
      </x:c>
      <x:c r="J246" s="32" t="str">
        <x:f>IF(H246=0,"",I246/H246)</x:f>
      </x:c>
      <x:c r="M246" s="32" t="str">
        <x:f>IF(K246=0,"",L246/K246)</x:f>
      </x:c>
      <x:c r="O246" s="32"/>
      <x:c r="P246" s="32"/>
    </x:row>
    <x:row r="247">
      <x:c r="G247" s="32" t="str">
        <x:f>IF(E247=0,"",F247/E247)</x:f>
      </x:c>
      <x:c r="J247" s="32" t="str">
        <x:f>IF(H247=0,"",I247/H247)</x:f>
      </x:c>
      <x:c r="M247" s="32" t="str">
        <x:f>IF(K247=0,"",L247/K247)</x:f>
      </x:c>
      <x:c r="O247" s="32"/>
      <x:c r="P247" s="32"/>
    </x:row>
    <x:row r="248">
      <x:c r="G248" s="32" t="str">
        <x:f>IF(E248=0,"",F248/E248)</x:f>
      </x:c>
      <x:c r="J248" s="32" t="str">
        <x:f>IF(H248=0,"",I248/H248)</x:f>
      </x:c>
      <x:c r="M248" s="32" t="str">
        <x:f>IF(K248=0,"",L248/K248)</x:f>
      </x:c>
      <x:c r="O248" s="32"/>
      <x:c r="P248" s="32"/>
    </x:row>
    <x:row r="249">
      <x:c r="G249" s="32" t="str">
        <x:f>IF(E249=0,"",F249/E249)</x:f>
      </x:c>
      <x:c r="J249" s="32" t="str">
        <x:f>IF(H249=0,"",I249/H249)</x:f>
      </x:c>
      <x:c r="M249" s="32" t="str">
        <x:f>IF(K249=0,"",L249/K249)</x:f>
      </x:c>
      <x:c r="O249" s="32"/>
      <x:c r="P249" s="32"/>
    </x:row>
    <x:row r="250">
      <x:c r="G250" s="32" t="str">
        <x:f>IF(E250=0,"",F250/E250)</x:f>
      </x:c>
      <x:c r="J250" s="32" t="str">
        <x:f>IF(H250=0,"",I250/H250)</x:f>
      </x:c>
      <x:c r="M250" s="32" t="str">
        <x:f>IF(K250=0,"",L250/K250)</x:f>
      </x:c>
      <x:c r="O250" s="32"/>
      <x:c r="P250" s="32"/>
    </x:row>
    <x:row r="251">
      <x:c r="G251" s="32" t="str">
        <x:f>IF(E251=0,"",F251/E251)</x:f>
      </x:c>
      <x:c r="J251" s="32" t="str">
        <x:f>IF(H251=0,"",I251/H251)</x:f>
      </x:c>
      <x:c r="M251" s="32" t="str">
        <x:f>IF(K251=0,"",L251/K251)</x:f>
      </x:c>
      <x:c r="O251" s="32"/>
      <x:c r="P251" s="32"/>
    </x:row>
    <x:row r="252">
      <x:c r="G252" s="32" t="str">
        <x:f>IF(E252=0,"",F252/E252)</x:f>
      </x:c>
      <x:c r="J252" s="32" t="str">
        <x:f>IF(H252=0,"",I252/H252)</x:f>
      </x:c>
      <x:c r="M252" s="32" t="str">
        <x:f>IF(K252=0,"",L252/K252)</x:f>
      </x:c>
      <x:c r="O252" s="32"/>
      <x:c r="P252" s="32"/>
    </x:row>
    <x:row r="253">
      <x:c r="G253" s="32" t="str">
        <x:f>IF(E253=0,"",F253/E253)</x:f>
      </x:c>
      <x:c r="J253" s="32" t="str">
        <x:f>IF(H253=0,"",I253/H253)</x:f>
      </x:c>
      <x:c r="M253" s="32" t="str">
        <x:f>IF(K253=0,"",L253/K253)</x:f>
      </x:c>
      <x:c r="O253" s="32"/>
      <x:c r="P253" s="32"/>
    </x:row>
    <x:row r="254">
      <x:c r="G254" s="32" t="str">
        <x:f>IF(E254=0,"",F254/E254)</x:f>
      </x:c>
      <x:c r="J254" s="32" t="str">
        <x:f>IF(H254=0,"",I254/H254)</x:f>
      </x:c>
      <x:c r="M254" s="32" t="str">
        <x:f>IF(K254=0,"",L254/K254)</x:f>
      </x:c>
      <x:c r="O254" s="32"/>
      <x:c r="P254" s="32"/>
    </x:row>
    <x:row r="255">
      <x:c r="G255" s="32" t="str">
        <x:f>IF(E255=0,"",F255/E255)</x:f>
      </x:c>
      <x:c r="J255" s="32" t="str">
        <x:f>IF(H255=0,"",I255/H255)</x:f>
      </x:c>
      <x:c r="M255" s="32" t="str">
        <x:f>IF(K255=0,"",L255/K255)</x:f>
      </x:c>
      <x:c r="O255" s="32"/>
      <x:c r="P255" s="32"/>
    </x:row>
    <x:row r="256">
      <x:c r="G256" s="32" t="str">
        <x:f>IF(E256=0,"",F256/E256)</x:f>
      </x:c>
      <x:c r="J256" s="32" t="str">
        <x:f>IF(H256=0,"",I256/H256)</x:f>
      </x:c>
      <x:c r="M256" s="32" t="str">
        <x:f>IF(K256=0,"",L256/K256)</x:f>
      </x:c>
      <x:c r="O256" s="32"/>
      <x:c r="P256" s="32"/>
    </x:row>
    <x:row r="257">
      <x:c r="G257" s="32" t="str">
        <x:f>IF(E257=0,"",F257/E257)</x:f>
      </x:c>
      <x:c r="J257" s="32" t="str">
        <x:f>IF(H257=0,"",I257/H257)</x:f>
      </x:c>
      <x:c r="M257" s="32" t="str">
        <x:f>IF(K257=0,"",L257/K257)</x:f>
      </x:c>
      <x:c r="O257" s="32"/>
      <x:c r="P257" s="32"/>
    </x:row>
    <x:row r="258">
      <x:c r="G258" s="32" t="str">
        <x:f>IF(E258=0,"",F258/E258)</x:f>
      </x:c>
      <x:c r="J258" s="32" t="str">
        <x:f>IF(H258=0,"",I258/H258)</x:f>
      </x:c>
      <x:c r="M258" s="32" t="str">
        <x:f>IF(K258=0,"",L258/K258)</x:f>
      </x:c>
      <x:c r="O258" s="32"/>
      <x:c r="P258" s="32"/>
    </x:row>
    <x:row r="259">
      <x:c r="G259" s="32" t="str">
        <x:f>IF(E259=0,"",F259/E259)</x:f>
      </x:c>
      <x:c r="J259" s="32" t="str">
        <x:f>IF(H259=0,"",I259/H259)</x:f>
      </x:c>
      <x:c r="M259" s="32" t="str">
        <x:f>IF(K259=0,"",L259/K259)</x:f>
      </x:c>
      <x:c r="O259" s="32"/>
      <x:c r="P259" s="32"/>
    </x:row>
    <x:row r="260">
      <x:c r="G260" s="32" t="str">
        <x:f>IF(E260=0,"",F260/E260)</x:f>
      </x:c>
      <x:c r="J260" s="32" t="str">
        <x:f>IF(H260=0,"",I260/H260)</x:f>
      </x:c>
      <x:c r="M260" s="32" t="str">
        <x:f>IF(K260=0,"",L260/K260)</x:f>
      </x:c>
      <x:c r="O260" s="32"/>
      <x:c r="P260" s="32"/>
    </x:row>
    <x:row r="261">
      <x:c r="G261" s="32" t="str">
        <x:f>IF(E261=0,"",F261/E261)</x:f>
      </x:c>
      <x:c r="J261" s="32" t="str">
        <x:f>IF(H261=0,"",I261/H261)</x:f>
      </x:c>
      <x:c r="M261" s="32" t="str">
        <x:f>IF(K261=0,"",L261/K261)</x:f>
      </x:c>
      <x:c r="O261" s="32"/>
      <x:c r="P261" s="32"/>
    </x:row>
    <x:row r="262">
      <x:c r="G262" s="32" t="str">
        <x:f>IF(E262=0,"",F262/E262)</x:f>
      </x:c>
      <x:c r="J262" s="32" t="str">
        <x:f>IF(H262=0,"",I262/H262)</x:f>
      </x:c>
      <x:c r="M262" s="32" t="str">
        <x:f>IF(K262=0,"",L262/K262)</x:f>
      </x:c>
      <x:c r="O262" s="32"/>
      <x:c r="P262" s="32"/>
    </x:row>
    <x:row r="263">
      <x:c r="G263" s="32" t="str">
        <x:f>IF(E263=0,"",F263/E263)</x:f>
      </x:c>
      <x:c r="J263" s="32" t="str">
        <x:f>IF(H263=0,"",I263/H263)</x:f>
      </x:c>
      <x:c r="M263" s="32" t="str">
        <x:f>IF(K263=0,"",L263/K263)</x:f>
      </x:c>
      <x:c r="O263" s="32"/>
      <x:c r="P263" s="32"/>
    </x:row>
    <x:row r="264">
      <x:c r="G264" s="32" t="str">
        <x:f>IF(E264=0,"",F264/E264)</x:f>
      </x:c>
      <x:c r="J264" s="32" t="str">
        <x:f>IF(H264=0,"",I264/H264)</x:f>
      </x:c>
      <x:c r="M264" s="32" t="str">
        <x:f>IF(K264=0,"",L264/K264)</x:f>
      </x:c>
      <x:c r="O264" s="32"/>
      <x:c r="P264" s="32"/>
    </x:row>
    <x:row r="265">
      <x:c r="G265" s="32" t="str">
        <x:f>IF(E265=0,"",F265/E265)</x:f>
      </x:c>
      <x:c r="J265" s="32" t="str">
        <x:f>IF(H265=0,"",I265/H265)</x:f>
      </x:c>
      <x:c r="M265" s="32" t="str">
        <x:f>IF(K265=0,"",L265/K265)</x:f>
      </x:c>
      <x:c r="O265" s="32"/>
      <x:c r="P265" s="32"/>
    </x:row>
    <x:row r="266">
      <x:c r="G266" s="32" t="str">
        <x:f>IF(E266=0,"",F266/E266)</x:f>
      </x:c>
      <x:c r="J266" s="32" t="str">
        <x:f>IF(H266=0,"",I266/H266)</x:f>
      </x:c>
      <x:c r="M266" s="32" t="str">
        <x:f>IF(K266=0,"",L266/K266)</x:f>
      </x:c>
      <x:c r="O266" s="32"/>
      <x:c r="P266" s="32"/>
    </x:row>
    <x:row r="267">
      <x:c r="G267" s="32" t="str">
        <x:f>IF(E267=0,"",F267/E267)</x:f>
      </x:c>
      <x:c r="J267" s="32" t="str">
        <x:f>IF(H267=0,"",I267/H267)</x:f>
      </x:c>
      <x:c r="M267" s="32" t="str">
        <x:f>IF(K267=0,"",L267/K267)</x:f>
      </x:c>
      <x:c r="O267" s="32"/>
      <x:c r="P267" s="32"/>
    </x:row>
    <x:row r="268">
      <x:c r="G268" s="32" t="str">
        <x:f>IF(E268=0,"",F268/E268)</x:f>
      </x:c>
      <x:c r="J268" s="32" t="str">
        <x:f>IF(H268=0,"",I268/H268)</x:f>
      </x:c>
      <x:c r="M268" s="32" t="str">
        <x:f>IF(K268=0,"",L268/K268)</x:f>
      </x:c>
      <x:c r="O268" s="32"/>
      <x:c r="P268" s="32"/>
    </x:row>
    <x:row r="269">
      <x:c r="G269" s="32" t="str">
        <x:f>IF(E269=0,"",F269/E269)</x:f>
      </x:c>
      <x:c r="J269" s="32" t="str">
        <x:f>IF(H269=0,"",I269/H269)</x:f>
      </x:c>
      <x:c r="M269" s="32" t="str">
        <x:f>IF(K269=0,"",L269/K269)</x:f>
      </x:c>
      <x:c r="O269" s="32"/>
      <x:c r="P269" s="32"/>
    </x:row>
    <x:row r="270">
      <x:c r="G270" s="32" t="str">
        <x:f>IF(E270=0,"",F270/E270)</x:f>
      </x:c>
      <x:c r="J270" s="32" t="str">
        <x:f>IF(H270=0,"",I270/H270)</x:f>
      </x:c>
      <x:c r="M270" s="32" t="str">
        <x:f>IF(K270=0,"",L270/K270)</x:f>
      </x:c>
      <x:c r="O270" s="32"/>
      <x:c r="P270" s="32"/>
    </x:row>
    <x:row r="271">
      <x:c r="G271" s="32" t="str">
        <x:f>IF(E271=0,"",F271/E271)</x:f>
      </x:c>
      <x:c r="J271" s="32" t="str">
        <x:f>IF(H271=0,"",I271/H271)</x:f>
      </x:c>
      <x:c r="M271" s="32" t="str">
        <x:f>IF(K271=0,"",L271/K271)</x:f>
      </x:c>
      <x:c r="O271" s="32"/>
      <x:c r="P271" s="32"/>
    </x:row>
    <x:row r="272">
      <x:c r="G272" s="32" t="str">
        <x:f>IF(E272=0,"",F272/E272)</x:f>
      </x:c>
      <x:c r="J272" s="32" t="str">
        <x:f>IF(H272=0,"",I272/H272)</x:f>
      </x:c>
      <x:c r="M272" s="32" t="str">
        <x:f>IF(K272=0,"",L272/K272)</x:f>
      </x:c>
      <x:c r="O272" s="32"/>
      <x:c r="P272" s="32"/>
    </x:row>
    <x:row r="273">
      <x:c r="G273" s="32" t="str">
        <x:f>IF(E273=0,"",F273/E273)</x:f>
      </x:c>
      <x:c r="J273" s="32" t="str">
        <x:f>IF(H273=0,"",I273/H273)</x:f>
      </x:c>
      <x:c r="M273" s="32" t="str">
        <x:f>IF(K273=0,"",L273/K273)</x:f>
      </x:c>
      <x:c r="O273" s="32"/>
      <x:c r="P273" s="32"/>
    </x:row>
    <x:row r="274">
      <x:c r="G274" s="32" t="str">
        <x:f>IF(E274=0,"",F274/E274)</x:f>
      </x:c>
      <x:c r="J274" s="32" t="str">
        <x:f>IF(H274=0,"",I274/H274)</x:f>
      </x:c>
      <x:c r="M274" s="32" t="str">
        <x:f>IF(K274=0,"",L274/K274)</x:f>
      </x:c>
      <x:c r="O274" s="32"/>
      <x:c r="P274" s="32"/>
    </x:row>
    <x:row r="275">
      <x:c r="G275" s="32" t="str">
        <x:f>IF(E275=0,"",F275/E275)</x:f>
      </x:c>
      <x:c r="J275" s="32" t="str">
        <x:f>IF(H275=0,"",I275/H275)</x:f>
      </x:c>
      <x:c r="M275" s="32" t="str">
        <x:f>IF(K275=0,"",L275/K275)</x:f>
      </x:c>
      <x:c r="O275" s="32"/>
      <x:c r="P275" s="32"/>
    </x:row>
    <x:row r="276">
      <x:c r="G276" s="32" t="str">
        <x:f>IF(E276=0,"",F276/E276)</x:f>
      </x:c>
      <x:c r="J276" s="32" t="str">
        <x:f>IF(H276=0,"",I276/H276)</x:f>
      </x:c>
      <x:c r="M276" s="32" t="str">
        <x:f>IF(K276=0,"",L276/K276)</x:f>
      </x:c>
      <x:c r="O276" s="32"/>
      <x:c r="P276" s="32"/>
    </x:row>
    <x:row r="277">
      <x:c r="G277" s="32" t="str">
        <x:f>IF(E277=0,"",F277/E277)</x:f>
      </x:c>
      <x:c r="J277" s="32" t="str">
        <x:f>IF(H277=0,"",I277/H277)</x:f>
      </x:c>
      <x:c r="M277" s="32" t="str">
        <x:f>IF(K277=0,"",L277/K277)</x:f>
      </x:c>
      <x:c r="O277" s="32"/>
      <x:c r="P277" s="32"/>
    </x:row>
    <x:row r="278">
      <x:c r="G278" s="32" t="str">
        <x:f>IF(E278=0,"",F278/E278)</x:f>
      </x:c>
      <x:c r="J278" s="32" t="str">
        <x:f>IF(H278=0,"",I278/H278)</x:f>
      </x:c>
      <x:c r="M278" s="32" t="str">
        <x:f>IF(K278=0,"",L278/K278)</x:f>
      </x:c>
      <x:c r="O278" s="32"/>
      <x:c r="P278" s="32"/>
    </x:row>
    <x:row r="279">
      <x:c r="G279" s="32" t="str">
        <x:f>IF(E279=0,"",F279/E279)</x:f>
      </x:c>
      <x:c r="J279" s="32" t="str">
        <x:f>IF(H279=0,"",I279/H279)</x:f>
      </x:c>
      <x:c r="M279" s="32" t="str">
        <x:f>IF(K279=0,"",L279/K279)</x:f>
      </x:c>
      <x:c r="O279" s="32"/>
      <x:c r="P279" s="32"/>
    </x:row>
    <x:row r="280">
      <x:c r="G280" s="32" t="str">
        <x:f>IF(E280=0,"",F280/E280)</x:f>
      </x:c>
      <x:c r="J280" s="32" t="str">
        <x:f>IF(H280=0,"",I280/H280)</x:f>
      </x:c>
      <x:c r="M280" s="32" t="str">
        <x:f>IF(K280=0,"",L280/K280)</x:f>
      </x:c>
      <x:c r="O280" s="32"/>
      <x:c r="P280" s="32"/>
    </x:row>
    <x:row r="281">
      <x:c r="G281" s="32" t="str">
        <x:f>IF(E281=0,"",F281/E281)</x:f>
      </x:c>
      <x:c r="J281" s="32" t="str">
        <x:f>IF(H281=0,"",I281/H281)</x:f>
      </x:c>
      <x:c r="M281" s="32" t="str">
        <x:f>IF(K281=0,"",L281/K281)</x:f>
      </x:c>
      <x:c r="O281" s="32"/>
      <x:c r="P281" s="32"/>
    </x:row>
    <x:row r="282">
      <x:c r="G282" s="32" t="str">
        <x:f>IF(E282=0,"",F282/E282)</x:f>
      </x:c>
      <x:c r="J282" s="32" t="str">
        <x:f>IF(H282=0,"",I282/H282)</x:f>
      </x:c>
      <x:c r="M282" s="32" t="str">
        <x:f>IF(K282=0,"",L282/K282)</x:f>
      </x:c>
      <x:c r="O282" s="32"/>
      <x:c r="P282" s="32"/>
    </x:row>
    <x:row r="283">
      <x:c r="G283" s="32" t="str">
        <x:f>IF(E283=0,"",F283/E283)</x:f>
      </x:c>
      <x:c r="J283" s="32" t="str">
        <x:f>IF(H283=0,"",I283/H283)</x:f>
      </x:c>
      <x:c r="M283" s="32" t="str">
        <x:f>IF(K283=0,"",L283/K283)</x:f>
      </x:c>
      <x:c r="O283" s="32"/>
      <x:c r="P283" s="32"/>
    </x:row>
    <x:row r="284">
      <x:c r="G284" s="32" t="str">
        <x:f>IF(E284=0,"",F284/E284)</x:f>
      </x:c>
      <x:c r="J284" s="32" t="str">
        <x:f>IF(H284=0,"",I284/H284)</x:f>
      </x:c>
      <x:c r="M284" s="32" t="str">
        <x:f>IF(K284=0,"",L284/K284)</x:f>
      </x:c>
      <x:c r="O284" s="32"/>
      <x:c r="P284" s="32"/>
    </x:row>
    <x:row r="285">
      <x:c r="G285" s="32" t="str">
        <x:f>IF(E285=0,"",F285/E285)</x:f>
      </x:c>
      <x:c r="J285" s="32" t="str">
        <x:f>IF(H285=0,"",I285/H285)</x:f>
      </x:c>
      <x:c r="M285" s="32" t="str">
        <x:f>IF(K285=0,"",L285/K285)</x:f>
      </x:c>
      <x:c r="O285" s="32"/>
      <x:c r="P285" s="32"/>
    </x:row>
    <x:row r="286">
      <x:c r="G286" s="32" t="str">
        <x:f>IF(E286=0,"",F286/E286)</x:f>
      </x:c>
      <x:c r="J286" s="32" t="str">
        <x:f>IF(H286=0,"",I286/H286)</x:f>
      </x:c>
      <x:c r="M286" s="32" t="str">
        <x:f>IF(K286=0,"",L286/K286)</x:f>
      </x:c>
      <x:c r="O286" s="32"/>
      <x:c r="P286" s="32"/>
    </x:row>
    <x:row r="287">
      <x:c r="G287" s="32" t="str">
        <x:f>IF(E287=0,"",F287/E287)</x:f>
      </x:c>
      <x:c r="J287" s="32" t="str">
        <x:f>IF(H287=0,"",I287/H287)</x:f>
      </x:c>
      <x:c r="M287" s="32" t="str">
        <x:f>IF(K287=0,"",L287/K287)</x:f>
      </x:c>
      <x:c r="O287" s="32"/>
      <x:c r="P287" s="32"/>
    </x:row>
    <x:row r="288">
      <x:c r="G288" s="32" t="str">
        <x:f>IF(E288=0,"",F288/E288)</x:f>
      </x:c>
      <x:c r="J288" s="32" t="str">
        <x:f>IF(H288=0,"",I288/H288)</x:f>
      </x:c>
      <x:c r="M288" s="32" t="str">
        <x:f>IF(K288=0,"",L288/K288)</x:f>
      </x:c>
      <x:c r="O288" s="32"/>
      <x:c r="P288" s="32"/>
    </x:row>
    <x:row r="289">
      <x:c r="G289" s="32" t="str">
        <x:f>IF(E289=0,"",F289/E289)</x:f>
      </x:c>
      <x:c r="J289" s="32" t="str">
        <x:f>IF(H289=0,"",I289/H289)</x:f>
      </x:c>
      <x:c r="M289" s="32" t="str">
        <x:f>IF(K289=0,"",L289/K289)</x:f>
      </x:c>
      <x:c r="O289" s="32"/>
      <x:c r="P289" s="32"/>
    </x:row>
    <x:row r="290">
      <x:c r="G290" s="32" t="str">
        <x:f>IF(E290=0,"",F290/E290)</x:f>
      </x:c>
      <x:c r="J290" s="32" t="str">
        <x:f>IF(H290=0,"",I290/H290)</x:f>
      </x:c>
      <x:c r="M290" s="32" t="str">
        <x:f>IF(K290=0,"",L290/K290)</x:f>
      </x:c>
      <x:c r="O290" s="32"/>
      <x:c r="P290" s="32"/>
    </x:row>
    <x:row r="291">
      <x:c r="G291" s="32" t="str">
        <x:f>IF(E291=0,"",F291/E291)</x:f>
      </x:c>
      <x:c r="J291" s="32" t="str">
        <x:f>IF(H291=0,"",I291/H291)</x:f>
      </x:c>
      <x:c r="M291" s="32" t="str">
        <x:f>IF(K291=0,"",L291/K291)</x:f>
      </x:c>
      <x:c r="O291" s="32"/>
      <x:c r="P291" s="32"/>
    </x:row>
    <x:row r="292">
      <x:c r="G292" s="32" t="str">
        <x:f>IF(E292=0,"",F292/E292)</x:f>
      </x:c>
      <x:c r="J292" s="32" t="str">
        <x:f>IF(H292=0,"",I292/H292)</x:f>
      </x:c>
      <x:c r="M292" s="32" t="str">
        <x:f>IF(K292=0,"",L292/K292)</x:f>
      </x:c>
      <x:c r="O292" s="32"/>
      <x:c r="P292" s="32"/>
    </x:row>
    <x:row r="293">
      <x:c r="G293" s="32" t="str">
        <x:f>IF(E293=0,"",F293/E293)</x:f>
      </x:c>
      <x:c r="J293" s="32" t="str">
        <x:f>IF(H293=0,"",I293/H293)</x:f>
      </x:c>
      <x:c r="M293" s="32" t="str">
        <x:f>IF(K293=0,"",L293/K293)</x:f>
      </x:c>
      <x:c r="O293" s="32"/>
      <x:c r="P293" s="32"/>
    </x:row>
    <x:row r="294">
      <x:c r="G294" s="32" t="str">
        <x:f>IF(E294=0,"",F294/E294)</x:f>
      </x:c>
      <x:c r="J294" s="32" t="str">
        <x:f>IF(H294=0,"",I294/H294)</x:f>
      </x:c>
      <x:c r="M294" s="32" t="str">
        <x:f>IF(K294=0,"",L294/K294)</x:f>
      </x:c>
      <x:c r="O294" s="32"/>
      <x:c r="P294" s="32"/>
    </x:row>
    <x:row r="295">
      <x:c r="G295" s="32" t="str">
        <x:f>IF(E295=0,"",F295/E295)</x:f>
      </x:c>
      <x:c r="J295" s="32" t="str">
        <x:f>IF(H295=0,"",I295/H295)</x:f>
      </x:c>
      <x:c r="M295" s="32" t="str">
        <x:f>IF(K295=0,"",L295/K295)</x:f>
      </x:c>
      <x:c r="O295" s="32"/>
      <x:c r="P295" s="32"/>
    </x:row>
    <x:row r="296">
      <x:c r="G296" s="32" t="str">
        <x:f>IF(E296=0,"",F296/E296)</x:f>
      </x:c>
      <x:c r="J296" s="32" t="str">
        <x:f>IF(H296=0,"",I296/H296)</x:f>
      </x:c>
      <x:c r="M296" s="32" t="str">
        <x:f>IF(K296=0,"",L296/K296)</x:f>
      </x:c>
      <x:c r="O296" s="32"/>
      <x:c r="P296" s="32"/>
    </x:row>
    <x:row r="297">
      <x:c r="G297" s="32" t="str">
        <x:f>IF(E297=0,"",F297/E297)</x:f>
      </x:c>
      <x:c r="J297" s="32" t="str">
        <x:f>IF(H297=0,"",I297/H297)</x:f>
      </x:c>
      <x:c r="M297" s="32" t="str">
        <x:f>IF(K297=0,"",L297/K297)</x:f>
      </x:c>
      <x:c r="O297" s="32"/>
      <x:c r="P297" s="32"/>
    </x:row>
    <x:row r="298">
      <x:c r="G298" s="32" t="str">
        <x:f>IF(E298=0,"",F298/E298)</x:f>
      </x:c>
      <x:c r="J298" s="32" t="str">
        <x:f>IF(H298=0,"",I298/H298)</x:f>
      </x:c>
      <x:c r="M298" s="32" t="str">
        <x:f>IF(K298=0,"",L298/K298)</x:f>
      </x:c>
      <x:c r="O298" s="32"/>
      <x:c r="P298" s="32"/>
    </x:row>
    <x:row r="299">
      <x:c r="G299" s="32" t="str">
        <x:f>IF(E299=0,"",F299/E299)</x:f>
      </x:c>
      <x:c r="J299" s="32" t="str">
        <x:f>IF(H299=0,"",I299/H299)</x:f>
      </x:c>
      <x:c r="M299" s="32" t="str">
        <x:f>IF(K299=0,"",L299/K299)</x:f>
      </x:c>
      <x:c r="O299" s="32"/>
      <x:c r="P299" s="32"/>
    </x:row>
    <x:row r="300">
      <x:c r="G300" s="32" t="str">
        <x:f>IF(E300=0,"",F300/E300)</x:f>
      </x:c>
      <x:c r="J300" s="32" t="str">
        <x:f>IF(H300=0,"",I300/H300)</x:f>
      </x:c>
      <x:c r="M300" s="32" t="str">
        <x:f>IF(K300=0,"",L300/K300)</x:f>
      </x:c>
      <x:c r="O300" s="32"/>
      <x:c r="P300" s="32"/>
    </x:row>
    <x:row r="301">
      <x:c r="G301" s="32" t="str">
        <x:f>IF(E301=0,"",F301/E301)</x:f>
      </x:c>
      <x:c r="J301" s="32" t="str">
        <x:f>IF(H301=0,"",I301/H301)</x:f>
      </x:c>
      <x:c r="M301" s="32" t="str">
        <x:f>IF(K301=0,"",L301/K301)</x:f>
      </x:c>
      <x:c r="O301" s="32"/>
      <x:c r="P301" s="32"/>
    </x:row>
  </x:sheetData>
  <x:dataValidations count="2">
    <x:dataValidation type="list" sqref="D2:D301">
      <x:formula1>"Over 2.5,Under 2.5"</x:formula1>
    </x:dataValidation>
    <x:dataValidation type="list" sqref="Q2:Q301">
      <x:formula1>"Candidate,Validate,Forward Test,Paper Bet,Reject"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eb3e1e819741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0" hidden="0" customWidth="1"/>
  </x:cols>
  <x:sheetData>
    <x:row r="1">
      <x:c r="A1" s="48" t="str">
        <x:v>Bet_ID</x:v>
      </x:c>
      <x:c r="B1" s="48" t="str">
        <x:v>Date</x:v>
      </x:c>
      <x:c r="C1" s="48" t="str">
        <x:v>Match_ID</x:v>
      </x:c>
      <x:c r="D1" s="48" t="str">
        <x:v>League</x:v>
      </x:c>
      <x:c r="E1" s="48" t="str">
        <x:v>Home_Team</x:v>
      </x:c>
      <x:c r="F1" s="48" t="str">
        <x:v>Away_Team</x:v>
      </x:c>
      <x:c r="G1" s="48" t="str">
        <x:v>Pattern_ID</x:v>
      </x:c>
      <x:c r="H1" s="48" t="str">
        <x:v>Selection</x:v>
      </x:c>
      <x:c r="I1" s="48" t="str">
        <x:v>Model_Probability</x:v>
      </x:c>
      <x:c r="J1" s="48" t="str">
        <x:v>Odds</x:v>
      </x:c>
      <x:c r="K1" s="48" t="str">
        <x:v>Implied_Probability</x:v>
      </x:c>
      <x:c r="L1" s="48" t="str">
        <x:v>Edge</x:v>
      </x:c>
      <x:c r="M1" s="48" t="str">
        <x:v>Stake_Units</x:v>
      </x:c>
      <x:c r="N1" s="48" t="str">
        <x:v>Result</x:v>
      </x:c>
      <x:c r="O1" s="48" t="str">
        <x:v>Profit_Units</x:v>
      </x:c>
      <x:c r="P1" s="48" t="str">
        <x:v>Closing_Odds</x:v>
      </x:c>
      <x:c r="Q1" s="48" t="str">
        <x:v>CLV</x:v>
      </x:c>
      <x:c r="R1" s="48" t="str">
        <x:v>Running_Profit</x:v>
      </x:c>
      <x:c r="S1" s="48" t="str">
        <x:v>Notes</x:v>
      </x:c>
    </x:row>
    <x:row r="2">
      <x:c r="A2" t="str">
        <x:v>PB-0001</x:v>
      </x:c>
      <x:c r="B2" s="28" t="str">
        <x:v>2026-08-20</x:v>
      </x:c>
      <x:c r="C2" t="str">
        <x:v>MLS-2026-08-19-SKC-STL</x:v>
      </x:c>
      <x:c r="D2" t="str">
        <x:v>MLS</x:v>
      </x:c>
      <x:c r="E2" t="str">
        <x:v>Sporting Kansas City</x:v>
      </x:c>
      <x:c r="F2" t="str">
        <x:v>St. Louis CITY SC</x:v>
      </x:c>
      <x:c r="G2" t="str">
        <x:v>P002</x:v>
      </x:c>
      <x:c r="H2" t="str">
        <x:v>Under 3.5</x:v>
      </x:c>
      <x:c r="I2" s="32" t="n">
        <x:f>'Model_v0.1.4'!E13</x:f>
        <x:v>0.6685050217049702</x:v>
      </x:c>
      <x:c r="J2" s="30" t="n">
        <x:v>1.606060606060606</x:v>
      </x:c>
      <x:c r="K2" s="32" t="n">
        <x:f>IF(J2="","",1/J2)</x:f>
        <x:v>0.6226415094339623</x:v>
      </x:c>
      <x:c r="L2" s="32" t="n">
        <x:f>IF(OR(I2="",K2=""),"",I2-K2)</x:f>
        <x:v>0.04586351227100782</x:v>
      </x:c>
      <x:c r="M2" s="30" t="n">
        <x:v>1</x:v>
      </x:c>
      <x:c r="N2" s="30" t="str">
        <x:v>PENDING</x:v>
      </x:c>
      <x:c r="O2" s="30" t="n">
        <x:f>IF(OR(M2="",N2=""),"",IF(N2="WIN",M2*(J2-1),IF(N2="LOSS",-M2,0)))</x:f>
        <x:v>0</x:v>
      </x:c>
      <x:c r="P2" s="30"/>
      <x:c r="Q2" s="30" t="str">
        <x:f>IF(OR(J2="",P2=""),"",J2/P2-1)</x:f>
      </x:c>
      <x:c r="R2" s="30" t="str">
        <x:f>IF(O2="","",SUM($O$2:O2))</x:f>
      </x:c>
      <x:c r="S2" t="str">
        <x:v>First official paper-test candidate. Price/model gate passes; validation and lineup gates do not yet pass.</x:v>
      </x:c>
    </x:row>
    <x:row r="3">
      <x:c r="B3" s="28"/>
      <x:c r="I3" s="32"/>
      <x:c r="J3" s="30"/>
      <x:c r="K3" s="32" t="str">
        <x:f>IF(J3="","",1/J3)</x:f>
      </x:c>
      <x:c r="L3" s="32" t="str">
        <x:f>IF(OR(I3="",K3=""),"",I3-K3)</x:f>
      </x:c>
      <x:c r="M3" s="30"/>
      <x:c r="N3" s="30"/>
      <x:c r="O3" s="30" t="str">
        <x:f>IF(OR(M3="",N3=""),"",IF(N3="WIN",M3*(J3-1),IF(N3="LOSS",-M3,0)))</x:f>
      </x:c>
      <x:c r="P3" s="30"/>
      <x:c r="Q3" s="30" t="str">
        <x:f>IF(OR(J3="",P3=""),"",J3/P3-1)</x:f>
      </x:c>
      <x:c r="R3" s="30" t="str">
        <x:f>IF(O3="","",SUM($O$2:O3))</x:f>
      </x:c>
    </x:row>
    <x:row r="4">
      <x:c r="B4" s="28"/>
      <x:c r="I4" s="32"/>
      <x:c r="J4" s="30"/>
      <x:c r="K4" s="32" t="str">
        <x:f>IF(J4="","",1/J4)</x:f>
      </x:c>
      <x:c r="L4" s="32" t="str">
        <x:f>IF(OR(I4="",K4=""),"",I4-K4)</x:f>
      </x:c>
      <x:c r="M4" s="30"/>
      <x:c r="N4" s="30"/>
      <x:c r="O4" s="30" t="str">
        <x:f>IF(OR(M4="",N4=""),"",IF(N4="WIN",M4*(J4-1),IF(N4="LOSS",-M4,0)))</x:f>
      </x:c>
      <x:c r="P4" s="30"/>
      <x:c r="Q4" s="30" t="str">
        <x:f>IF(OR(J4="",P4=""),"",J4/P4-1)</x:f>
      </x:c>
      <x:c r="R4" s="30" t="str">
        <x:f>IF(O4="","",SUM($O$2:O4))</x:f>
      </x:c>
    </x:row>
    <x:row r="5">
      <x:c r="B5" s="28"/>
      <x:c r="I5" s="32"/>
      <x:c r="J5" s="30"/>
      <x:c r="K5" s="32" t="str">
        <x:f>IF(J5="","",1/J5)</x:f>
      </x:c>
      <x:c r="L5" s="32" t="str">
        <x:f>IF(OR(I5="",K5=""),"",I5-K5)</x:f>
      </x:c>
      <x:c r="M5" s="30"/>
      <x:c r="N5" s="30"/>
      <x:c r="O5" s="30" t="str">
        <x:f>IF(OR(M5="",N5=""),"",IF(N5="WIN",M5*(J5-1),IF(N5="LOSS",-M5,0)))</x:f>
      </x:c>
      <x:c r="P5" s="30"/>
      <x:c r="Q5" s="30" t="str">
        <x:f>IF(OR(J5="",P5=""),"",J5/P5-1)</x:f>
      </x:c>
      <x:c r="R5" s="30" t="str">
        <x:f>IF(O5="","",SUM($O$2:O5))</x:f>
      </x:c>
    </x:row>
    <x:row r="6">
      <x:c r="B6" s="28"/>
      <x:c r="I6" s="32"/>
      <x:c r="J6" s="30"/>
      <x:c r="K6" s="32" t="str">
        <x:f>IF(J6="","",1/J6)</x:f>
      </x:c>
      <x:c r="L6" s="32" t="str">
        <x:f>IF(OR(I6="",K6=""),"",I6-K6)</x:f>
      </x:c>
      <x:c r="M6" s="30"/>
      <x:c r="N6" s="30"/>
      <x:c r="O6" s="30" t="str">
        <x:f>IF(OR(M6="",N6=""),"",IF(N6="WIN",M6*(J6-1),IF(N6="LOSS",-M6,0)))</x:f>
      </x:c>
      <x:c r="P6" s="30"/>
      <x:c r="Q6" s="30" t="str">
        <x:f>IF(OR(J6="",P6=""),"",J6/P6-1)</x:f>
      </x:c>
      <x:c r="R6" s="30" t="str">
        <x:f>IF(O6="","",SUM($O$2:O6))</x:f>
      </x:c>
    </x:row>
    <x:row r="7">
      <x:c r="B7" s="28"/>
      <x:c r="I7" s="32"/>
      <x:c r="J7" s="30"/>
      <x:c r="K7" s="32" t="str">
        <x:f>IF(J7="","",1/J7)</x:f>
      </x:c>
      <x:c r="L7" s="32" t="str">
        <x:f>IF(OR(I7="",K7=""),"",I7-K7)</x:f>
      </x:c>
      <x:c r="M7" s="30"/>
      <x:c r="N7" s="30"/>
      <x:c r="O7" s="30" t="str">
        <x:f>IF(OR(M7="",N7=""),"",IF(N7="WIN",M7*(J7-1),IF(N7="LOSS",-M7,0)))</x:f>
      </x:c>
      <x:c r="P7" s="30"/>
      <x:c r="Q7" s="30" t="str">
        <x:f>IF(OR(J7="",P7=""),"",J7/P7-1)</x:f>
      </x:c>
      <x:c r="R7" s="30" t="str">
        <x:f>IF(O7="","",SUM($O$2:O7))</x:f>
      </x:c>
    </x:row>
    <x:row r="8">
      <x:c r="B8" s="28"/>
      <x:c r="I8" s="32"/>
      <x:c r="J8" s="30"/>
      <x:c r="K8" s="32" t="str">
        <x:f>IF(J8="","",1/J8)</x:f>
      </x:c>
      <x:c r="L8" s="32" t="str">
        <x:f>IF(OR(I8="",K8=""),"",I8-K8)</x:f>
      </x:c>
      <x:c r="M8" s="30"/>
      <x:c r="N8" s="30"/>
      <x:c r="O8" s="30" t="str">
        <x:f>IF(OR(M8="",N8=""),"",IF(N8="WIN",M8*(J8-1),IF(N8="LOSS",-M8,0)))</x:f>
      </x:c>
      <x:c r="P8" s="30"/>
      <x:c r="Q8" s="30" t="str">
        <x:f>IF(OR(J8="",P8=""),"",J8/P8-1)</x:f>
      </x:c>
      <x:c r="R8" s="30" t="str">
        <x:f>IF(O8="","",SUM($O$2:O8))</x:f>
      </x:c>
    </x:row>
    <x:row r="9">
      <x:c r="B9" s="28"/>
      <x:c r="I9" s="32"/>
      <x:c r="J9" s="30"/>
      <x:c r="K9" s="32" t="str">
        <x:f>IF(J9="","",1/J9)</x:f>
      </x:c>
      <x:c r="L9" s="32" t="str">
        <x:f>IF(OR(I9="",K9=""),"",I9-K9)</x:f>
      </x:c>
      <x:c r="M9" s="30"/>
      <x:c r="N9" s="30"/>
      <x:c r="O9" s="30" t="str">
        <x:f>IF(OR(M9="",N9=""),"",IF(N9="WIN",M9*(J9-1),IF(N9="LOSS",-M9,0)))</x:f>
      </x:c>
      <x:c r="P9" s="30"/>
      <x:c r="Q9" s="30" t="str">
        <x:f>IF(OR(J9="",P9=""),"",J9/P9-1)</x:f>
      </x:c>
      <x:c r="R9" s="30" t="str">
        <x:f>IF(O9="","",SUM($O$2:O9))</x:f>
      </x:c>
    </x:row>
    <x:row r="10">
      <x:c r="B10" s="28"/>
      <x:c r="I10" s="32"/>
      <x:c r="J10" s="30"/>
      <x:c r="K10" s="32" t="str">
        <x:f>IF(J10="","",1/J10)</x:f>
      </x:c>
      <x:c r="L10" s="32" t="str">
        <x:f>IF(OR(I10="",K10=""),"",I10-K10)</x:f>
      </x:c>
      <x:c r="M10" s="30"/>
      <x:c r="N10" s="30"/>
      <x:c r="O10" s="30" t="str">
        <x:f>IF(OR(M10="",N10=""),"",IF(N10="WIN",M10*(J10-1),IF(N10="LOSS",-M10,0)))</x:f>
      </x:c>
      <x:c r="P10" s="30"/>
      <x:c r="Q10" s="30" t="str">
        <x:f>IF(OR(J10="",P10=""),"",J10/P10-1)</x:f>
      </x:c>
      <x:c r="R10" s="30" t="str">
        <x:f>IF(O10="","",SUM($O$2:O10))</x:f>
      </x:c>
    </x:row>
    <x:row r="11">
      <x:c r="B11" s="28"/>
      <x:c r="I11" s="32"/>
      <x:c r="J11" s="30"/>
      <x:c r="K11" s="32" t="str">
        <x:f>IF(J11="","",1/J11)</x:f>
      </x:c>
      <x:c r="L11" s="32" t="str">
        <x:f>IF(OR(I11="",K11=""),"",I11-K11)</x:f>
      </x:c>
      <x:c r="M11" s="30"/>
      <x:c r="N11" s="30"/>
      <x:c r="O11" s="30" t="str">
        <x:f>IF(OR(M11="",N11=""),"",IF(N11="WIN",M11*(J11-1),IF(N11="LOSS",-M11,0)))</x:f>
      </x:c>
      <x:c r="P11" s="30"/>
      <x:c r="Q11" s="30" t="str">
        <x:f>IF(OR(J11="",P11=""),"",J11/P11-1)</x:f>
      </x:c>
      <x:c r="R11" s="30" t="str">
        <x:f>IF(O11="","",SUM($O$2:O11))</x:f>
      </x:c>
    </x:row>
    <x:row r="12">
      <x:c r="B12" s="28"/>
      <x:c r="I12" s="32"/>
      <x:c r="J12" s="30"/>
      <x:c r="K12" s="32" t="str">
        <x:f>IF(J12="","",1/J12)</x:f>
      </x:c>
      <x:c r="L12" s="32" t="str">
        <x:f>IF(OR(I12="",K12=""),"",I12-K12)</x:f>
      </x:c>
      <x:c r="M12" s="30"/>
      <x:c r="N12" s="30"/>
      <x:c r="O12" s="30" t="str">
        <x:f>IF(OR(M12="",N12=""),"",IF(N12="WIN",M12*(J12-1),IF(N12="LOSS",-M12,0)))</x:f>
      </x:c>
      <x:c r="P12" s="30"/>
      <x:c r="Q12" s="30" t="str">
        <x:f>IF(OR(J12="",P12=""),"",J12/P12-1)</x:f>
      </x:c>
      <x:c r="R12" s="30" t="str">
        <x:f>IF(O12="","",SUM($O$2:O12))</x:f>
      </x:c>
    </x:row>
    <x:row r="13">
      <x:c r="B13" s="28"/>
      <x:c r="I13" s="32"/>
      <x:c r="J13" s="30"/>
      <x:c r="K13" s="32" t="str">
        <x:f>IF(J13="","",1/J13)</x:f>
      </x:c>
      <x:c r="L13" s="32" t="str">
        <x:f>IF(OR(I13="",K13=""),"",I13-K13)</x:f>
      </x:c>
      <x:c r="M13" s="30"/>
      <x:c r="N13" s="30"/>
      <x:c r="O13" s="30" t="str">
        <x:f>IF(OR(M13="",N13=""),"",IF(N13="WIN",M13*(J13-1),IF(N13="LOSS",-M13,0)))</x:f>
      </x:c>
      <x:c r="P13" s="30"/>
      <x:c r="Q13" s="30" t="str">
        <x:f>IF(OR(J13="",P13=""),"",J13/P13-1)</x:f>
      </x:c>
      <x:c r="R13" s="30" t="str">
        <x:f>IF(O13="","",SUM($O$2:O13))</x:f>
      </x:c>
    </x:row>
    <x:row r="14">
      <x:c r="B14" s="28"/>
      <x:c r="I14" s="32"/>
      <x:c r="J14" s="30"/>
      <x:c r="K14" s="32" t="str">
        <x:f>IF(J14="","",1/J14)</x:f>
      </x:c>
      <x:c r="L14" s="32" t="str">
        <x:f>IF(OR(I14="",K14=""),"",I14-K14)</x:f>
      </x:c>
      <x:c r="M14" s="30"/>
      <x:c r="N14" s="30"/>
      <x:c r="O14" s="30" t="str">
        <x:f>IF(OR(M14="",N14=""),"",IF(N14="WIN",M14*(J14-1),IF(N14="LOSS",-M14,0)))</x:f>
      </x:c>
      <x:c r="P14" s="30"/>
      <x:c r="Q14" s="30" t="str">
        <x:f>IF(OR(J14="",P14=""),"",J14/P14-1)</x:f>
      </x:c>
      <x:c r="R14" s="30" t="str">
        <x:f>IF(O14="","",SUM($O$2:O14))</x:f>
      </x:c>
    </x:row>
    <x:row r="15">
      <x:c r="B15" s="28"/>
      <x:c r="I15" s="32"/>
      <x:c r="J15" s="30"/>
      <x:c r="K15" s="32" t="str">
        <x:f>IF(J15="","",1/J15)</x:f>
      </x:c>
      <x:c r="L15" s="32" t="str">
        <x:f>IF(OR(I15="",K15=""),"",I15-K15)</x:f>
      </x:c>
      <x:c r="M15" s="30"/>
      <x:c r="N15" s="30"/>
      <x:c r="O15" s="30" t="str">
        <x:f>IF(OR(M15="",N15=""),"",IF(N15="WIN",M15*(J15-1),IF(N15="LOSS",-M15,0)))</x:f>
      </x:c>
      <x:c r="P15" s="30"/>
      <x:c r="Q15" s="30" t="str">
        <x:f>IF(OR(J15="",P15=""),"",J15/P15-1)</x:f>
      </x:c>
      <x:c r="R15" s="30" t="str">
        <x:f>IF(O15="","",SUM($O$2:O15))</x:f>
      </x:c>
    </x:row>
    <x:row r="16">
      <x:c r="B16" s="28"/>
      <x:c r="I16" s="32"/>
      <x:c r="J16" s="30"/>
      <x:c r="K16" s="32" t="str">
        <x:f>IF(J16="","",1/J16)</x:f>
      </x:c>
      <x:c r="L16" s="32" t="str">
        <x:f>IF(OR(I16="",K16=""),"",I16-K16)</x:f>
      </x:c>
      <x:c r="M16" s="30"/>
      <x:c r="N16" s="30"/>
      <x:c r="O16" s="30" t="str">
        <x:f>IF(OR(M16="",N16=""),"",IF(N16="WIN",M16*(J16-1),IF(N16="LOSS",-M16,0)))</x:f>
      </x:c>
      <x:c r="P16" s="30"/>
      <x:c r="Q16" s="30" t="str">
        <x:f>IF(OR(J16="",P16=""),"",J16/P16-1)</x:f>
      </x:c>
      <x:c r="R16" s="30" t="str">
        <x:f>IF(O16="","",SUM($O$2:O16))</x:f>
      </x:c>
    </x:row>
    <x:row r="17">
      <x:c r="B17" s="28"/>
      <x:c r="I17" s="32"/>
      <x:c r="J17" s="30"/>
      <x:c r="K17" s="32" t="str">
        <x:f>IF(J17="","",1/J17)</x:f>
      </x:c>
      <x:c r="L17" s="32" t="str">
        <x:f>IF(OR(I17="",K17=""),"",I17-K17)</x:f>
      </x:c>
      <x:c r="M17" s="30"/>
      <x:c r="N17" s="30"/>
      <x:c r="O17" s="30" t="str">
        <x:f>IF(OR(M17="",N17=""),"",IF(N17="WIN",M17*(J17-1),IF(N17="LOSS",-M17,0)))</x:f>
      </x:c>
      <x:c r="P17" s="30"/>
      <x:c r="Q17" s="30" t="str">
        <x:f>IF(OR(J17="",P17=""),"",J17/P17-1)</x:f>
      </x:c>
      <x:c r="R17" s="30" t="str">
        <x:f>IF(O17="","",SUM($O$2:O17))</x:f>
      </x:c>
    </x:row>
    <x:row r="18">
      <x:c r="B18" s="28"/>
      <x:c r="I18" s="32"/>
      <x:c r="J18" s="30"/>
      <x:c r="K18" s="32" t="str">
        <x:f>IF(J18="","",1/J18)</x:f>
      </x:c>
      <x:c r="L18" s="32" t="str">
        <x:f>IF(OR(I18="",K18=""),"",I18-K18)</x:f>
      </x:c>
      <x:c r="M18" s="30"/>
      <x:c r="N18" s="30"/>
      <x:c r="O18" s="30" t="str">
        <x:f>IF(OR(M18="",N18=""),"",IF(N18="WIN",M18*(J18-1),IF(N18="LOSS",-M18,0)))</x:f>
      </x:c>
      <x:c r="P18" s="30"/>
      <x:c r="Q18" s="30" t="str">
        <x:f>IF(OR(J18="",P18=""),"",J18/P18-1)</x:f>
      </x:c>
      <x:c r="R18" s="30" t="str">
        <x:f>IF(O18="","",SUM($O$2:O18))</x:f>
      </x:c>
    </x:row>
    <x:row r="19">
      <x:c r="B19" s="28"/>
      <x:c r="I19" s="32"/>
      <x:c r="J19" s="30"/>
      <x:c r="K19" s="32" t="str">
        <x:f>IF(J19="","",1/J19)</x:f>
      </x:c>
      <x:c r="L19" s="32" t="str">
        <x:f>IF(OR(I19="",K19=""),"",I19-K19)</x:f>
      </x:c>
      <x:c r="M19" s="30"/>
      <x:c r="N19" s="30"/>
      <x:c r="O19" s="30" t="str">
        <x:f>IF(OR(M19="",N19=""),"",IF(N19="WIN",M19*(J19-1),IF(N19="LOSS",-M19,0)))</x:f>
      </x:c>
      <x:c r="P19" s="30"/>
      <x:c r="Q19" s="30" t="str">
        <x:f>IF(OR(J19="",P19=""),"",J19/P19-1)</x:f>
      </x:c>
      <x:c r="R19" s="30" t="str">
        <x:f>IF(O19="","",SUM($O$2:O19))</x:f>
      </x:c>
    </x:row>
    <x:row r="20">
      <x:c r="B20" s="28"/>
      <x:c r="I20" s="32"/>
      <x:c r="J20" s="30"/>
      <x:c r="K20" s="32" t="str">
        <x:f>IF(J20="","",1/J20)</x:f>
      </x:c>
      <x:c r="L20" s="32" t="str">
        <x:f>IF(OR(I20="",K20=""),"",I20-K20)</x:f>
      </x:c>
      <x:c r="M20" s="30"/>
      <x:c r="N20" s="30"/>
      <x:c r="O20" s="30" t="str">
        <x:f>IF(OR(M20="",N20=""),"",IF(N20="WIN",M20*(J20-1),IF(N20="LOSS",-M20,0)))</x:f>
      </x:c>
      <x:c r="P20" s="30"/>
      <x:c r="Q20" s="30" t="str">
        <x:f>IF(OR(J20="",P20=""),"",J20/P20-1)</x:f>
      </x:c>
      <x:c r="R20" s="30" t="str">
        <x:f>IF(O20="","",SUM($O$2:O20))</x:f>
      </x:c>
    </x:row>
    <x:row r="21">
      <x:c r="B21" s="28"/>
      <x:c r="I21" s="32"/>
      <x:c r="J21" s="30"/>
      <x:c r="K21" s="32" t="str">
        <x:f>IF(J21="","",1/J21)</x:f>
      </x:c>
      <x:c r="L21" s="32" t="str">
        <x:f>IF(OR(I21="",K21=""),"",I21-K21)</x:f>
      </x:c>
      <x:c r="M21" s="30"/>
      <x:c r="N21" s="30"/>
      <x:c r="O21" s="30" t="str">
        <x:f>IF(OR(M21="",N21=""),"",IF(N21="WIN",M21*(J21-1),IF(N21="LOSS",-M21,0)))</x:f>
      </x:c>
      <x:c r="P21" s="30"/>
      <x:c r="Q21" s="30" t="str">
        <x:f>IF(OR(J21="",P21=""),"",J21/P21-1)</x:f>
      </x:c>
      <x:c r="R21" s="30" t="str">
        <x:f>IF(O21="","",SUM($O$2:O21))</x:f>
      </x:c>
    </x:row>
    <x:row r="22">
      <x:c r="B22" s="28"/>
      <x:c r="I22" s="32"/>
      <x:c r="J22" s="30"/>
      <x:c r="K22" s="32" t="str">
        <x:f>IF(J22="","",1/J22)</x:f>
      </x:c>
      <x:c r="L22" s="32" t="str">
        <x:f>IF(OR(I22="",K22=""),"",I22-K22)</x:f>
      </x:c>
      <x:c r="M22" s="30"/>
      <x:c r="N22" s="30"/>
      <x:c r="O22" s="30" t="str">
        <x:f>IF(OR(M22="",N22=""),"",IF(N22="WIN",M22*(J22-1),IF(N22="LOSS",-M22,0)))</x:f>
      </x:c>
      <x:c r="P22" s="30"/>
      <x:c r="Q22" s="30" t="str">
        <x:f>IF(OR(J22="",P22=""),"",J22/P22-1)</x:f>
      </x:c>
      <x:c r="R22" s="30" t="str">
        <x:f>IF(O22="","",SUM($O$2:O22))</x:f>
      </x:c>
    </x:row>
    <x:row r="23">
      <x:c r="B23" s="28"/>
      <x:c r="I23" s="32"/>
      <x:c r="J23" s="30"/>
      <x:c r="K23" s="32" t="str">
        <x:f>IF(J23="","",1/J23)</x:f>
      </x:c>
      <x:c r="L23" s="32" t="str">
        <x:f>IF(OR(I23="",K23=""),"",I23-K23)</x:f>
      </x:c>
      <x:c r="M23" s="30"/>
      <x:c r="N23" s="30"/>
      <x:c r="O23" s="30" t="str">
        <x:f>IF(OR(M23="",N23=""),"",IF(N23="WIN",M23*(J23-1),IF(N23="LOSS",-M23,0)))</x:f>
      </x:c>
      <x:c r="P23" s="30"/>
      <x:c r="Q23" s="30" t="str">
        <x:f>IF(OR(J23="",P23=""),"",J23/P23-1)</x:f>
      </x:c>
      <x:c r="R23" s="30" t="str">
        <x:f>IF(O23="","",SUM($O$2:O23))</x:f>
      </x:c>
    </x:row>
    <x:row r="24">
      <x:c r="B24" s="28"/>
      <x:c r="I24" s="32"/>
      <x:c r="J24" s="30"/>
      <x:c r="K24" s="32" t="str">
        <x:f>IF(J24="","",1/J24)</x:f>
      </x:c>
      <x:c r="L24" s="32" t="str">
        <x:f>IF(OR(I24="",K24=""),"",I24-K24)</x:f>
      </x:c>
      <x:c r="M24" s="30"/>
      <x:c r="N24" s="30"/>
      <x:c r="O24" s="30" t="str">
        <x:f>IF(OR(M24="",N24=""),"",IF(N24="WIN",M24*(J24-1),IF(N24="LOSS",-M24,0)))</x:f>
      </x:c>
      <x:c r="P24" s="30"/>
      <x:c r="Q24" s="30" t="str">
        <x:f>IF(OR(J24="",P24=""),"",J24/P24-1)</x:f>
      </x:c>
      <x:c r="R24" s="30" t="str">
        <x:f>IF(O24="","",SUM($O$2:O24))</x:f>
      </x:c>
    </x:row>
    <x:row r="25">
      <x:c r="B25" s="28"/>
      <x:c r="I25" s="32"/>
      <x:c r="J25" s="30"/>
      <x:c r="K25" s="32" t="str">
        <x:f>IF(J25="","",1/J25)</x:f>
      </x:c>
      <x:c r="L25" s="32" t="str">
        <x:f>IF(OR(I25="",K25=""),"",I25-K25)</x:f>
      </x:c>
      <x:c r="M25" s="30"/>
      <x:c r="N25" s="30"/>
      <x:c r="O25" s="30" t="str">
        <x:f>IF(OR(M25="",N25=""),"",IF(N25="WIN",M25*(J25-1),IF(N25="LOSS",-M25,0)))</x:f>
      </x:c>
      <x:c r="P25" s="30"/>
      <x:c r="Q25" s="30" t="str">
        <x:f>IF(OR(J25="",P25=""),"",J25/P25-1)</x:f>
      </x:c>
      <x:c r="R25" s="30" t="str">
        <x:f>IF(O25="","",SUM($O$2:O25))</x:f>
      </x:c>
    </x:row>
    <x:row r="26">
      <x:c r="B26" s="28"/>
      <x:c r="I26" s="32"/>
      <x:c r="J26" s="30"/>
      <x:c r="K26" s="32" t="str">
        <x:f>IF(J26="","",1/J26)</x:f>
      </x:c>
      <x:c r="L26" s="32" t="str">
        <x:f>IF(OR(I26="",K26=""),"",I26-K26)</x:f>
      </x:c>
      <x:c r="M26" s="30"/>
      <x:c r="N26" s="30"/>
      <x:c r="O26" s="30" t="str">
        <x:f>IF(OR(M26="",N26=""),"",IF(N26="WIN",M26*(J26-1),IF(N26="LOSS",-M26,0)))</x:f>
      </x:c>
      <x:c r="P26" s="30"/>
      <x:c r="Q26" s="30" t="str">
        <x:f>IF(OR(J26="",P26=""),"",J26/P26-1)</x:f>
      </x:c>
      <x:c r="R26" s="30" t="str">
        <x:f>IF(O26="","",SUM($O$2:O26))</x:f>
      </x:c>
    </x:row>
    <x:row r="27">
      <x:c r="B27" s="28"/>
      <x:c r="I27" s="32"/>
      <x:c r="J27" s="30"/>
      <x:c r="K27" s="32" t="str">
        <x:f>IF(J27="","",1/J27)</x:f>
      </x:c>
      <x:c r="L27" s="32" t="str">
        <x:f>IF(OR(I27="",K27=""),"",I27-K27)</x:f>
      </x:c>
      <x:c r="M27" s="30"/>
      <x:c r="N27" s="30"/>
      <x:c r="O27" s="30" t="str">
        <x:f>IF(OR(M27="",N27=""),"",IF(N27="WIN",M27*(J27-1),IF(N27="LOSS",-M27,0)))</x:f>
      </x:c>
      <x:c r="P27" s="30"/>
      <x:c r="Q27" s="30" t="str">
        <x:f>IF(OR(J27="",P27=""),"",J27/P27-1)</x:f>
      </x:c>
      <x:c r="R27" s="30" t="str">
        <x:f>IF(O27="","",SUM($O$2:O27))</x:f>
      </x:c>
    </x:row>
    <x:row r="28">
      <x:c r="B28" s="28"/>
      <x:c r="I28" s="32"/>
      <x:c r="J28" s="30"/>
      <x:c r="K28" s="32" t="str">
        <x:f>IF(J28="","",1/J28)</x:f>
      </x:c>
      <x:c r="L28" s="32" t="str">
        <x:f>IF(OR(I28="",K28=""),"",I28-K28)</x:f>
      </x:c>
      <x:c r="M28" s="30"/>
      <x:c r="N28" s="30"/>
      <x:c r="O28" s="30" t="str">
        <x:f>IF(OR(M28="",N28=""),"",IF(N28="WIN",M28*(J28-1),IF(N28="LOSS",-M28,0)))</x:f>
      </x:c>
      <x:c r="P28" s="30"/>
      <x:c r="Q28" s="30" t="str">
        <x:f>IF(OR(J28="",P28=""),"",J28/P28-1)</x:f>
      </x:c>
      <x:c r="R28" s="30" t="str">
        <x:f>IF(O28="","",SUM($O$2:O28))</x:f>
      </x:c>
    </x:row>
    <x:row r="29">
      <x:c r="B29" s="28"/>
      <x:c r="I29" s="32"/>
      <x:c r="J29" s="30"/>
      <x:c r="K29" s="32" t="str">
        <x:f>IF(J29="","",1/J29)</x:f>
      </x:c>
      <x:c r="L29" s="32" t="str">
        <x:f>IF(OR(I29="",K29=""),"",I29-K29)</x:f>
      </x:c>
      <x:c r="M29" s="30"/>
      <x:c r="N29" s="30"/>
      <x:c r="O29" s="30" t="str">
        <x:f>IF(OR(M29="",N29=""),"",IF(N29="WIN",M29*(J29-1),IF(N29="LOSS",-M29,0)))</x:f>
      </x:c>
      <x:c r="P29" s="30"/>
      <x:c r="Q29" s="30" t="str">
        <x:f>IF(OR(J29="",P29=""),"",J29/P29-1)</x:f>
      </x:c>
      <x:c r="R29" s="30" t="str">
        <x:f>IF(O29="","",SUM($O$2:O29))</x:f>
      </x:c>
    </x:row>
    <x:row r="30">
      <x:c r="B30" s="28"/>
      <x:c r="I30" s="32"/>
      <x:c r="J30" s="30"/>
      <x:c r="K30" s="32" t="str">
        <x:f>IF(J30="","",1/J30)</x:f>
      </x:c>
      <x:c r="L30" s="32" t="str">
        <x:f>IF(OR(I30="",K30=""),"",I30-K30)</x:f>
      </x:c>
      <x:c r="M30" s="30"/>
      <x:c r="N30" s="30"/>
      <x:c r="O30" s="30" t="str">
        <x:f>IF(OR(M30="",N30=""),"",IF(N30="WIN",M30*(J30-1),IF(N30="LOSS",-M30,0)))</x:f>
      </x:c>
      <x:c r="P30" s="30"/>
      <x:c r="Q30" s="30" t="str">
        <x:f>IF(OR(J30="",P30=""),"",J30/P30-1)</x:f>
      </x:c>
      <x:c r="R30" s="30" t="str">
        <x:f>IF(O30="","",SUM($O$2:O30))</x:f>
      </x:c>
    </x:row>
    <x:row r="31">
      <x:c r="B31" s="28"/>
      <x:c r="I31" s="32"/>
      <x:c r="J31" s="30"/>
      <x:c r="K31" s="32" t="str">
        <x:f>IF(J31="","",1/J31)</x:f>
      </x:c>
      <x:c r="L31" s="32" t="str">
        <x:f>IF(OR(I31="",K31=""),"",I31-K31)</x:f>
      </x:c>
      <x:c r="M31" s="30"/>
      <x:c r="N31" s="30"/>
      <x:c r="O31" s="30" t="str">
        <x:f>IF(OR(M31="",N31=""),"",IF(N31="WIN",M31*(J31-1),IF(N31="LOSS",-M31,0)))</x:f>
      </x:c>
      <x:c r="P31" s="30"/>
      <x:c r="Q31" s="30" t="str">
        <x:f>IF(OR(J31="",P31=""),"",J31/P31-1)</x:f>
      </x:c>
      <x:c r="R31" s="30" t="str">
        <x:f>IF(O31="","",SUM($O$2:O31))</x:f>
      </x:c>
    </x:row>
    <x:row r="32">
      <x:c r="B32" s="28"/>
      <x:c r="I32" s="32"/>
      <x:c r="J32" s="30"/>
      <x:c r="K32" s="32" t="str">
        <x:f>IF(J32="","",1/J32)</x:f>
      </x:c>
      <x:c r="L32" s="32" t="str">
        <x:f>IF(OR(I32="",K32=""),"",I32-K32)</x:f>
      </x:c>
      <x:c r="M32" s="30"/>
      <x:c r="N32" s="30"/>
      <x:c r="O32" s="30" t="str">
        <x:f>IF(OR(M32="",N32=""),"",IF(N32="WIN",M32*(J32-1),IF(N32="LOSS",-M32,0)))</x:f>
      </x:c>
      <x:c r="P32" s="30"/>
      <x:c r="Q32" s="30" t="str">
        <x:f>IF(OR(J32="",P32=""),"",J32/P32-1)</x:f>
      </x:c>
      <x:c r="R32" s="30" t="str">
        <x:f>IF(O32="","",SUM($O$2:O32))</x:f>
      </x:c>
    </x:row>
    <x:row r="33">
      <x:c r="B33" s="28"/>
      <x:c r="I33" s="32"/>
      <x:c r="J33" s="30"/>
      <x:c r="K33" s="32" t="str">
        <x:f>IF(J33="","",1/J33)</x:f>
      </x:c>
      <x:c r="L33" s="32" t="str">
        <x:f>IF(OR(I33="",K33=""),"",I33-K33)</x:f>
      </x:c>
      <x:c r="M33" s="30"/>
      <x:c r="N33" s="30"/>
      <x:c r="O33" s="30" t="str">
        <x:f>IF(OR(M33="",N33=""),"",IF(N33="WIN",M33*(J33-1),IF(N33="LOSS",-M33,0)))</x:f>
      </x:c>
      <x:c r="P33" s="30"/>
      <x:c r="Q33" s="30" t="str">
        <x:f>IF(OR(J33="",P33=""),"",J33/P33-1)</x:f>
      </x:c>
      <x:c r="R33" s="30" t="str">
        <x:f>IF(O33="","",SUM($O$2:O33))</x:f>
      </x:c>
    </x:row>
    <x:row r="34">
      <x:c r="B34" s="28"/>
      <x:c r="I34" s="32"/>
      <x:c r="J34" s="30"/>
      <x:c r="K34" s="32" t="str">
        <x:f>IF(J34="","",1/J34)</x:f>
      </x:c>
      <x:c r="L34" s="32" t="str">
        <x:f>IF(OR(I34="",K34=""),"",I34-K34)</x:f>
      </x:c>
      <x:c r="M34" s="30"/>
      <x:c r="N34" s="30"/>
      <x:c r="O34" s="30" t="str">
        <x:f>IF(OR(M34="",N34=""),"",IF(N34="WIN",M34*(J34-1),IF(N34="LOSS",-M34,0)))</x:f>
      </x:c>
      <x:c r="P34" s="30"/>
      <x:c r="Q34" s="30" t="str">
        <x:f>IF(OR(J34="",P34=""),"",J34/P34-1)</x:f>
      </x:c>
      <x:c r="R34" s="30" t="str">
        <x:f>IF(O34="","",SUM($O$2:O34))</x:f>
      </x:c>
    </x:row>
    <x:row r="35">
      <x:c r="B35" s="28"/>
      <x:c r="I35" s="32"/>
      <x:c r="J35" s="30"/>
      <x:c r="K35" s="32" t="str">
        <x:f>IF(J35="","",1/J35)</x:f>
      </x:c>
      <x:c r="L35" s="32" t="str">
        <x:f>IF(OR(I35="",K35=""),"",I35-K35)</x:f>
      </x:c>
      <x:c r="M35" s="30"/>
      <x:c r="N35" s="30"/>
      <x:c r="O35" s="30" t="str">
        <x:f>IF(OR(M35="",N35=""),"",IF(N35="WIN",M35*(J35-1),IF(N35="LOSS",-M35,0)))</x:f>
      </x:c>
      <x:c r="P35" s="30"/>
      <x:c r="Q35" s="30" t="str">
        <x:f>IF(OR(J35="",P35=""),"",J35/P35-1)</x:f>
      </x:c>
      <x:c r="R35" s="30" t="str">
        <x:f>IF(O35="","",SUM($O$2:O35))</x:f>
      </x:c>
    </x:row>
    <x:row r="36">
      <x:c r="B36" s="28"/>
      <x:c r="I36" s="32"/>
      <x:c r="J36" s="30"/>
      <x:c r="K36" s="32" t="str">
        <x:f>IF(J36="","",1/J36)</x:f>
      </x:c>
      <x:c r="L36" s="32" t="str">
        <x:f>IF(OR(I36="",K36=""),"",I36-K36)</x:f>
      </x:c>
      <x:c r="M36" s="30"/>
      <x:c r="N36" s="30"/>
      <x:c r="O36" s="30" t="str">
        <x:f>IF(OR(M36="",N36=""),"",IF(N36="WIN",M36*(J36-1),IF(N36="LOSS",-M36,0)))</x:f>
      </x:c>
      <x:c r="P36" s="30"/>
      <x:c r="Q36" s="30" t="str">
        <x:f>IF(OR(J36="",P36=""),"",J36/P36-1)</x:f>
      </x:c>
      <x:c r="R36" s="30" t="str">
        <x:f>IF(O36="","",SUM($O$2:O36))</x:f>
      </x:c>
    </x:row>
    <x:row r="37">
      <x:c r="B37" s="28"/>
      <x:c r="I37" s="32"/>
      <x:c r="J37" s="30"/>
      <x:c r="K37" s="32" t="str">
        <x:f>IF(J37="","",1/J37)</x:f>
      </x:c>
      <x:c r="L37" s="32" t="str">
        <x:f>IF(OR(I37="",K37=""),"",I37-K37)</x:f>
      </x:c>
      <x:c r="M37" s="30"/>
      <x:c r="N37" s="30"/>
      <x:c r="O37" s="30" t="str">
        <x:f>IF(OR(M37="",N37=""),"",IF(N37="WIN",M37*(J37-1),IF(N37="LOSS",-M37,0)))</x:f>
      </x:c>
      <x:c r="P37" s="30"/>
      <x:c r="Q37" s="30" t="str">
        <x:f>IF(OR(J37="",P37=""),"",J37/P37-1)</x:f>
      </x:c>
      <x:c r="R37" s="30" t="str">
        <x:f>IF(O37="","",SUM($O$2:O37))</x:f>
      </x:c>
    </x:row>
    <x:row r="38">
      <x:c r="B38" s="28"/>
      <x:c r="I38" s="32"/>
      <x:c r="J38" s="30"/>
      <x:c r="K38" s="32" t="str">
        <x:f>IF(J38="","",1/J38)</x:f>
      </x:c>
      <x:c r="L38" s="32" t="str">
        <x:f>IF(OR(I38="",K38=""),"",I38-K38)</x:f>
      </x:c>
      <x:c r="M38" s="30"/>
      <x:c r="N38" s="30"/>
      <x:c r="O38" s="30" t="str">
        <x:f>IF(OR(M38="",N38=""),"",IF(N38="WIN",M38*(J38-1),IF(N38="LOSS",-M38,0)))</x:f>
      </x:c>
      <x:c r="P38" s="30"/>
      <x:c r="Q38" s="30" t="str">
        <x:f>IF(OR(J38="",P38=""),"",J38/P38-1)</x:f>
      </x:c>
      <x:c r="R38" s="30" t="str">
        <x:f>IF(O38="","",SUM($O$2:O38))</x:f>
      </x:c>
    </x:row>
    <x:row r="39">
      <x:c r="B39" s="28"/>
      <x:c r="I39" s="32"/>
      <x:c r="J39" s="30"/>
      <x:c r="K39" s="32" t="str">
        <x:f>IF(J39="","",1/J39)</x:f>
      </x:c>
      <x:c r="L39" s="32" t="str">
        <x:f>IF(OR(I39="",K39=""),"",I39-K39)</x:f>
      </x:c>
      <x:c r="M39" s="30"/>
      <x:c r="N39" s="30"/>
      <x:c r="O39" s="30" t="str">
        <x:f>IF(OR(M39="",N39=""),"",IF(N39="WIN",M39*(J39-1),IF(N39="LOSS",-M39,0)))</x:f>
      </x:c>
      <x:c r="P39" s="30"/>
      <x:c r="Q39" s="30" t="str">
        <x:f>IF(OR(J39="",P39=""),"",J39/P39-1)</x:f>
      </x:c>
      <x:c r="R39" s="30" t="str">
        <x:f>IF(O39="","",SUM($O$2:O39))</x:f>
      </x:c>
    </x:row>
    <x:row r="40">
      <x:c r="B40" s="28"/>
      <x:c r="I40" s="32"/>
      <x:c r="J40" s="30"/>
      <x:c r="K40" s="32" t="str">
        <x:f>IF(J40="","",1/J40)</x:f>
      </x:c>
      <x:c r="L40" s="32" t="str">
        <x:f>IF(OR(I40="",K40=""),"",I40-K40)</x:f>
      </x:c>
      <x:c r="M40" s="30"/>
      <x:c r="N40" s="30"/>
      <x:c r="O40" s="30" t="str">
        <x:f>IF(OR(M40="",N40=""),"",IF(N40="WIN",M40*(J40-1),IF(N40="LOSS",-M40,0)))</x:f>
      </x:c>
      <x:c r="P40" s="30"/>
      <x:c r="Q40" s="30" t="str">
        <x:f>IF(OR(J40="",P40=""),"",J40/P40-1)</x:f>
      </x:c>
      <x:c r="R40" s="30" t="str">
        <x:f>IF(O40="","",SUM($O$2:O40))</x:f>
      </x:c>
    </x:row>
    <x:row r="41">
      <x:c r="B41" s="28"/>
      <x:c r="I41" s="32"/>
      <x:c r="J41" s="30"/>
      <x:c r="K41" s="32" t="str">
        <x:f>IF(J41="","",1/J41)</x:f>
      </x:c>
      <x:c r="L41" s="32" t="str">
        <x:f>IF(OR(I41="",K41=""),"",I41-K41)</x:f>
      </x:c>
      <x:c r="M41" s="30"/>
      <x:c r="N41" s="30"/>
      <x:c r="O41" s="30" t="str">
        <x:f>IF(OR(M41="",N41=""),"",IF(N41="WIN",M41*(J41-1),IF(N41="LOSS",-M41,0)))</x:f>
      </x:c>
      <x:c r="P41" s="30"/>
      <x:c r="Q41" s="30" t="str">
        <x:f>IF(OR(J41="",P41=""),"",J41/P41-1)</x:f>
      </x:c>
      <x:c r="R41" s="30" t="str">
        <x:f>IF(O41="","",SUM($O$2:O41))</x:f>
      </x:c>
    </x:row>
    <x:row r="42">
      <x:c r="B42" s="28"/>
      <x:c r="I42" s="32"/>
      <x:c r="J42" s="30"/>
      <x:c r="K42" s="32" t="str">
        <x:f>IF(J42="","",1/J42)</x:f>
      </x:c>
      <x:c r="L42" s="32" t="str">
        <x:f>IF(OR(I42="",K42=""),"",I42-K42)</x:f>
      </x:c>
      <x:c r="M42" s="30"/>
      <x:c r="N42" s="30"/>
      <x:c r="O42" s="30" t="str">
        <x:f>IF(OR(M42="",N42=""),"",IF(N42="WIN",M42*(J42-1),IF(N42="LOSS",-M42,0)))</x:f>
      </x:c>
      <x:c r="P42" s="30"/>
      <x:c r="Q42" s="30" t="str">
        <x:f>IF(OR(J42="",P42=""),"",J42/P42-1)</x:f>
      </x:c>
      <x:c r="R42" s="30" t="str">
        <x:f>IF(O42="","",SUM($O$2:O42))</x:f>
      </x:c>
    </x:row>
    <x:row r="43">
      <x:c r="B43" s="28"/>
      <x:c r="I43" s="32"/>
      <x:c r="J43" s="30"/>
      <x:c r="K43" s="32" t="str">
        <x:f>IF(J43="","",1/J43)</x:f>
      </x:c>
      <x:c r="L43" s="32" t="str">
        <x:f>IF(OR(I43="",K43=""),"",I43-K43)</x:f>
      </x:c>
      <x:c r="M43" s="30"/>
      <x:c r="N43" s="30"/>
      <x:c r="O43" s="30" t="str">
        <x:f>IF(OR(M43="",N43=""),"",IF(N43="WIN",M43*(J43-1),IF(N43="LOSS",-M43,0)))</x:f>
      </x:c>
      <x:c r="P43" s="30"/>
      <x:c r="Q43" s="30" t="str">
        <x:f>IF(OR(J43="",P43=""),"",J43/P43-1)</x:f>
      </x:c>
      <x:c r="R43" s="30" t="str">
        <x:f>IF(O43="","",SUM($O$2:O43))</x:f>
      </x:c>
    </x:row>
    <x:row r="44">
      <x:c r="B44" s="28"/>
      <x:c r="I44" s="32"/>
      <x:c r="J44" s="30"/>
      <x:c r="K44" s="32" t="str">
        <x:f>IF(J44="","",1/J44)</x:f>
      </x:c>
      <x:c r="L44" s="32" t="str">
        <x:f>IF(OR(I44="",K44=""),"",I44-K44)</x:f>
      </x:c>
      <x:c r="M44" s="30"/>
      <x:c r="N44" s="30"/>
      <x:c r="O44" s="30" t="str">
        <x:f>IF(OR(M44="",N44=""),"",IF(N44="WIN",M44*(J44-1),IF(N44="LOSS",-M44,0)))</x:f>
      </x:c>
      <x:c r="P44" s="30"/>
      <x:c r="Q44" s="30" t="str">
        <x:f>IF(OR(J44="",P44=""),"",J44/P44-1)</x:f>
      </x:c>
      <x:c r="R44" s="30" t="str">
        <x:f>IF(O44="","",SUM($O$2:O44))</x:f>
      </x:c>
    </x:row>
    <x:row r="45">
      <x:c r="B45" s="28"/>
      <x:c r="I45" s="32"/>
      <x:c r="J45" s="30"/>
      <x:c r="K45" s="32" t="str">
        <x:f>IF(J45="","",1/J45)</x:f>
      </x:c>
      <x:c r="L45" s="32" t="str">
        <x:f>IF(OR(I45="",K45=""),"",I45-K45)</x:f>
      </x:c>
      <x:c r="M45" s="30"/>
      <x:c r="N45" s="30"/>
      <x:c r="O45" s="30" t="str">
        <x:f>IF(OR(M45="",N45=""),"",IF(N45="WIN",M45*(J45-1),IF(N45="LOSS",-M45,0)))</x:f>
      </x:c>
      <x:c r="P45" s="30"/>
      <x:c r="Q45" s="30" t="str">
        <x:f>IF(OR(J45="",P45=""),"",J45/P45-1)</x:f>
      </x:c>
      <x:c r="R45" s="30" t="str">
        <x:f>IF(O45="","",SUM($O$2:O45))</x:f>
      </x:c>
    </x:row>
    <x:row r="46">
      <x:c r="B46" s="28"/>
      <x:c r="I46" s="32"/>
      <x:c r="J46" s="30"/>
      <x:c r="K46" s="32" t="str">
        <x:f>IF(J46="","",1/J46)</x:f>
      </x:c>
      <x:c r="L46" s="32" t="str">
        <x:f>IF(OR(I46="",K46=""),"",I46-K46)</x:f>
      </x:c>
      <x:c r="M46" s="30"/>
      <x:c r="N46" s="30"/>
      <x:c r="O46" s="30" t="str">
        <x:f>IF(OR(M46="",N46=""),"",IF(N46="WIN",M46*(J46-1),IF(N46="LOSS",-M46,0)))</x:f>
      </x:c>
      <x:c r="P46" s="30"/>
      <x:c r="Q46" s="30" t="str">
        <x:f>IF(OR(J46="",P46=""),"",J46/P46-1)</x:f>
      </x:c>
      <x:c r="R46" s="30" t="str">
        <x:f>IF(O46="","",SUM($O$2:O46))</x:f>
      </x:c>
    </x:row>
    <x:row r="47">
      <x:c r="B47" s="28"/>
      <x:c r="I47" s="32"/>
      <x:c r="J47" s="30"/>
      <x:c r="K47" s="32" t="str">
        <x:f>IF(J47="","",1/J47)</x:f>
      </x:c>
      <x:c r="L47" s="32" t="str">
        <x:f>IF(OR(I47="",K47=""),"",I47-K47)</x:f>
      </x:c>
      <x:c r="M47" s="30"/>
      <x:c r="N47" s="30"/>
      <x:c r="O47" s="30" t="str">
        <x:f>IF(OR(M47="",N47=""),"",IF(N47="WIN",M47*(J47-1),IF(N47="LOSS",-M47,0)))</x:f>
      </x:c>
      <x:c r="P47" s="30"/>
      <x:c r="Q47" s="30" t="str">
        <x:f>IF(OR(J47="",P47=""),"",J47/P47-1)</x:f>
      </x:c>
      <x:c r="R47" s="30" t="str">
        <x:f>IF(O47="","",SUM($O$2:O47))</x:f>
      </x:c>
    </x:row>
    <x:row r="48">
      <x:c r="B48" s="28"/>
      <x:c r="I48" s="32"/>
      <x:c r="J48" s="30"/>
      <x:c r="K48" s="32" t="str">
        <x:f>IF(J48="","",1/J48)</x:f>
      </x:c>
      <x:c r="L48" s="32" t="str">
        <x:f>IF(OR(I48="",K48=""),"",I48-K48)</x:f>
      </x:c>
      <x:c r="M48" s="30"/>
      <x:c r="N48" s="30"/>
      <x:c r="O48" s="30" t="str">
        <x:f>IF(OR(M48="",N48=""),"",IF(N48="WIN",M48*(J48-1),IF(N48="LOSS",-M48,0)))</x:f>
      </x:c>
      <x:c r="P48" s="30"/>
      <x:c r="Q48" s="30" t="str">
        <x:f>IF(OR(J48="",P48=""),"",J48/P48-1)</x:f>
      </x:c>
      <x:c r="R48" s="30" t="str">
        <x:f>IF(O48="","",SUM($O$2:O48))</x:f>
      </x:c>
    </x:row>
    <x:row r="49">
      <x:c r="B49" s="28"/>
      <x:c r="I49" s="32"/>
      <x:c r="J49" s="30"/>
      <x:c r="K49" s="32" t="str">
        <x:f>IF(J49="","",1/J49)</x:f>
      </x:c>
      <x:c r="L49" s="32" t="str">
        <x:f>IF(OR(I49="",K49=""),"",I49-K49)</x:f>
      </x:c>
      <x:c r="M49" s="30"/>
      <x:c r="N49" s="30"/>
      <x:c r="O49" s="30" t="str">
        <x:f>IF(OR(M49="",N49=""),"",IF(N49="WIN",M49*(J49-1),IF(N49="LOSS",-M49,0)))</x:f>
      </x:c>
      <x:c r="P49" s="30"/>
      <x:c r="Q49" s="30" t="str">
        <x:f>IF(OR(J49="",P49=""),"",J49/P49-1)</x:f>
      </x:c>
      <x:c r="R49" s="30" t="str">
        <x:f>IF(O49="","",SUM($O$2:O49))</x:f>
      </x:c>
    </x:row>
    <x:row r="50">
      <x:c r="B50" s="28"/>
      <x:c r="I50" s="32"/>
      <x:c r="J50" s="30"/>
      <x:c r="K50" s="32" t="str">
        <x:f>IF(J50="","",1/J50)</x:f>
      </x:c>
      <x:c r="L50" s="32" t="str">
        <x:f>IF(OR(I50="",K50=""),"",I50-K50)</x:f>
      </x:c>
      <x:c r="M50" s="30"/>
      <x:c r="N50" s="30"/>
      <x:c r="O50" s="30" t="str">
        <x:f>IF(OR(M50="",N50=""),"",IF(N50="WIN",M50*(J50-1),IF(N50="LOSS",-M50,0)))</x:f>
      </x:c>
      <x:c r="P50" s="30"/>
      <x:c r="Q50" s="30" t="str">
        <x:f>IF(OR(J50="",P50=""),"",J50/P50-1)</x:f>
      </x:c>
      <x:c r="R50" s="30" t="str">
        <x:f>IF(O50="","",SUM($O$2:O50))</x:f>
      </x:c>
    </x:row>
    <x:row r="51">
      <x:c r="B51" s="28"/>
      <x:c r="I51" s="32"/>
      <x:c r="J51" s="30"/>
      <x:c r="K51" s="32" t="str">
        <x:f>IF(J51="","",1/J51)</x:f>
      </x:c>
      <x:c r="L51" s="32" t="str">
        <x:f>IF(OR(I51="",K51=""),"",I51-K51)</x:f>
      </x:c>
      <x:c r="M51" s="30"/>
      <x:c r="N51" s="30"/>
      <x:c r="O51" s="30" t="str">
        <x:f>IF(OR(M51="",N51=""),"",IF(N51="WIN",M51*(J51-1),IF(N51="LOSS",-M51,0)))</x:f>
      </x:c>
      <x:c r="P51" s="30"/>
      <x:c r="Q51" s="30" t="str">
        <x:f>IF(OR(J51="",P51=""),"",J51/P51-1)</x:f>
      </x:c>
      <x:c r="R51" s="30" t="str">
        <x:f>IF(O51="","",SUM($O$2:O51))</x:f>
      </x:c>
    </x:row>
    <x:row r="52">
      <x:c r="B52" s="28"/>
      <x:c r="I52" s="32"/>
      <x:c r="J52" s="30"/>
      <x:c r="K52" s="32" t="str">
        <x:f>IF(J52="","",1/J52)</x:f>
      </x:c>
      <x:c r="L52" s="32" t="str">
        <x:f>IF(OR(I52="",K52=""),"",I52-K52)</x:f>
      </x:c>
      <x:c r="M52" s="30"/>
      <x:c r="N52" s="30"/>
      <x:c r="O52" s="30" t="str">
        <x:f>IF(OR(M52="",N52=""),"",IF(N52="WIN",M52*(J52-1),IF(N52="LOSS",-M52,0)))</x:f>
      </x:c>
      <x:c r="P52" s="30"/>
      <x:c r="Q52" s="30" t="str">
        <x:f>IF(OR(J52="",P52=""),"",J52/P52-1)</x:f>
      </x:c>
      <x:c r="R52" s="30" t="str">
        <x:f>IF(O52="","",SUM($O$2:O52))</x:f>
      </x:c>
    </x:row>
    <x:row r="53">
      <x:c r="B53" s="28"/>
      <x:c r="I53" s="32"/>
      <x:c r="J53" s="30"/>
      <x:c r="K53" s="32" t="str">
        <x:f>IF(J53="","",1/J53)</x:f>
      </x:c>
      <x:c r="L53" s="32" t="str">
        <x:f>IF(OR(I53="",K53=""),"",I53-K53)</x:f>
      </x:c>
      <x:c r="M53" s="30"/>
      <x:c r="N53" s="30"/>
      <x:c r="O53" s="30" t="str">
        <x:f>IF(OR(M53="",N53=""),"",IF(N53="WIN",M53*(J53-1),IF(N53="LOSS",-M53,0)))</x:f>
      </x:c>
      <x:c r="P53" s="30"/>
      <x:c r="Q53" s="30" t="str">
        <x:f>IF(OR(J53="",P53=""),"",J53/P53-1)</x:f>
      </x:c>
      <x:c r="R53" s="30" t="str">
        <x:f>IF(O53="","",SUM($O$2:O53))</x:f>
      </x:c>
    </x:row>
    <x:row r="54">
      <x:c r="B54" s="28"/>
      <x:c r="I54" s="32"/>
      <x:c r="J54" s="30"/>
      <x:c r="K54" s="32" t="str">
        <x:f>IF(J54="","",1/J54)</x:f>
      </x:c>
      <x:c r="L54" s="32" t="str">
        <x:f>IF(OR(I54="",K54=""),"",I54-K54)</x:f>
      </x:c>
      <x:c r="M54" s="30"/>
      <x:c r="N54" s="30"/>
      <x:c r="O54" s="30" t="str">
        <x:f>IF(OR(M54="",N54=""),"",IF(N54="WIN",M54*(J54-1),IF(N54="LOSS",-M54,0)))</x:f>
      </x:c>
      <x:c r="P54" s="30"/>
      <x:c r="Q54" s="30" t="str">
        <x:f>IF(OR(J54="",P54=""),"",J54/P54-1)</x:f>
      </x:c>
      <x:c r="R54" s="30" t="str">
        <x:f>IF(O54="","",SUM($O$2:O54))</x:f>
      </x:c>
    </x:row>
    <x:row r="55">
      <x:c r="B55" s="28"/>
      <x:c r="I55" s="32"/>
      <x:c r="J55" s="30"/>
      <x:c r="K55" s="32" t="str">
        <x:f>IF(J55="","",1/J55)</x:f>
      </x:c>
      <x:c r="L55" s="32" t="str">
        <x:f>IF(OR(I55="",K55=""),"",I55-K55)</x:f>
      </x:c>
      <x:c r="M55" s="30"/>
      <x:c r="N55" s="30"/>
      <x:c r="O55" s="30" t="str">
        <x:f>IF(OR(M55="",N55=""),"",IF(N55="WIN",M55*(J55-1),IF(N55="LOSS",-M55,0)))</x:f>
      </x:c>
      <x:c r="P55" s="30"/>
      <x:c r="Q55" s="30" t="str">
        <x:f>IF(OR(J55="",P55=""),"",J55/P55-1)</x:f>
      </x:c>
      <x:c r="R55" s="30" t="str">
        <x:f>IF(O55="","",SUM($O$2:O55))</x:f>
      </x:c>
    </x:row>
    <x:row r="56">
      <x:c r="B56" s="28"/>
      <x:c r="I56" s="32"/>
      <x:c r="J56" s="30"/>
      <x:c r="K56" s="32" t="str">
        <x:f>IF(J56="","",1/J56)</x:f>
      </x:c>
      <x:c r="L56" s="32" t="str">
        <x:f>IF(OR(I56="",K56=""),"",I56-K56)</x:f>
      </x:c>
      <x:c r="M56" s="30"/>
      <x:c r="N56" s="30"/>
      <x:c r="O56" s="30" t="str">
        <x:f>IF(OR(M56="",N56=""),"",IF(N56="WIN",M56*(J56-1),IF(N56="LOSS",-M56,0)))</x:f>
      </x:c>
      <x:c r="P56" s="30"/>
      <x:c r="Q56" s="30" t="str">
        <x:f>IF(OR(J56="",P56=""),"",J56/P56-1)</x:f>
      </x:c>
      <x:c r="R56" s="30" t="str">
        <x:f>IF(O56="","",SUM($O$2:O56))</x:f>
      </x:c>
    </x:row>
    <x:row r="57">
      <x:c r="B57" s="28"/>
      <x:c r="I57" s="32"/>
      <x:c r="J57" s="30"/>
      <x:c r="K57" s="32" t="str">
        <x:f>IF(J57="","",1/J57)</x:f>
      </x:c>
      <x:c r="L57" s="32" t="str">
        <x:f>IF(OR(I57="",K57=""),"",I57-K57)</x:f>
      </x:c>
      <x:c r="M57" s="30"/>
      <x:c r="N57" s="30"/>
      <x:c r="O57" s="30" t="str">
        <x:f>IF(OR(M57="",N57=""),"",IF(N57="WIN",M57*(J57-1),IF(N57="LOSS",-M57,0)))</x:f>
      </x:c>
      <x:c r="P57" s="30"/>
      <x:c r="Q57" s="30" t="str">
        <x:f>IF(OR(J57="",P57=""),"",J57/P57-1)</x:f>
      </x:c>
      <x:c r="R57" s="30" t="str">
        <x:f>IF(O57="","",SUM($O$2:O57))</x:f>
      </x:c>
    </x:row>
    <x:row r="58">
      <x:c r="B58" s="28"/>
      <x:c r="I58" s="32"/>
      <x:c r="J58" s="30"/>
      <x:c r="K58" s="32" t="str">
        <x:f>IF(J58="","",1/J58)</x:f>
      </x:c>
      <x:c r="L58" s="32" t="str">
        <x:f>IF(OR(I58="",K58=""),"",I58-K58)</x:f>
      </x:c>
      <x:c r="M58" s="30"/>
      <x:c r="N58" s="30"/>
      <x:c r="O58" s="30" t="str">
        <x:f>IF(OR(M58="",N58=""),"",IF(N58="WIN",M58*(J58-1),IF(N58="LOSS",-M58,0)))</x:f>
      </x:c>
      <x:c r="P58" s="30"/>
      <x:c r="Q58" s="30" t="str">
        <x:f>IF(OR(J58="",P58=""),"",J58/P58-1)</x:f>
      </x:c>
      <x:c r="R58" s="30" t="str">
        <x:f>IF(O58="","",SUM($O$2:O58))</x:f>
      </x:c>
    </x:row>
    <x:row r="59">
      <x:c r="B59" s="28"/>
      <x:c r="I59" s="32"/>
      <x:c r="J59" s="30"/>
      <x:c r="K59" s="32" t="str">
        <x:f>IF(J59="","",1/J59)</x:f>
      </x:c>
      <x:c r="L59" s="32" t="str">
        <x:f>IF(OR(I59="",K59=""),"",I59-K59)</x:f>
      </x:c>
      <x:c r="M59" s="30"/>
      <x:c r="N59" s="30"/>
      <x:c r="O59" s="30" t="str">
        <x:f>IF(OR(M59="",N59=""),"",IF(N59="WIN",M59*(J59-1),IF(N59="LOSS",-M59,0)))</x:f>
      </x:c>
      <x:c r="P59" s="30"/>
      <x:c r="Q59" s="30" t="str">
        <x:f>IF(OR(J59="",P59=""),"",J59/P59-1)</x:f>
      </x:c>
      <x:c r="R59" s="30" t="str">
        <x:f>IF(O59="","",SUM($O$2:O59))</x:f>
      </x:c>
    </x:row>
    <x:row r="60">
      <x:c r="B60" s="28"/>
      <x:c r="I60" s="32"/>
      <x:c r="J60" s="30"/>
      <x:c r="K60" s="32" t="str">
        <x:f>IF(J60="","",1/J60)</x:f>
      </x:c>
      <x:c r="L60" s="32" t="str">
        <x:f>IF(OR(I60="",K60=""),"",I60-K60)</x:f>
      </x:c>
      <x:c r="M60" s="30"/>
      <x:c r="N60" s="30"/>
      <x:c r="O60" s="30" t="str">
        <x:f>IF(OR(M60="",N60=""),"",IF(N60="WIN",M60*(J60-1),IF(N60="LOSS",-M60,0)))</x:f>
      </x:c>
      <x:c r="P60" s="30"/>
      <x:c r="Q60" s="30" t="str">
        <x:f>IF(OR(J60="",P60=""),"",J60/P60-1)</x:f>
      </x:c>
      <x:c r="R60" s="30" t="str">
        <x:f>IF(O60="","",SUM($O$2:O60))</x:f>
      </x:c>
    </x:row>
    <x:row r="61">
      <x:c r="B61" s="28"/>
      <x:c r="I61" s="32"/>
      <x:c r="J61" s="30"/>
      <x:c r="K61" s="32" t="str">
        <x:f>IF(J61="","",1/J61)</x:f>
      </x:c>
      <x:c r="L61" s="32" t="str">
        <x:f>IF(OR(I61="",K61=""),"",I61-K61)</x:f>
      </x:c>
      <x:c r="M61" s="30"/>
      <x:c r="N61" s="30"/>
      <x:c r="O61" s="30" t="str">
        <x:f>IF(OR(M61="",N61=""),"",IF(N61="WIN",M61*(J61-1),IF(N61="LOSS",-M61,0)))</x:f>
      </x:c>
      <x:c r="P61" s="30"/>
      <x:c r="Q61" s="30" t="str">
        <x:f>IF(OR(J61="",P61=""),"",J61/P61-1)</x:f>
      </x:c>
      <x:c r="R61" s="30" t="str">
        <x:f>IF(O61="","",SUM($O$2:O61))</x:f>
      </x:c>
    </x:row>
    <x:row r="62">
      <x:c r="B62" s="28"/>
      <x:c r="I62" s="32"/>
      <x:c r="J62" s="30"/>
      <x:c r="K62" s="32" t="str">
        <x:f>IF(J62="","",1/J62)</x:f>
      </x:c>
      <x:c r="L62" s="32" t="str">
        <x:f>IF(OR(I62="",K62=""),"",I62-K62)</x:f>
      </x:c>
      <x:c r="M62" s="30"/>
      <x:c r="N62" s="30"/>
      <x:c r="O62" s="30" t="str">
        <x:f>IF(OR(M62="",N62=""),"",IF(N62="WIN",M62*(J62-1),IF(N62="LOSS",-M62,0)))</x:f>
      </x:c>
      <x:c r="P62" s="30"/>
      <x:c r="Q62" s="30" t="str">
        <x:f>IF(OR(J62="",P62=""),"",J62/P62-1)</x:f>
      </x:c>
      <x:c r="R62" s="30" t="str">
        <x:f>IF(O62="","",SUM($O$2:O62))</x:f>
      </x:c>
    </x:row>
    <x:row r="63">
      <x:c r="B63" s="28"/>
      <x:c r="I63" s="32"/>
      <x:c r="J63" s="30"/>
      <x:c r="K63" s="32" t="str">
        <x:f>IF(J63="","",1/J63)</x:f>
      </x:c>
      <x:c r="L63" s="32" t="str">
        <x:f>IF(OR(I63="",K63=""),"",I63-K63)</x:f>
      </x:c>
      <x:c r="M63" s="30"/>
      <x:c r="N63" s="30"/>
      <x:c r="O63" s="30" t="str">
        <x:f>IF(OR(M63="",N63=""),"",IF(N63="WIN",M63*(J63-1),IF(N63="LOSS",-M63,0)))</x:f>
      </x:c>
      <x:c r="P63" s="30"/>
      <x:c r="Q63" s="30" t="str">
        <x:f>IF(OR(J63="",P63=""),"",J63/P63-1)</x:f>
      </x:c>
      <x:c r="R63" s="30" t="str">
        <x:f>IF(O63="","",SUM($O$2:O63))</x:f>
      </x:c>
    </x:row>
    <x:row r="64">
      <x:c r="B64" s="28"/>
      <x:c r="I64" s="32"/>
      <x:c r="J64" s="30"/>
      <x:c r="K64" s="32" t="str">
        <x:f>IF(J64="","",1/J64)</x:f>
      </x:c>
      <x:c r="L64" s="32" t="str">
        <x:f>IF(OR(I64="",K64=""),"",I64-K64)</x:f>
      </x:c>
      <x:c r="M64" s="30"/>
      <x:c r="N64" s="30"/>
      <x:c r="O64" s="30" t="str">
        <x:f>IF(OR(M64="",N64=""),"",IF(N64="WIN",M64*(J64-1),IF(N64="LOSS",-M64,0)))</x:f>
      </x:c>
      <x:c r="P64" s="30"/>
      <x:c r="Q64" s="30" t="str">
        <x:f>IF(OR(J64="",P64=""),"",J64/P64-1)</x:f>
      </x:c>
      <x:c r="R64" s="30" t="str">
        <x:f>IF(O64="","",SUM($O$2:O64))</x:f>
      </x:c>
    </x:row>
    <x:row r="65">
      <x:c r="B65" s="28"/>
      <x:c r="I65" s="32"/>
      <x:c r="J65" s="30"/>
      <x:c r="K65" s="32" t="str">
        <x:f>IF(J65="","",1/J65)</x:f>
      </x:c>
      <x:c r="L65" s="32" t="str">
        <x:f>IF(OR(I65="",K65=""),"",I65-K65)</x:f>
      </x:c>
      <x:c r="M65" s="30"/>
      <x:c r="N65" s="30"/>
      <x:c r="O65" s="30" t="str">
        <x:f>IF(OR(M65="",N65=""),"",IF(N65="WIN",M65*(J65-1),IF(N65="LOSS",-M65,0)))</x:f>
      </x:c>
      <x:c r="P65" s="30"/>
      <x:c r="Q65" s="30" t="str">
        <x:f>IF(OR(J65="",P65=""),"",J65/P65-1)</x:f>
      </x:c>
      <x:c r="R65" s="30" t="str">
        <x:f>IF(O65="","",SUM($O$2:O65))</x:f>
      </x:c>
    </x:row>
    <x:row r="66">
      <x:c r="B66" s="28"/>
      <x:c r="I66" s="32"/>
      <x:c r="J66" s="30"/>
      <x:c r="K66" s="32" t="str">
        <x:f>IF(J66="","",1/J66)</x:f>
      </x:c>
      <x:c r="L66" s="32" t="str">
        <x:f>IF(OR(I66="",K66=""),"",I66-K66)</x:f>
      </x:c>
      <x:c r="M66" s="30"/>
      <x:c r="N66" s="30"/>
      <x:c r="O66" s="30" t="str">
        <x:f>IF(OR(M66="",N66=""),"",IF(N66="WIN",M66*(J66-1),IF(N66="LOSS",-M66,0)))</x:f>
      </x:c>
      <x:c r="P66" s="30"/>
      <x:c r="Q66" s="30" t="str">
        <x:f>IF(OR(J66="",P66=""),"",J66/P66-1)</x:f>
      </x:c>
      <x:c r="R66" s="30" t="str">
        <x:f>IF(O66="","",SUM($O$2:O66))</x:f>
      </x:c>
    </x:row>
    <x:row r="67">
      <x:c r="B67" s="28"/>
      <x:c r="I67" s="32"/>
      <x:c r="J67" s="30"/>
      <x:c r="K67" s="32" t="str">
        <x:f>IF(J67="","",1/J67)</x:f>
      </x:c>
      <x:c r="L67" s="32" t="str">
        <x:f>IF(OR(I67="",K67=""),"",I67-K67)</x:f>
      </x:c>
      <x:c r="M67" s="30"/>
      <x:c r="N67" s="30"/>
      <x:c r="O67" s="30" t="str">
        <x:f>IF(OR(M67="",N67=""),"",IF(N67="WIN",M67*(J67-1),IF(N67="LOSS",-M67,0)))</x:f>
      </x:c>
      <x:c r="P67" s="30"/>
      <x:c r="Q67" s="30" t="str">
        <x:f>IF(OR(J67="",P67=""),"",J67/P67-1)</x:f>
      </x:c>
      <x:c r="R67" s="30" t="str">
        <x:f>IF(O67="","",SUM($O$2:O67))</x:f>
      </x:c>
    </x:row>
    <x:row r="68">
      <x:c r="B68" s="28"/>
      <x:c r="I68" s="32"/>
      <x:c r="J68" s="30"/>
      <x:c r="K68" s="32" t="str">
        <x:f>IF(J68="","",1/J68)</x:f>
      </x:c>
      <x:c r="L68" s="32" t="str">
        <x:f>IF(OR(I68="",K68=""),"",I68-K68)</x:f>
      </x:c>
      <x:c r="M68" s="30"/>
      <x:c r="N68" s="30"/>
      <x:c r="O68" s="30" t="str">
        <x:f>IF(OR(M68="",N68=""),"",IF(N68="WIN",M68*(J68-1),IF(N68="LOSS",-M68,0)))</x:f>
      </x:c>
      <x:c r="P68" s="30"/>
      <x:c r="Q68" s="30" t="str">
        <x:f>IF(OR(J68="",P68=""),"",J68/P68-1)</x:f>
      </x:c>
      <x:c r="R68" s="30" t="str">
        <x:f>IF(O68="","",SUM($O$2:O68))</x:f>
      </x:c>
    </x:row>
    <x:row r="69">
      <x:c r="B69" s="28"/>
      <x:c r="I69" s="32"/>
      <x:c r="J69" s="30"/>
      <x:c r="K69" s="32" t="str">
        <x:f>IF(J69="","",1/J69)</x:f>
      </x:c>
      <x:c r="L69" s="32" t="str">
        <x:f>IF(OR(I69="",K69=""),"",I69-K69)</x:f>
      </x:c>
      <x:c r="M69" s="30"/>
      <x:c r="N69" s="30"/>
      <x:c r="O69" s="30" t="str">
        <x:f>IF(OR(M69="",N69=""),"",IF(N69="WIN",M69*(J69-1),IF(N69="LOSS",-M69,0)))</x:f>
      </x:c>
      <x:c r="P69" s="30"/>
      <x:c r="Q69" s="30" t="str">
        <x:f>IF(OR(J69="",P69=""),"",J69/P69-1)</x:f>
      </x:c>
      <x:c r="R69" s="30" t="str">
        <x:f>IF(O69="","",SUM($O$2:O69))</x:f>
      </x:c>
    </x:row>
    <x:row r="70">
      <x:c r="B70" s="28"/>
      <x:c r="I70" s="32"/>
      <x:c r="J70" s="30"/>
      <x:c r="K70" s="32" t="str">
        <x:f>IF(J70="","",1/J70)</x:f>
      </x:c>
      <x:c r="L70" s="32" t="str">
        <x:f>IF(OR(I70="",K70=""),"",I70-K70)</x:f>
      </x:c>
      <x:c r="M70" s="30"/>
      <x:c r="N70" s="30"/>
      <x:c r="O70" s="30" t="str">
        <x:f>IF(OR(M70="",N70=""),"",IF(N70="WIN",M70*(J70-1),IF(N70="LOSS",-M70,0)))</x:f>
      </x:c>
      <x:c r="P70" s="30"/>
      <x:c r="Q70" s="30" t="str">
        <x:f>IF(OR(J70="",P70=""),"",J70/P70-1)</x:f>
      </x:c>
      <x:c r="R70" s="30" t="str">
        <x:f>IF(O70="","",SUM($O$2:O70))</x:f>
      </x:c>
    </x:row>
    <x:row r="71">
      <x:c r="B71" s="28"/>
      <x:c r="I71" s="32"/>
      <x:c r="J71" s="30"/>
      <x:c r="K71" s="32" t="str">
        <x:f>IF(J71="","",1/J71)</x:f>
      </x:c>
      <x:c r="L71" s="32" t="str">
        <x:f>IF(OR(I71="",K71=""),"",I71-K71)</x:f>
      </x:c>
      <x:c r="M71" s="30"/>
      <x:c r="N71" s="30"/>
      <x:c r="O71" s="30" t="str">
        <x:f>IF(OR(M71="",N71=""),"",IF(N71="WIN",M71*(J71-1),IF(N71="LOSS",-M71,0)))</x:f>
      </x:c>
      <x:c r="P71" s="30"/>
      <x:c r="Q71" s="30" t="str">
        <x:f>IF(OR(J71="",P71=""),"",J71/P71-1)</x:f>
      </x:c>
      <x:c r="R71" s="30" t="str">
        <x:f>IF(O71="","",SUM($O$2:O71))</x:f>
      </x:c>
    </x:row>
    <x:row r="72">
      <x:c r="B72" s="28"/>
      <x:c r="I72" s="32"/>
      <x:c r="J72" s="30"/>
      <x:c r="K72" s="32" t="str">
        <x:f>IF(J72="","",1/J72)</x:f>
      </x:c>
      <x:c r="L72" s="32" t="str">
        <x:f>IF(OR(I72="",K72=""),"",I72-K72)</x:f>
      </x:c>
      <x:c r="M72" s="30"/>
      <x:c r="N72" s="30"/>
      <x:c r="O72" s="30" t="str">
        <x:f>IF(OR(M72="",N72=""),"",IF(N72="WIN",M72*(J72-1),IF(N72="LOSS",-M72,0)))</x:f>
      </x:c>
      <x:c r="P72" s="30"/>
      <x:c r="Q72" s="30" t="str">
        <x:f>IF(OR(J72="",P72=""),"",J72/P72-1)</x:f>
      </x:c>
      <x:c r="R72" s="30" t="str">
        <x:f>IF(O72="","",SUM($O$2:O72))</x:f>
      </x:c>
    </x:row>
    <x:row r="73">
      <x:c r="B73" s="28"/>
      <x:c r="I73" s="32"/>
      <x:c r="J73" s="30"/>
      <x:c r="K73" s="32" t="str">
        <x:f>IF(J73="","",1/J73)</x:f>
      </x:c>
      <x:c r="L73" s="32" t="str">
        <x:f>IF(OR(I73="",K73=""),"",I73-K73)</x:f>
      </x:c>
      <x:c r="M73" s="30"/>
      <x:c r="N73" s="30"/>
      <x:c r="O73" s="30" t="str">
        <x:f>IF(OR(M73="",N73=""),"",IF(N73="WIN",M73*(J73-1),IF(N73="LOSS",-M73,0)))</x:f>
      </x:c>
      <x:c r="P73" s="30"/>
      <x:c r="Q73" s="30" t="str">
        <x:f>IF(OR(J73="",P73=""),"",J73/P73-1)</x:f>
      </x:c>
      <x:c r="R73" s="30" t="str">
        <x:f>IF(O73="","",SUM($O$2:O73))</x:f>
      </x:c>
    </x:row>
    <x:row r="74">
      <x:c r="B74" s="28"/>
      <x:c r="I74" s="32"/>
      <x:c r="J74" s="30"/>
      <x:c r="K74" s="32" t="str">
        <x:f>IF(J74="","",1/J74)</x:f>
      </x:c>
      <x:c r="L74" s="32" t="str">
        <x:f>IF(OR(I74="",K74=""),"",I74-K74)</x:f>
      </x:c>
      <x:c r="M74" s="30"/>
      <x:c r="N74" s="30"/>
      <x:c r="O74" s="30" t="str">
        <x:f>IF(OR(M74="",N74=""),"",IF(N74="WIN",M74*(J74-1),IF(N74="LOSS",-M74,0)))</x:f>
      </x:c>
      <x:c r="P74" s="30"/>
      <x:c r="Q74" s="30" t="str">
        <x:f>IF(OR(J74="",P74=""),"",J74/P74-1)</x:f>
      </x:c>
      <x:c r="R74" s="30" t="str">
        <x:f>IF(O74="","",SUM($O$2:O74))</x:f>
      </x:c>
    </x:row>
    <x:row r="75">
      <x:c r="B75" s="28"/>
      <x:c r="I75" s="32"/>
      <x:c r="J75" s="30"/>
      <x:c r="K75" s="32" t="str">
        <x:f>IF(J75="","",1/J75)</x:f>
      </x:c>
      <x:c r="L75" s="32" t="str">
        <x:f>IF(OR(I75="",K75=""),"",I75-K75)</x:f>
      </x:c>
      <x:c r="M75" s="30"/>
      <x:c r="N75" s="30"/>
      <x:c r="O75" s="30" t="str">
        <x:f>IF(OR(M75="",N75=""),"",IF(N75="WIN",M75*(J75-1),IF(N75="LOSS",-M75,0)))</x:f>
      </x:c>
      <x:c r="P75" s="30"/>
      <x:c r="Q75" s="30" t="str">
        <x:f>IF(OR(J75="",P75=""),"",J75/P75-1)</x:f>
      </x:c>
      <x:c r="R75" s="30" t="str">
        <x:f>IF(O75="","",SUM($O$2:O75))</x:f>
      </x:c>
    </x:row>
    <x:row r="76">
      <x:c r="B76" s="28"/>
      <x:c r="I76" s="32"/>
      <x:c r="J76" s="30"/>
      <x:c r="K76" s="32" t="str">
        <x:f>IF(J76="","",1/J76)</x:f>
      </x:c>
      <x:c r="L76" s="32" t="str">
        <x:f>IF(OR(I76="",K76=""),"",I76-K76)</x:f>
      </x:c>
      <x:c r="M76" s="30"/>
      <x:c r="N76" s="30"/>
      <x:c r="O76" s="30" t="str">
        <x:f>IF(OR(M76="",N76=""),"",IF(N76="WIN",M76*(J76-1),IF(N76="LOSS",-M76,0)))</x:f>
      </x:c>
      <x:c r="P76" s="30"/>
      <x:c r="Q76" s="30" t="str">
        <x:f>IF(OR(J76="",P76=""),"",J76/P76-1)</x:f>
      </x:c>
      <x:c r="R76" s="30" t="str">
        <x:f>IF(O76="","",SUM($O$2:O76))</x:f>
      </x:c>
    </x:row>
    <x:row r="77">
      <x:c r="B77" s="28"/>
      <x:c r="I77" s="32"/>
      <x:c r="J77" s="30"/>
      <x:c r="K77" s="32" t="str">
        <x:f>IF(J77="","",1/J77)</x:f>
      </x:c>
      <x:c r="L77" s="32" t="str">
        <x:f>IF(OR(I77="",K77=""),"",I77-K77)</x:f>
      </x:c>
      <x:c r="M77" s="30"/>
      <x:c r="N77" s="30"/>
      <x:c r="O77" s="30" t="str">
        <x:f>IF(OR(M77="",N77=""),"",IF(N77="WIN",M77*(J77-1),IF(N77="LOSS",-M77,0)))</x:f>
      </x:c>
      <x:c r="P77" s="30"/>
      <x:c r="Q77" s="30" t="str">
        <x:f>IF(OR(J77="",P77=""),"",J77/P77-1)</x:f>
      </x:c>
      <x:c r="R77" s="30" t="str">
        <x:f>IF(O77="","",SUM($O$2:O77))</x:f>
      </x:c>
    </x:row>
    <x:row r="78">
      <x:c r="B78" s="28"/>
      <x:c r="I78" s="32"/>
      <x:c r="J78" s="30"/>
      <x:c r="K78" s="32" t="str">
        <x:f>IF(J78="","",1/J78)</x:f>
      </x:c>
      <x:c r="L78" s="32" t="str">
        <x:f>IF(OR(I78="",K78=""),"",I78-K78)</x:f>
      </x:c>
      <x:c r="M78" s="30"/>
      <x:c r="N78" s="30"/>
      <x:c r="O78" s="30" t="str">
        <x:f>IF(OR(M78="",N78=""),"",IF(N78="WIN",M78*(J78-1),IF(N78="LOSS",-M78,0)))</x:f>
      </x:c>
      <x:c r="P78" s="30"/>
      <x:c r="Q78" s="30" t="str">
        <x:f>IF(OR(J78="",P78=""),"",J78/P78-1)</x:f>
      </x:c>
      <x:c r="R78" s="30" t="str">
        <x:f>IF(O78="","",SUM($O$2:O78))</x:f>
      </x:c>
    </x:row>
    <x:row r="79">
      <x:c r="B79" s="28"/>
      <x:c r="I79" s="32"/>
      <x:c r="J79" s="30"/>
      <x:c r="K79" s="32" t="str">
        <x:f>IF(J79="","",1/J79)</x:f>
      </x:c>
      <x:c r="L79" s="32" t="str">
        <x:f>IF(OR(I79="",K79=""),"",I79-K79)</x:f>
      </x:c>
      <x:c r="M79" s="30"/>
      <x:c r="N79" s="30"/>
      <x:c r="O79" s="30" t="str">
        <x:f>IF(OR(M79="",N79=""),"",IF(N79="WIN",M79*(J79-1),IF(N79="LOSS",-M79,0)))</x:f>
      </x:c>
      <x:c r="P79" s="30"/>
      <x:c r="Q79" s="30" t="str">
        <x:f>IF(OR(J79="",P79=""),"",J79/P79-1)</x:f>
      </x:c>
      <x:c r="R79" s="30" t="str">
        <x:f>IF(O79="","",SUM($O$2:O79))</x:f>
      </x:c>
    </x:row>
    <x:row r="80">
      <x:c r="B80" s="28"/>
      <x:c r="I80" s="32"/>
      <x:c r="J80" s="30"/>
      <x:c r="K80" s="32" t="str">
        <x:f>IF(J80="","",1/J80)</x:f>
      </x:c>
      <x:c r="L80" s="32" t="str">
        <x:f>IF(OR(I80="",K80=""),"",I80-K80)</x:f>
      </x:c>
      <x:c r="M80" s="30"/>
      <x:c r="N80" s="30"/>
      <x:c r="O80" s="30" t="str">
        <x:f>IF(OR(M80="",N80=""),"",IF(N80="WIN",M80*(J80-1),IF(N80="LOSS",-M80,0)))</x:f>
      </x:c>
      <x:c r="P80" s="30"/>
      <x:c r="Q80" s="30" t="str">
        <x:f>IF(OR(J80="",P80=""),"",J80/P80-1)</x:f>
      </x:c>
      <x:c r="R80" s="30" t="str">
        <x:f>IF(O80="","",SUM($O$2:O80))</x:f>
      </x:c>
    </x:row>
    <x:row r="81">
      <x:c r="B81" s="28"/>
      <x:c r="I81" s="32"/>
      <x:c r="J81" s="30"/>
      <x:c r="K81" s="32" t="str">
        <x:f>IF(J81="","",1/J81)</x:f>
      </x:c>
      <x:c r="L81" s="32" t="str">
        <x:f>IF(OR(I81="",K81=""),"",I81-K81)</x:f>
      </x:c>
      <x:c r="M81" s="30"/>
      <x:c r="N81" s="30"/>
      <x:c r="O81" s="30" t="str">
        <x:f>IF(OR(M81="",N81=""),"",IF(N81="WIN",M81*(J81-1),IF(N81="LOSS",-M81,0)))</x:f>
      </x:c>
      <x:c r="P81" s="30"/>
      <x:c r="Q81" s="30" t="str">
        <x:f>IF(OR(J81="",P81=""),"",J81/P81-1)</x:f>
      </x:c>
      <x:c r="R81" s="30" t="str">
        <x:f>IF(O81="","",SUM($O$2:O81))</x:f>
      </x:c>
    </x:row>
    <x:row r="82">
      <x:c r="B82" s="28"/>
      <x:c r="I82" s="32"/>
      <x:c r="J82" s="30"/>
      <x:c r="K82" s="32" t="str">
        <x:f>IF(J82="","",1/J82)</x:f>
      </x:c>
      <x:c r="L82" s="32" t="str">
        <x:f>IF(OR(I82="",K82=""),"",I82-K82)</x:f>
      </x:c>
      <x:c r="M82" s="30"/>
      <x:c r="N82" s="30"/>
      <x:c r="O82" s="30" t="str">
        <x:f>IF(OR(M82="",N82=""),"",IF(N82="WIN",M82*(J82-1),IF(N82="LOSS",-M82,0)))</x:f>
      </x:c>
      <x:c r="P82" s="30"/>
      <x:c r="Q82" s="30" t="str">
        <x:f>IF(OR(J82="",P82=""),"",J82/P82-1)</x:f>
      </x:c>
      <x:c r="R82" s="30" t="str">
        <x:f>IF(O82="","",SUM($O$2:O82))</x:f>
      </x:c>
    </x:row>
    <x:row r="83">
      <x:c r="B83" s="28"/>
      <x:c r="I83" s="32"/>
      <x:c r="J83" s="30"/>
      <x:c r="K83" s="32" t="str">
        <x:f>IF(J83="","",1/J83)</x:f>
      </x:c>
      <x:c r="L83" s="32" t="str">
        <x:f>IF(OR(I83="",K83=""),"",I83-K83)</x:f>
      </x:c>
      <x:c r="M83" s="30"/>
      <x:c r="N83" s="30"/>
      <x:c r="O83" s="30" t="str">
        <x:f>IF(OR(M83="",N83=""),"",IF(N83="WIN",M83*(J83-1),IF(N83="LOSS",-M83,0)))</x:f>
      </x:c>
      <x:c r="P83" s="30"/>
      <x:c r="Q83" s="30" t="str">
        <x:f>IF(OR(J83="",P83=""),"",J83/P83-1)</x:f>
      </x:c>
      <x:c r="R83" s="30" t="str">
        <x:f>IF(O83="","",SUM($O$2:O83))</x:f>
      </x:c>
    </x:row>
    <x:row r="84">
      <x:c r="B84" s="28"/>
      <x:c r="I84" s="32"/>
      <x:c r="J84" s="30"/>
      <x:c r="K84" s="32" t="str">
        <x:f>IF(J84="","",1/J84)</x:f>
      </x:c>
      <x:c r="L84" s="32" t="str">
        <x:f>IF(OR(I84="",K84=""),"",I84-K84)</x:f>
      </x:c>
      <x:c r="M84" s="30"/>
      <x:c r="N84" s="30"/>
      <x:c r="O84" s="30" t="str">
        <x:f>IF(OR(M84="",N84=""),"",IF(N84="WIN",M84*(J84-1),IF(N84="LOSS",-M84,0)))</x:f>
      </x:c>
      <x:c r="P84" s="30"/>
      <x:c r="Q84" s="30" t="str">
        <x:f>IF(OR(J84="",P84=""),"",J84/P84-1)</x:f>
      </x:c>
      <x:c r="R84" s="30" t="str">
        <x:f>IF(O84="","",SUM($O$2:O84))</x:f>
      </x:c>
    </x:row>
    <x:row r="85">
      <x:c r="B85" s="28"/>
      <x:c r="I85" s="32"/>
      <x:c r="J85" s="30"/>
      <x:c r="K85" s="32" t="str">
        <x:f>IF(J85="","",1/J85)</x:f>
      </x:c>
      <x:c r="L85" s="32" t="str">
        <x:f>IF(OR(I85="",K85=""),"",I85-K85)</x:f>
      </x:c>
      <x:c r="M85" s="30"/>
      <x:c r="N85" s="30"/>
      <x:c r="O85" s="30" t="str">
        <x:f>IF(OR(M85="",N85=""),"",IF(N85="WIN",M85*(J85-1),IF(N85="LOSS",-M85,0)))</x:f>
      </x:c>
      <x:c r="P85" s="30"/>
      <x:c r="Q85" s="30" t="str">
        <x:f>IF(OR(J85="",P85=""),"",J85/P85-1)</x:f>
      </x:c>
      <x:c r="R85" s="30" t="str">
        <x:f>IF(O85="","",SUM($O$2:O85))</x:f>
      </x:c>
    </x:row>
    <x:row r="86">
      <x:c r="B86" s="28"/>
      <x:c r="I86" s="32"/>
      <x:c r="J86" s="30"/>
      <x:c r="K86" s="32" t="str">
        <x:f>IF(J86="","",1/J86)</x:f>
      </x:c>
      <x:c r="L86" s="32" t="str">
        <x:f>IF(OR(I86="",K86=""),"",I86-K86)</x:f>
      </x:c>
      <x:c r="M86" s="30"/>
      <x:c r="N86" s="30"/>
      <x:c r="O86" s="30" t="str">
        <x:f>IF(OR(M86="",N86=""),"",IF(N86="WIN",M86*(J86-1),IF(N86="LOSS",-M86,0)))</x:f>
      </x:c>
      <x:c r="P86" s="30"/>
      <x:c r="Q86" s="30" t="str">
        <x:f>IF(OR(J86="",P86=""),"",J86/P86-1)</x:f>
      </x:c>
      <x:c r="R86" s="30" t="str">
        <x:f>IF(O86="","",SUM($O$2:O86))</x:f>
      </x:c>
    </x:row>
    <x:row r="87">
      <x:c r="B87" s="28"/>
      <x:c r="I87" s="32"/>
      <x:c r="J87" s="30"/>
      <x:c r="K87" s="32" t="str">
        <x:f>IF(J87="","",1/J87)</x:f>
      </x:c>
      <x:c r="L87" s="32" t="str">
        <x:f>IF(OR(I87="",K87=""),"",I87-K87)</x:f>
      </x:c>
      <x:c r="M87" s="30"/>
      <x:c r="N87" s="30"/>
      <x:c r="O87" s="30" t="str">
        <x:f>IF(OR(M87="",N87=""),"",IF(N87="WIN",M87*(J87-1),IF(N87="LOSS",-M87,0)))</x:f>
      </x:c>
      <x:c r="P87" s="30"/>
      <x:c r="Q87" s="30" t="str">
        <x:f>IF(OR(J87="",P87=""),"",J87/P87-1)</x:f>
      </x:c>
      <x:c r="R87" s="30" t="str">
        <x:f>IF(O87="","",SUM($O$2:O87))</x:f>
      </x:c>
    </x:row>
    <x:row r="88">
      <x:c r="B88" s="28"/>
      <x:c r="I88" s="32"/>
      <x:c r="J88" s="30"/>
      <x:c r="K88" s="32" t="str">
        <x:f>IF(J88="","",1/J88)</x:f>
      </x:c>
      <x:c r="L88" s="32" t="str">
        <x:f>IF(OR(I88="",K88=""),"",I88-K88)</x:f>
      </x:c>
      <x:c r="M88" s="30"/>
      <x:c r="N88" s="30"/>
      <x:c r="O88" s="30" t="str">
        <x:f>IF(OR(M88="",N88=""),"",IF(N88="WIN",M88*(J88-1),IF(N88="LOSS",-M88,0)))</x:f>
      </x:c>
      <x:c r="P88" s="30"/>
      <x:c r="Q88" s="30" t="str">
        <x:f>IF(OR(J88="",P88=""),"",J88/P88-1)</x:f>
      </x:c>
      <x:c r="R88" s="30" t="str">
        <x:f>IF(O88="","",SUM($O$2:O88))</x:f>
      </x:c>
    </x:row>
    <x:row r="89">
      <x:c r="B89" s="28"/>
      <x:c r="I89" s="32"/>
      <x:c r="J89" s="30"/>
      <x:c r="K89" s="32" t="str">
        <x:f>IF(J89="","",1/J89)</x:f>
      </x:c>
      <x:c r="L89" s="32" t="str">
        <x:f>IF(OR(I89="",K89=""),"",I89-K89)</x:f>
      </x:c>
      <x:c r="M89" s="30"/>
      <x:c r="N89" s="30"/>
      <x:c r="O89" s="30" t="str">
        <x:f>IF(OR(M89="",N89=""),"",IF(N89="WIN",M89*(J89-1),IF(N89="LOSS",-M89,0)))</x:f>
      </x:c>
      <x:c r="P89" s="30"/>
      <x:c r="Q89" s="30" t="str">
        <x:f>IF(OR(J89="",P89=""),"",J89/P89-1)</x:f>
      </x:c>
      <x:c r="R89" s="30" t="str">
        <x:f>IF(O89="","",SUM($O$2:O89))</x:f>
      </x:c>
    </x:row>
    <x:row r="90">
      <x:c r="B90" s="28"/>
      <x:c r="I90" s="32"/>
      <x:c r="J90" s="30"/>
      <x:c r="K90" s="32" t="str">
        <x:f>IF(J90="","",1/J90)</x:f>
      </x:c>
      <x:c r="L90" s="32" t="str">
        <x:f>IF(OR(I90="",K90=""),"",I90-K90)</x:f>
      </x:c>
      <x:c r="M90" s="30"/>
      <x:c r="N90" s="30"/>
      <x:c r="O90" s="30" t="str">
        <x:f>IF(OR(M90="",N90=""),"",IF(N90="WIN",M90*(J90-1),IF(N90="LOSS",-M90,0)))</x:f>
      </x:c>
      <x:c r="P90" s="30"/>
      <x:c r="Q90" s="30" t="str">
        <x:f>IF(OR(J90="",P90=""),"",J90/P90-1)</x:f>
      </x:c>
      <x:c r="R90" s="30" t="str">
        <x:f>IF(O90="","",SUM($O$2:O90))</x:f>
      </x:c>
    </x:row>
    <x:row r="91">
      <x:c r="B91" s="28"/>
      <x:c r="I91" s="32"/>
      <x:c r="J91" s="30"/>
      <x:c r="K91" s="32" t="str">
        <x:f>IF(J91="","",1/J91)</x:f>
      </x:c>
      <x:c r="L91" s="32" t="str">
        <x:f>IF(OR(I91="",K91=""),"",I91-K91)</x:f>
      </x:c>
      <x:c r="M91" s="30"/>
      <x:c r="N91" s="30"/>
      <x:c r="O91" s="30" t="str">
        <x:f>IF(OR(M91="",N91=""),"",IF(N91="WIN",M91*(J91-1),IF(N91="LOSS",-M91,0)))</x:f>
      </x:c>
      <x:c r="P91" s="30"/>
      <x:c r="Q91" s="30" t="str">
        <x:f>IF(OR(J91="",P91=""),"",J91/P91-1)</x:f>
      </x:c>
      <x:c r="R91" s="30" t="str">
        <x:f>IF(O91="","",SUM($O$2:O91))</x:f>
      </x:c>
    </x:row>
    <x:row r="92">
      <x:c r="B92" s="28"/>
      <x:c r="I92" s="32"/>
      <x:c r="J92" s="30"/>
      <x:c r="K92" s="32" t="str">
        <x:f>IF(J92="","",1/J92)</x:f>
      </x:c>
      <x:c r="L92" s="32" t="str">
        <x:f>IF(OR(I92="",K92=""),"",I92-K92)</x:f>
      </x:c>
      <x:c r="M92" s="30"/>
      <x:c r="N92" s="30"/>
      <x:c r="O92" s="30" t="str">
        <x:f>IF(OR(M92="",N92=""),"",IF(N92="WIN",M92*(J92-1),IF(N92="LOSS",-M92,0)))</x:f>
      </x:c>
      <x:c r="P92" s="30"/>
      <x:c r="Q92" s="30" t="str">
        <x:f>IF(OR(J92="",P92=""),"",J92/P92-1)</x:f>
      </x:c>
      <x:c r="R92" s="30" t="str">
        <x:f>IF(O92="","",SUM($O$2:O92))</x:f>
      </x:c>
    </x:row>
    <x:row r="93">
      <x:c r="B93" s="28"/>
      <x:c r="I93" s="32"/>
      <x:c r="J93" s="30"/>
      <x:c r="K93" s="32" t="str">
        <x:f>IF(J93="","",1/J93)</x:f>
      </x:c>
      <x:c r="L93" s="32" t="str">
        <x:f>IF(OR(I93="",K93=""),"",I93-K93)</x:f>
      </x:c>
      <x:c r="M93" s="30"/>
      <x:c r="N93" s="30"/>
      <x:c r="O93" s="30" t="str">
        <x:f>IF(OR(M93="",N93=""),"",IF(N93="WIN",M93*(J93-1),IF(N93="LOSS",-M93,0)))</x:f>
      </x:c>
      <x:c r="P93" s="30"/>
      <x:c r="Q93" s="30" t="str">
        <x:f>IF(OR(J93="",P93=""),"",J93/P93-1)</x:f>
      </x:c>
      <x:c r="R93" s="30" t="str">
        <x:f>IF(O93="","",SUM($O$2:O93))</x:f>
      </x:c>
    </x:row>
    <x:row r="94">
      <x:c r="B94" s="28"/>
      <x:c r="I94" s="32"/>
      <x:c r="J94" s="30"/>
      <x:c r="K94" s="32" t="str">
        <x:f>IF(J94="","",1/J94)</x:f>
      </x:c>
      <x:c r="L94" s="32" t="str">
        <x:f>IF(OR(I94="",K94=""),"",I94-K94)</x:f>
      </x:c>
      <x:c r="M94" s="30"/>
      <x:c r="N94" s="30"/>
      <x:c r="O94" s="30" t="str">
        <x:f>IF(OR(M94="",N94=""),"",IF(N94="WIN",M94*(J94-1),IF(N94="LOSS",-M94,0)))</x:f>
      </x:c>
      <x:c r="P94" s="30"/>
      <x:c r="Q94" s="30" t="str">
        <x:f>IF(OR(J94="",P94=""),"",J94/P94-1)</x:f>
      </x:c>
      <x:c r="R94" s="30" t="str">
        <x:f>IF(O94="","",SUM($O$2:O94))</x:f>
      </x:c>
    </x:row>
    <x:row r="95">
      <x:c r="B95" s="28"/>
      <x:c r="I95" s="32"/>
      <x:c r="J95" s="30"/>
      <x:c r="K95" s="32" t="str">
        <x:f>IF(J95="","",1/J95)</x:f>
      </x:c>
      <x:c r="L95" s="32" t="str">
        <x:f>IF(OR(I95="",K95=""),"",I95-K95)</x:f>
      </x:c>
      <x:c r="M95" s="30"/>
      <x:c r="N95" s="30"/>
      <x:c r="O95" s="30" t="str">
        <x:f>IF(OR(M95="",N95=""),"",IF(N95="WIN",M95*(J95-1),IF(N95="LOSS",-M95,0)))</x:f>
      </x:c>
      <x:c r="P95" s="30"/>
      <x:c r="Q95" s="30" t="str">
        <x:f>IF(OR(J95="",P95=""),"",J95/P95-1)</x:f>
      </x:c>
      <x:c r="R95" s="30" t="str">
        <x:f>IF(O95="","",SUM($O$2:O95))</x:f>
      </x:c>
    </x:row>
    <x:row r="96">
      <x:c r="B96" s="28"/>
      <x:c r="I96" s="32"/>
      <x:c r="J96" s="30"/>
      <x:c r="K96" s="32" t="str">
        <x:f>IF(J96="","",1/J96)</x:f>
      </x:c>
      <x:c r="L96" s="32" t="str">
        <x:f>IF(OR(I96="",K96=""),"",I96-K96)</x:f>
      </x:c>
      <x:c r="M96" s="30"/>
      <x:c r="N96" s="30"/>
      <x:c r="O96" s="30" t="str">
        <x:f>IF(OR(M96="",N96=""),"",IF(N96="WIN",M96*(J96-1),IF(N96="LOSS",-M96,0)))</x:f>
      </x:c>
      <x:c r="P96" s="30"/>
      <x:c r="Q96" s="30" t="str">
        <x:f>IF(OR(J96="",P96=""),"",J96/P96-1)</x:f>
      </x:c>
      <x:c r="R96" s="30" t="str">
        <x:f>IF(O96="","",SUM($O$2:O96))</x:f>
      </x:c>
    </x:row>
    <x:row r="97">
      <x:c r="B97" s="28"/>
      <x:c r="I97" s="32"/>
      <x:c r="J97" s="30"/>
      <x:c r="K97" s="32" t="str">
        <x:f>IF(J97="","",1/J97)</x:f>
      </x:c>
      <x:c r="L97" s="32" t="str">
        <x:f>IF(OR(I97="",K97=""),"",I97-K97)</x:f>
      </x:c>
      <x:c r="M97" s="30"/>
      <x:c r="N97" s="30"/>
      <x:c r="O97" s="30" t="str">
        <x:f>IF(OR(M97="",N97=""),"",IF(N97="WIN",M97*(J97-1),IF(N97="LOSS",-M97,0)))</x:f>
      </x:c>
      <x:c r="P97" s="30"/>
      <x:c r="Q97" s="30" t="str">
        <x:f>IF(OR(J97="",P97=""),"",J97/P97-1)</x:f>
      </x:c>
      <x:c r="R97" s="30" t="str">
        <x:f>IF(O97="","",SUM($O$2:O97))</x:f>
      </x:c>
    </x:row>
    <x:row r="98">
      <x:c r="B98" s="28"/>
      <x:c r="I98" s="32"/>
      <x:c r="J98" s="30"/>
      <x:c r="K98" s="32" t="str">
        <x:f>IF(J98="","",1/J98)</x:f>
      </x:c>
      <x:c r="L98" s="32" t="str">
        <x:f>IF(OR(I98="",K98=""),"",I98-K98)</x:f>
      </x:c>
      <x:c r="M98" s="30"/>
      <x:c r="N98" s="30"/>
      <x:c r="O98" s="30" t="str">
        <x:f>IF(OR(M98="",N98=""),"",IF(N98="WIN",M98*(J98-1),IF(N98="LOSS",-M98,0)))</x:f>
      </x:c>
      <x:c r="P98" s="30"/>
      <x:c r="Q98" s="30" t="str">
        <x:f>IF(OR(J98="",P98=""),"",J98/P98-1)</x:f>
      </x:c>
      <x:c r="R98" s="30" t="str">
        <x:f>IF(O98="","",SUM($O$2:O98))</x:f>
      </x:c>
    </x:row>
    <x:row r="99">
      <x:c r="B99" s="28"/>
      <x:c r="I99" s="32"/>
      <x:c r="J99" s="30"/>
      <x:c r="K99" s="32" t="str">
        <x:f>IF(J99="","",1/J99)</x:f>
      </x:c>
      <x:c r="L99" s="32" t="str">
        <x:f>IF(OR(I99="",K99=""),"",I99-K99)</x:f>
      </x:c>
      <x:c r="M99" s="30"/>
      <x:c r="N99" s="30"/>
      <x:c r="O99" s="30" t="str">
        <x:f>IF(OR(M99="",N99=""),"",IF(N99="WIN",M99*(J99-1),IF(N99="LOSS",-M99,0)))</x:f>
      </x:c>
      <x:c r="P99" s="30"/>
      <x:c r="Q99" s="30" t="str">
        <x:f>IF(OR(J99="",P99=""),"",J99/P99-1)</x:f>
      </x:c>
      <x:c r="R99" s="30" t="str">
        <x:f>IF(O99="","",SUM($O$2:O99))</x:f>
      </x:c>
    </x:row>
    <x:row r="100">
      <x:c r="B100" s="28"/>
      <x:c r="I100" s="32"/>
      <x:c r="J100" s="30"/>
      <x:c r="K100" s="32" t="str">
        <x:f>IF(J100="","",1/J100)</x:f>
      </x:c>
      <x:c r="L100" s="32" t="str">
        <x:f>IF(OR(I100="",K100=""),"",I100-K100)</x:f>
      </x:c>
      <x:c r="M100" s="30"/>
      <x:c r="N100" s="30"/>
      <x:c r="O100" s="30" t="str">
        <x:f>IF(OR(M100="",N100=""),"",IF(N100="WIN",M100*(J100-1),IF(N100="LOSS",-M100,0)))</x:f>
      </x:c>
      <x:c r="P100" s="30"/>
      <x:c r="Q100" s="30" t="str">
        <x:f>IF(OR(J100="",P100=""),"",J100/P100-1)</x:f>
      </x:c>
      <x:c r="R100" s="30" t="str">
        <x:f>IF(O100="","",SUM($O$2:O100))</x:f>
      </x:c>
    </x:row>
    <x:row r="101">
      <x:c r="B101" s="28"/>
      <x:c r="I101" s="32"/>
      <x:c r="J101" s="30"/>
      <x:c r="K101" s="32" t="str">
        <x:f>IF(J101="","",1/J101)</x:f>
      </x:c>
      <x:c r="L101" s="32" t="str">
        <x:f>IF(OR(I101="",K101=""),"",I101-K101)</x:f>
      </x:c>
      <x:c r="M101" s="30"/>
      <x:c r="N101" s="30"/>
      <x:c r="O101" s="30" t="str">
        <x:f>IF(OR(M101="",N101=""),"",IF(N101="WIN",M101*(J101-1),IF(N101="LOSS",-M101,0)))</x:f>
      </x:c>
      <x:c r="P101" s="30"/>
      <x:c r="Q101" s="30" t="str">
        <x:f>IF(OR(J101="",P101=""),"",J101/P101-1)</x:f>
      </x:c>
      <x:c r="R101" s="30" t="str">
        <x:f>IF(O101="","",SUM($O$2:O101))</x:f>
      </x:c>
    </x:row>
    <x:row r="102">
      <x:c r="B102" s="28"/>
      <x:c r="I102" s="32"/>
      <x:c r="J102" s="30"/>
      <x:c r="K102" s="32" t="str">
        <x:f>IF(J102="","",1/J102)</x:f>
      </x:c>
      <x:c r="L102" s="32" t="str">
        <x:f>IF(OR(I102="",K102=""),"",I102-K102)</x:f>
      </x:c>
      <x:c r="M102" s="30"/>
      <x:c r="N102" s="30"/>
      <x:c r="O102" s="30" t="str">
        <x:f>IF(OR(M102="",N102=""),"",IF(N102="WIN",M102*(J102-1),IF(N102="LOSS",-M102,0)))</x:f>
      </x:c>
      <x:c r="P102" s="30"/>
      <x:c r="Q102" s="30" t="str">
        <x:f>IF(OR(J102="",P102=""),"",J102/P102-1)</x:f>
      </x:c>
      <x:c r="R102" s="30" t="str">
        <x:f>IF(O102="","",SUM($O$2:O102))</x:f>
      </x:c>
    </x:row>
    <x:row r="103">
      <x:c r="B103" s="28"/>
      <x:c r="I103" s="32"/>
      <x:c r="J103" s="30"/>
      <x:c r="K103" s="32" t="str">
        <x:f>IF(J103="","",1/J103)</x:f>
      </x:c>
      <x:c r="L103" s="32" t="str">
        <x:f>IF(OR(I103="",K103=""),"",I103-K103)</x:f>
      </x:c>
      <x:c r="M103" s="30"/>
      <x:c r="N103" s="30"/>
      <x:c r="O103" s="30" t="str">
        <x:f>IF(OR(M103="",N103=""),"",IF(N103="WIN",M103*(J103-1),IF(N103="LOSS",-M103,0)))</x:f>
      </x:c>
      <x:c r="P103" s="30"/>
      <x:c r="Q103" s="30" t="str">
        <x:f>IF(OR(J103="",P103=""),"",J103/P103-1)</x:f>
      </x:c>
      <x:c r="R103" s="30" t="str">
        <x:f>IF(O103="","",SUM($O$2:O103))</x:f>
      </x:c>
    </x:row>
    <x:row r="104">
      <x:c r="B104" s="28"/>
      <x:c r="I104" s="32"/>
      <x:c r="J104" s="30"/>
      <x:c r="K104" s="32" t="str">
        <x:f>IF(J104="","",1/J104)</x:f>
      </x:c>
      <x:c r="L104" s="32" t="str">
        <x:f>IF(OR(I104="",K104=""),"",I104-K104)</x:f>
      </x:c>
      <x:c r="M104" s="30"/>
      <x:c r="N104" s="30"/>
      <x:c r="O104" s="30" t="str">
        <x:f>IF(OR(M104="",N104=""),"",IF(N104="WIN",M104*(J104-1),IF(N104="LOSS",-M104,0)))</x:f>
      </x:c>
      <x:c r="P104" s="30"/>
      <x:c r="Q104" s="30" t="str">
        <x:f>IF(OR(J104="",P104=""),"",J104/P104-1)</x:f>
      </x:c>
      <x:c r="R104" s="30" t="str">
        <x:f>IF(O104="","",SUM($O$2:O104))</x:f>
      </x:c>
    </x:row>
    <x:row r="105">
      <x:c r="B105" s="28"/>
      <x:c r="I105" s="32"/>
      <x:c r="J105" s="30"/>
      <x:c r="K105" s="32" t="str">
        <x:f>IF(J105="","",1/J105)</x:f>
      </x:c>
      <x:c r="L105" s="32" t="str">
        <x:f>IF(OR(I105="",K105=""),"",I105-K105)</x:f>
      </x:c>
      <x:c r="M105" s="30"/>
      <x:c r="N105" s="30"/>
      <x:c r="O105" s="30" t="str">
        <x:f>IF(OR(M105="",N105=""),"",IF(N105="WIN",M105*(J105-1),IF(N105="LOSS",-M105,0)))</x:f>
      </x:c>
      <x:c r="P105" s="30"/>
      <x:c r="Q105" s="30" t="str">
        <x:f>IF(OR(J105="",P105=""),"",J105/P105-1)</x:f>
      </x:c>
      <x:c r="R105" s="30" t="str">
        <x:f>IF(O105="","",SUM($O$2:O105))</x:f>
      </x:c>
    </x:row>
    <x:row r="106">
      <x:c r="B106" s="28"/>
      <x:c r="I106" s="32"/>
      <x:c r="J106" s="30"/>
      <x:c r="K106" s="32" t="str">
        <x:f>IF(J106="","",1/J106)</x:f>
      </x:c>
      <x:c r="L106" s="32" t="str">
        <x:f>IF(OR(I106="",K106=""),"",I106-K106)</x:f>
      </x:c>
      <x:c r="M106" s="30"/>
      <x:c r="N106" s="30"/>
      <x:c r="O106" s="30" t="str">
        <x:f>IF(OR(M106="",N106=""),"",IF(N106="WIN",M106*(J106-1),IF(N106="LOSS",-M106,0)))</x:f>
      </x:c>
      <x:c r="P106" s="30"/>
      <x:c r="Q106" s="30" t="str">
        <x:f>IF(OR(J106="",P106=""),"",J106/P106-1)</x:f>
      </x:c>
      <x:c r="R106" s="30" t="str">
        <x:f>IF(O106="","",SUM($O$2:O106))</x:f>
      </x:c>
    </x:row>
    <x:row r="107">
      <x:c r="B107" s="28"/>
      <x:c r="I107" s="32"/>
      <x:c r="J107" s="30"/>
      <x:c r="K107" s="32" t="str">
        <x:f>IF(J107="","",1/J107)</x:f>
      </x:c>
      <x:c r="L107" s="32" t="str">
        <x:f>IF(OR(I107="",K107=""),"",I107-K107)</x:f>
      </x:c>
      <x:c r="M107" s="30"/>
      <x:c r="N107" s="30"/>
      <x:c r="O107" s="30" t="str">
        <x:f>IF(OR(M107="",N107=""),"",IF(N107="WIN",M107*(J107-1),IF(N107="LOSS",-M107,0)))</x:f>
      </x:c>
      <x:c r="P107" s="30"/>
      <x:c r="Q107" s="30" t="str">
        <x:f>IF(OR(J107="",P107=""),"",J107/P107-1)</x:f>
      </x:c>
      <x:c r="R107" s="30" t="str">
        <x:f>IF(O107="","",SUM($O$2:O107))</x:f>
      </x:c>
    </x:row>
    <x:row r="108">
      <x:c r="B108" s="28"/>
      <x:c r="I108" s="32"/>
      <x:c r="J108" s="30"/>
      <x:c r="K108" s="32" t="str">
        <x:f>IF(J108="","",1/J108)</x:f>
      </x:c>
      <x:c r="L108" s="32" t="str">
        <x:f>IF(OR(I108="",K108=""),"",I108-K108)</x:f>
      </x:c>
      <x:c r="M108" s="30"/>
      <x:c r="N108" s="30"/>
      <x:c r="O108" s="30" t="str">
        <x:f>IF(OR(M108="",N108=""),"",IF(N108="WIN",M108*(J108-1),IF(N108="LOSS",-M108,0)))</x:f>
      </x:c>
      <x:c r="P108" s="30"/>
      <x:c r="Q108" s="30" t="str">
        <x:f>IF(OR(J108="",P108=""),"",J108/P108-1)</x:f>
      </x:c>
      <x:c r="R108" s="30" t="str">
        <x:f>IF(O108="","",SUM($O$2:O108))</x:f>
      </x:c>
    </x:row>
    <x:row r="109">
      <x:c r="B109" s="28"/>
      <x:c r="I109" s="32"/>
      <x:c r="J109" s="30"/>
      <x:c r="K109" s="32" t="str">
        <x:f>IF(J109="","",1/J109)</x:f>
      </x:c>
      <x:c r="L109" s="32" t="str">
        <x:f>IF(OR(I109="",K109=""),"",I109-K109)</x:f>
      </x:c>
      <x:c r="M109" s="30"/>
      <x:c r="N109" s="30"/>
      <x:c r="O109" s="30" t="str">
        <x:f>IF(OR(M109="",N109=""),"",IF(N109="WIN",M109*(J109-1),IF(N109="LOSS",-M109,0)))</x:f>
      </x:c>
      <x:c r="P109" s="30"/>
      <x:c r="Q109" s="30" t="str">
        <x:f>IF(OR(J109="",P109=""),"",J109/P109-1)</x:f>
      </x:c>
      <x:c r="R109" s="30" t="str">
        <x:f>IF(O109="","",SUM($O$2:O109))</x:f>
      </x:c>
    </x:row>
    <x:row r="110">
      <x:c r="B110" s="28"/>
      <x:c r="I110" s="32"/>
      <x:c r="J110" s="30"/>
      <x:c r="K110" s="32" t="str">
        <x:f>IF(J110="","",1/J110)</x:f>
      </x:c>
      <x:c r="L110" s="32" t="str">
        <x:f>IF(OR(I110="",K110=""),"",I110-K110)</x:f>
      </x:c>
      <x:c r="M110" s="30"/>
      <x:c r="N110" s="30"/>
      <x:c r="O110" s="30" t="str">
        <x:f>IF(OR(M110="",N110=""),"",IF(N110="WIN",M110*(J110-1),IF(N110="LOSS",-M110,0)))</x:f>
      </x:c>
      <x:c r="P110" s="30"/>
      <x:c r="Q110" s="30" t="str">
        <x:f>IF(OR(J110="",P110=""),"",J110/P110-1)</x:f>
      </x:c>
      <x:c r="R110" s="30" t="str">
        <x:f>IF(O110="","",SUM($O$2:O110))</x:f>
      </x:c>
    </x:row>
    <x:row r="111">
      <x:c r="B111" s="28"/>
      <x:c r="I111" s="32"/>
      <x:c r="J111" s="30"/>
      <x:c r="K111" s="32" t="str">
        <x:f>IF(J111="","",1/J111)</x:f>
      </x:c>
      <x:c r="L111" s="32" t="str">
        <x:f>IF(OR(I111="",K111=""),"",I111-K111)</x:f>
      </x:c>
      <x:c r="M111" s="30"/>
      <x:c r="N111" s="30"/>
      <x:c r="O111" s="30" t="str">
        <x:f>IF(OR(M111="",N111=""),"",IF(N111="WIN",M111*(J111-1),IF(N111="LOSS",-M111,0)))</x:f>
      </x:c>
      <x:c r="P111" s="30"/>
      <x:c r="Q111" s="30" t="str">
        <x:f>IF(OR(J111="",P111=""),"",J111/P111-1)</x:f>
      </x:c>
      <x:c r="R111" s="30" t="str">
        <x:f>IF(O111="","",SUM($O$2:O111))</x:f>
      </x:c>
    </x:row>
    <x:row r="112">
      <x:c r="B112" s="28"/>
      <x:c r="I112" s="32"/>
      <x:c r="J112" s="30"/>
      <x:c r="K112" s="32" t="str">
        <x:f>IF(J112="","",1/J112)</x:f>
      </x:c>
      <x:c r="L112" s="32" t="str">
        <x:f>IF(OR(I112="",K112=""),"",I112-K112)</x:f>
      </x:c>
      <x:c r="M112" s="30"/>
      <x:c r="N112" s="30"/>
      <x:c r="O112" s="30" t="str">
        <x:f>IF(OR(M112="",N112=""),"",IF(N112="WIN",M112*(J112-1),IF(N112="LOSS",-M112,0)))</x:f>
      </x:c>
      <x:c r="P112" s="30"/>
      <x:c r="Q112" s="30" t="str">
        <x:f>IF(OR(J112="",P112=""),"",J112/P112-1)</x:f>
      </x:c>
      <x:c r="R112" s="30" t="str">
        <x:f>IF(O112="","",SUM($O$2:O112))</x:f>
      </x:c>
    </x:row>
    <x:row r="113">
      <x:c r="B113" s="28"/>
      <x:c r="I113" s="32"/>
      <x:c r="J113" s="30"/>
      <x:c r="K113" s="32" t="str">
        <x:f>IF(J113="","",1/J113)</x:f>
      </x:c>
      <x:c r="L113" s="32" t="str">
        <x:f>IF(OR(I113="",K113=""),"",I113-K113)</x:f>
      </x:c>
      <x:c r="M113" s="30"/>
      <x:c r="N113" s="30"/>
      <x:c r="O113" s="30" t="str">
        <x:f>IF(OR(M113="",N113=""),"",IF(N113="WIN",M113*(J113-1),IF(N113="LOSS",-M113,0)))</x:f>
      </x:c>
      <x:c r="P113" s="30"/>
      <x:c r="Q113" s="30" t="str">
        <x:f>IF(OR(J113="",P113=""),"",J113/P113-1)</x:f>
      </x:c>
      <x:c r="R113" s="30" t="str">
        <x:f>IF(O113="","",SUM($O$2:O113))</x:f>
      </x:c>
    </x:row>
    <x:row r="114">
      <x:c r="B114" s="28"/>
      <x:c r="I114" s="32"/>
      <x:c r="J114" s="30"/>
      <x:c r="K114" s="32" t="str">
        <x:f>IF(J114="","",1/J114)</x:f>
      </x:c>
      <x:c r="L114" s="32" t="str">
        <x:f>IF(OR(I114="",K114=""),"",I114-K114)</x:f>
      </x:c>
      <x:c r="M114" s="30"/>
      <x:c r="N114" s="30"/>
      <x:c r="O114" s="30" t="str">
        <x:f>IF(OR(M114="",N114=""),"",IF(N114="WIN",M114*(J114-1),IF(N114="LOSS",-M114,0)))</x:f>
      </x:c>
      <x:c r="P114" s="30"/>
      <x:c r="Q114" s="30" t="str">
        <x:f>IF(OR(J114="",P114=""),"",J114/P114-1)</x:f>
      </x:c>
      <x:c r="R114" s="30" t="str">
        <x:f>IF(O114="","",SUM($O$2:O114))</x:f>
      </x:c>
    </x:row>
    <x:row r="115">
      <x:c r="B115" s="28"/>
      <x:c r="I115" s="32"/>
      <x:c r="J115" s="30"/>
      <x:c r="K115" s="32" t="str">
        <x:f>IF(J115="","",1/J115)</x:f>
      </x:c>
      <x:c r="L115" s="32" t="str">
        <x:f>IF(OR(I115="",K115=""),"",I115-K115)</x:f>
      </x:c>
      <x:c r="M115" s="30"/>
      <x:c r="N115" s="30"/>
      <x:c r="O115" s="30" t="str">
        <x:f>IF(OR(M115="",N115=""),"",IF(N115="WIN",M115*(J115-1),IF(N115="LOSS",-M115,0)))</x:f>
      </x:c>
      <x:c r="P115" s="30"/>
      <x:c r="Q115" s="30" t="str">
        <x:f>IF(OR(J115="",P115=""),"",J115/P115-1)</x:f>
      </x:c>
      <x:c r="R115" s="30" t="str">
        <x:f>IF(O115="","",SUM($O$2:O115))</x:f>
      </x:c>
    </x:row>
    <x:row r="116">
      <x:c r="B116" s="28"/>
      <x:c r="I116" s="32"/>
      <x:c r="J116" s="30"/>
      <x:c r="K116" s="32" t="str">
        <x:f>IF(J116="","",1/J116)</x:f>
      </x:c>
      <x:c r="L116" s="32" t="str">
        <x:f>IF(OR(I116="",K116=""),"",I116-K116)</x:f>
      </x:c>
      <x:c r="M116" s="30"/>
      <x:c r="N116" s="30"/>
      <x:c r="O116" s="30" t="str">
        <x:f>IF(OR(M116="",N116=""),"",IF(N116="WIN",M116*(J116-1),IF(N116="LOSS",-M116,0)))</x:f>
      </x:c>
      <x:c r="P116" s="30"/>
      <x:c r="Q116" s="30" t="str">
        <x:f>IF(OR(J116="",P116=""),"",J116/P116-1)</x:f>
      </x:c>
      <x:c r="R116" s="30" t="str">
        <x:f>IF(O116="","",SUM($O$2:O116))</x:f>
      </x:c>
    </x:row>
    <x:row r="117">
      <x:c r="B117" s="28"/>
      <x:c r="I117" s="32"/>
      <x:c r="J117" s="30"/>
      <x:c r="K117" s="32" t="str">
        <x:f>IF(J117="","",1/J117)</x:f>
      </x:c>
      <x:c r="L117" s="32" t="str">
        <x:f>IF(OR(I117="",K117=""),"",I117-K117)</x:f>
      </x:c>
      <x:c r="M117" s="30"/>
      <x:c r="N117" s="30"/>
      <x:c r="O117" s="30" t="str">
        <x:f>IF(OR(M117="",N117=""),"",IF(N117="WIN",M117*(J117-1),IF(N117="LOSS",-M117,0)))</x:f>
      </x:c>
      <x:c r="P117" s="30"/>
      <x:c r="Q117" s="30" t="str">
        <x:f>IF(OR(J117="",P117=""),"",J117/P117-1)</x:f>
      </x:c>
      <x:c r="R117" s="30" t="str">
        <x:f>IF(O117="","",SUM($O$2:O117))</x:f>
      </x:c>
    </x:row>
    <x:row r="118">
      <x:c r="B118" s="28"/>
      <x:c r="I118" s="32"/>
      <x:c r="J118" s="30"/>
      <x:c r="K118" s="32" t="str">
        <x:f>IF(J118="","",1/J118)</x:f>
      </x:c>
      <x:c r="L118" s="32" t="str">
        <x:f>IF(OR(I118="",K118=""),"",I118-K118)</x:f>
      </x:c>
      <x:c r="M118" s="30"/>
      <x:c r="N118" s="30"/>
      <x:c r="O118" s="30" t="str">
        <x:f>IF(OR(M118="",N118=""),"",IF(N118="WIN",M118*(J118-1),IF(N118="LOSS",-M118,0)))</x:f>
      </x:c>
      <x:c r="P118" s="30"/>
      <x:c r="Q118" s="30" t="str">
        <x:f>IF(OR(J118="",P118=""),"",J118/P118-1)</x:f>
      </x:c>
      <x:c r="R118" s="30" t="str">
        <x:f>IF(O118="","",SUM($O$2:O118))</x:f>
      </x:c>
    </x:row>
    <x:row r="119">
      <x:c r="B119" s="28"/>
      <x:c r="I119" s="32"/>
      <x:c r="J119" s="30"/>
      <x:c r="K119" s="32" t="str">
        <x:f>IF(J119="","",1/J119)</x:f>
      </x:c>
      <x:c r="L119" s="32" t="str">
        <x:f>IF(OR(I119="",K119=""),"",I119-K119)</x:f>
      </x:c>
      <x:c r="M119" s="30"/>
      <x:c r="N119" s="30"/>
      <x:c r="O119" s="30" t="str">
        <x:f>IF(OR(M119="",N119=""),"",IF(N119="WIN",M119*(J119-1),IF(N119="LOSS",-M119,0)))</x:f>
      </x:c>
      <x:c r="P119" s="30"/>
      <x:c r="Q119" s="30" t="str">
        <x:f>IF(OR(J119="",P119=""),"",J119/P119-1)</x:f>
      </x:c>
      <x:c r="R119" s="30" t="str">
        <x:f>IF(O119="","",SUM($O$2:O119))</x:f>
      </x:c>
    </x:row>
    <x:row r="120">
      <x:c r="B120" s="28"/>
      <x:c r="I120" s="32"/>
      <x:c r="J120" s="30"/>
      <x:c r="K120" s="32" t="str">
        <x:f>IF(J120="","",1/J120)</x:f>
      </x:c>
      <x:c r="L120" s="32" t="str">
        <x:f>IF(OR(I120="",K120=""),"",I120-K120)</x:f>
      </x:c>
      <x:c r="M120" s="30"/>
      <x:c r="N120" s="30"/>
      <x:c r="O120" s="30" t="str">
        <x:f>IF(OR(M120="",N120=""),"",IF(N120="WIN",M120*(J120-1),IF(N120="LOSS",-M120,0)))</x:f>
      </x:c>
      <x:c r="P120" s="30"/>
      <x:c r="Q120" s="30" t="str">
        <x:f>IF(OR(J120="",P120=""),"",J120/P120-1)</x:f>
      </x:c>
      <x:c r="R120" s="30" t="str">
        <x:f>IF(O120="","",SUM($O$2:O120))</x:f>
      </x:c>
    </x:row>
    <x:row r="121">
      <x:c r="B121" s="28"/>
      <x:c r="I121" s="32"/>
      <x:c r="J121" s="30"/>
      <x:c r="K121" s="32" t="str">
        <x:f>IF(J121="","",1/J121)</x:f>
      </x:c>
      <x:c r="L121" s="32" t="str">
        <x:f>IF(OR(I121="",K121=""),"",I121-K121)</x:f>
      </x:c>
      <x:c r="M121" s="30"/>
      <x:c r="N121" s="30"/>
      <x:c r="O121" s="30" t="str">
        <x:f>IF(OR(M121="",N121=""),"",IF(N121="WIN",M121*(J121-1),IF(N121="LOSS",-M121,0)))</x:f>
      </x:c>
      <x:c r="P121" s="30"/>
      <x:c r="Q121" s="30" t="str">
        <x:f>IF(OR(J121="",P121=""),"",J121/P121-1)</x:f>
      </x:c>
      <x:c r="R121" s="30" t="str">
        <x:f>IF(O121="","",SUM($O$2:O121))</x:f>
      </x:c>
    </x:row>
    <x:row r="122">
      <x:c r="B122" s="28"/>
      <x:c r="I122" s="32"/>
      <x:c r="J122" s="30"/>
      <x:c r="K122" s="32" t="str">
        <x:f>IF(J122="","",1/J122)</x:f>
      </x:c>
      <x:c r="L122" s="32" t="str">
        <x:f>IF(OR(I122="",K122=""),"",I122-K122)</x:f>
      </x:c>
      <x:c r="M122" s="30"/>
      <x:c r="N122" s="30"/>
      <x:c r="O122" s="30" t="str">
        <x:f>IF(OR(M122="",N122=""),"",IF(N122="WIN",M122*(J122-1),IF(N122="LOSS",-M122,0)))</x:f>
      </x:c>
      <x:c r="P122" s="30"/>
      <x:c r="Q122" s="30" t="str">
        <x:f>IF(OR(J122="",P122=""),"",J122/P122-1)</x:f>
      </x:c>
      <x:c r="R122" s="30" t="str">
        <x:f>IF(O122="","",SUM($O$2:O122))</x:f>
      </x:c>
    </x:row>
    <x:row r="123">
      <x:c r="B123" s="28"/>
      <x:c r="I123" s="32"/>
      <x:c r="J123" s="30"/>
      <x:c r="K123" s="32" t="str">
        <x:f>IF(J123="","",1/J123)</x:f>
      </x:c>
      <x:c r="L123" s="32" t="str">
        <x:f>IF(OR(I123="",K123=""),"",I123-K123)</x:f>
      </x:c>
      <x:c r="M123" s="30"/>
      <x:c r="N123" s="30"/>
      <x:c r="O123" s="30" t="str">
        <x:f>IF(OR(M123="",N123=""),"",IF(N123="WIN",M123*(J123-1),IF(N123="LOSS",-M123,0)))</x:f>
      </x:c>
      <x:c r="P123" s="30"/>
      <x:c r="Q123" s="30" t="str">
        <x:f>IF(OR(J123="",P123=""),"",J123/P123-1)</x:f>
      </x:c>
      <x:c r="R123" s="30" t="str">
        <x:f>IF(O123="","",SUM($O$2:O123))</x:f>
      </x:c>
    </x:row>
    <x:row r="124">
      <x:c r="B124" s="28"/>
      <x:c r="I124" s="32"/>
      <x:c r="J124" s="30"/>
      <x:c r="K124" s="32" t="str">
        <x:f>IF(J124="","",1/J124)</x:f>
      </x:c>
      <x:c r="L124" s="32" t="str">
        <x:f>IF(OR(I124="",K124=""),"",I124-K124)</x:f>
      </x:c>
      <x:c r="M124" s="30"/>
      <x:c r="N124" s="30"/>
      <x:c r="O124" s="30" t="str">
        <x:f>IF(OR(M124="",N124=""),"",IF(N124="WIN",M124*(J124-1),IF(N124="LOSS",-M124,0)))</x:f>
      </x:c>
      <x:c r="P124" s="30"/>
      <x:c r="Q124" s="30" t="str">
        <x:f>IF(OR(J124="",P124=""),"",J124/P124-1)</x:f>
      </x:c>
      <x:c r="R124" s="30" t="str">
        <x:f>IF(O124="","",SUM($O$2:O124))</x:f>
      </x:c>
    </x:row>
    <x:row r="125">
      <x:c r="B125" s="28"/>
      <x:c r="I125" s="32"/>
      <x:c r="J125" s="30"/>
      <x:c r="K125" s="32" t="str">
        <x:f>IF(J125="","",1/J125)</x:f>
      </x:c>
      <x:c r="L125" s="32" t="str">
        <x:f>IF(OR(I125="",K125=""),"",I125-K125)</x:f>
      </x:c>
      <x:c r="M125" s="30"/>
      <x:c r="N125" s="30"/>
      <x:c r="O125" s="30" t="str">
        <x:f>IF(OR(M125="",N125=""),"",IF(N125="WIN",M125*(J125-1),IF(N125="LOSS",-M125,0)))</x:f>
      </x:c>
      <x:c r="P125" s="30"/>
      <x:c r="Q125" s="30" t="str">
        <x:f>IF(OR(J125="",P125=""),"",J125/P125-1)</x:f>
      </x:c>
      <x:c r="R125" s="30" t="str">
        <x:f>IF(O125="","",SUM($O$2:O125))</x:f>
      </x:c>
    </x:row>
    <x:row r="126">
      <x:c r="B126" s="28"/>
      <x:c r="I126" s="32"/>
      <x:c r="J126" s="30"/>
      <x:c r="K126" s="32" t="str">
        <x:f>IF(J126="","",1/J126)</x:f>
      </x:c>
      <x:c r="L126" s="32" t="str">
        <x:f>IF(OR(I126="",K126=""),"",I126-K126)</x:f>
      </x:c>
      <x:c r="M126" s="30"/>
      <x:c r="N126" s="30"/>
      <x:c r="O126" s="30" t="str">
        <x:f>IF(OR(M126="",N126=""),"",IF(N126="WIN",M126*(J126-1),IF(N126="LOSS",-M126,0)))</x:f>
      </x:c>
      <x:c r="P126" s="30"/>
      <x:c r="Q126" s="30" t="str">
        <x:f>IF(OR(J126="",P126=""),"",J126/P126-1)</x:f>
      </x:c>
      <x:c r="R126" s="30" t="str">
        <x:f>IF(O126="","",SUM($O$2:O126))</x:f>
      </x:c>
    </x:row>
    <x:row r="127">
      <x:c r="B127" s="28"/>
      <x:c r="I127" s="32"/>
      <x:c r="J127" s="30"/>
      <x:c r="K127" s="32" t="str">
        <x:f>IF(J127="","",1/J127)</x:f>
      </x:c>
      <x:c r="L127" s="32" t="str">
        <x:f>IF(OR(I127="",K127=""),"",I127-K127)</x:f>
      </x:c>
      <x:c r="M127" s="30"/>
      <x:c r="N127" s="30"/>
      <x:c r="O127" s="30" t="str">
        <x:f>IF(OR(M127="",N127=""),"",IF(N127="WIN",M127*(J127-1),IF(N127="LOSS",-M127,0)))</x:f>
      </x:c>
      <x:c r="P127" s="30"/>
      <x:c r="Q127" s="30" t="str">
        <x:f>IF(OR(J127="",P127=""),"",J127/P127-1)</x:f>
      </x:c>
      <x:c r="R127" s="30" t="str">
        <x:f>IF(O127="","",SUM($O$2:O127))</x:f>
      </x:c>
    </x:row>
    <x:row r="128">
      <x:c r="B128" s="28"/>
      <x:c r="I128" s="32"/>
      <x:c r="J128" s="30"/>
      <x:c r="K128" s="32" t="str">
        <x:f>IF(J128="","",1/J128)</x:f>
      </x:c>
      <x:c r="L128" s="32" t="str">
        <x:f>IF(OR(I128="",K128=""),"",I128-K128)</x:f>
      </x:c>
      <x:c r="M128" s="30"/>
      <x:c r="N128" s="30"/>
      <x:c r="O128" s="30" t="str">
        <x:f>IF(OR(M128="",N128=""),"",IF(N128="WIN",M128*(J128-1),IF(N128="LOSS",-M128,0)))</x:f>
      </x:c>
      <x:c r="P128" s="30"/>
      <x:c r="Q128" s="30" t="str">
        <x:f>IF(OR(J128="",P128=""),"",J128/P128-1)</x:f>
      </x:c>
      <x:c r="R128" s="30" t="str">
        <x:f>IF(O128="","",SUM($O$2:O128))</x:f>
      </x:c>
    </x:row>
    <x:row r="129">
      <x:c r="B129" s="28"/>
      <x:c r="I129" s="32"/>
      <x:c r="J129" s="30"/>
      <x:c r="K129" s="32" t="str">
        <x:f>IF(J129="","",1/J129)</x:f>
      </x:c>
      <x:c r="L129" s="32" t="str">
        <x:f>IF(OR(I129="",K129=""),"",I129-K129)</x:f>
      </x:c>
      <x:c r="M129" s="30"/>
      <x:c r="N129" s="30"/>
      <x:c r="O129" s="30" t="str">
        <x:f>IF(OR(M129="",N129=""),"",IF(N129="WIN",M129*(J129-1),IF(N129="LOSS",-M129,0)))</x:f>
      </x:c>
      <x:c r="P129" s="30"/>
      <x:c r="Q129" s="30" t="str">
        <x:f>IF(OR(J129="",P129=""),"",J129/P129-1)</x:f>
      </x:c>
      <x:c r="R129" s="30" t="str">
        <x:f>IF(O129="","",SUM($O$2:O129))</x:f>
      </x:c>
    </x:row>
    <x:row r="130">
      <x:c r="B130" s="28"/>
      <x:c r="I130" s="32"/>
      <x:c r="J130" s="30"/>
      <x:c r="K130" s="32" t="str">
        <x:f>IF(J130="","",1/J130)</x:f>
      </x:c>
      <x:c r="L130" s="32" t="str">
        <x:f>IF(OR(I130="",K130=""),"",I130-K130)</x:f>
      </x:c>
      <x:c r="M130" s="30"/>
      <x:c r="N130" s="30"/>
      <x:c r="O130" s="30" t="str">
        <x:f>IF(OR(M130="",N130=""),"",IF(N130="WIN",M130*(J130-1),IF(N130="LOSS",-M130,0)))</x:f>
      </x:c>
      <x:c r="P130" s="30"/>
      <x:c r="Q130" s="30" t="str">
        <x:f>IF(OR(J130="",P130=""),"",J130/P130-1)</x:f>
      </x:c>
      <x:c r="R130" s="30" t="str">
        <x:f>IF(O130="","",SUM($O$2:O130))</x:f>
      </x:c>
    </x:row>
    <x:row r="131">
      <x:c r="B131" s="28"/>
      <x:c r="I131" s="32"/>
      <x:c r="J131" s="30"/>
      <x:c r="K131" s="32" t="str">
        <x:f>IF(J131="","",1/J131)</x:f>
      </x:c>
      <x:c r="L131" s="32" t="str">
        <x:f>IF(OR(I131="",K131=""),"",I131-K131)</x:f>
      </x:c>
      <x:c r="M131" s="30"/>
      <x:c r="N131" s="30"/>
      <x:c r="O131" s="30" t="str">
        <x:f>IF(OR(M131="",N131=""),"",IF(N131="WIN",M131*(J131-1),IF(N131="LOSS",-M131,0)))</x:f>
      </x:c>
      <x:c r="P131" s="30"/>
      <x:c r="Q131" s="30" t="str">
        <x:f>IF(OR(J131="",P131=""),"",J131/P131-1)</x:f>
      </x:c>
      <x:c r="R131" s="30" t="str">
        <x:f>IF(O131="","",SUM($O$2:O131))</x:f>
      </x:c>
    </x:row>
    <x:row r="132">
      <x:c r="B132" s="28"/>
      <x:c r="I132" s="32"/>
      <x:c r="J132" s="30"/>
      <x:c r="K132" s="32" t="str">
        <x:f>IF(J132="","",1/J132)</x:f>
      </x:c>
      <x:c r="L132" s="32" t="str">
        <x:f>IF(OR(I132="",K132=""),"",I132-K132)</x:f>
      </x:c>
      <x:c r="M132" s="30"/>
      <x:c r="N132" s="30"/>
      <x:c r="O132" s="30" t="str">
        <x:f>IF(OR(M132="",N132=""),"",IF(N132="WIN",M132*(J132-1),IF(N132="LOSS",-M132,0)))</x:f>
      </x:c>
      <x:c r="P132" s="30"/>
      <x:c r="Q132" s="30" t="str">
        <x:f>IF(OR(J132="",P132=""),"",J132/P132-1)</x:f>
      </x:c>
      <x:c r="R132" s="30" t="str">
        <x:f>IF(O132="","",SUM($O$2:O132))</x:f>
      </x:c>
    </x:row>
    <x:row r="133">
      <x:c r="B133" s="28"/>
      <x:c r="I133" s="32"/>
      <x:c r="J133" s="30"/>
      <x:c r="K133" s="32" t="str">
        <x:f>IF(J133="","",1/J133)</x:f>
      </x:c>
      <x:c r="L133" s="32" t="str">
        <x:f>IF(OR(I133="",K133=""),"",I133-K133)</x:f>
      </x:c>
      <x:c r="M133" s="30"/>
      <x:c r="N133" s="30"/>
      <x:c r="O133" s="30" t="str">
        <x:f>IF(OR(M133="",N133=""),"",IF(N133="WIN",M133*(J133-1),IF(N133="LOSS",-M133,0)))</x:f>
      </x:c>
      <x:c r="P133" s="30"/>
      <x:c r="Q133" s="30" t="str">
        <x:f>IF(OR(J133="",P133=""),"",J133/P133-1)</x:f>
      </x:c>
      <x:c r="R133" s="30" t="str">
        <x:f>IF(O133="","",SUM($O$2:O133))</x:f>
      </x:c>
    </x:row>
    <x:row r="134">
      <x:c r="B134" s="28"/>
      <x:c r="I134" s="32"/>
      <x:c r="J134" s="30"/>
      <x:c r="K134" s="32" t="str">
        <x:f>IF(J134="","",1/J134)</x:f>
      </x:c>
      <x:c r="L134" s="32" t="str">
        <x:f>IF(OR(I134="",K134=""),"",I134-K134)</x:f>
      </x:c>
      <x:c r="M134" s="30"/>
      <x:c r="N134" s="30"/>
      <x:c r="O134" s="30" t="str">
        <x:f>IF(OR(M134="",N134=""),"",IF(N134="WIN",M134*(J134-1),IF(N134="LOSS",-M134,0)))</x:f>
      </x:c>
      <x:c r="P134" s="30"/>
      <x:c r="Q134" s="30" t="str">
        <x:f>IF(OR(J134="",P134=""),"",J134/P134-1)</x:f>
      </x:c>
      <x:c r="R134" s="30" t="str">
        <x:f>IF(O134="","",SUM($O$2:O134))</x:f>
      </x:c>
    </x:row>
    <x:row r="135">
      <x:c r="B135" s="28"/>
      <x:c r="I135" s="32"/>
      <x:c r="J135" s="30"/>
      <x:c r="K135" s="32" t="str">
        <x:f>IF(J135="","",1/J135)</x:f>
      </x:c>
      <x:c r="L135" s="32" t="str">
        <x:f>IF(OR(I135="",K135=""),"",I135-K135)</x:f>
      </x:c>
      <x:c r="M135" s="30"/>
      <x:c r="N135" s="30"/>
      <x:c r="O135" s="30" t="str">
        <x:f>IF(OR(M135="",N135=""),"",IF(N135="WIN",M135*(J135-1),IF(N135="LOSS",-M135,0)))</x:f>
      </x:c>
      <x:c r="P135" s="30"/>
      <x:c r="Q135" s="30" t="str">
        <x:f>IF(OR(J135="",P135=""),"",J135/P135-1)</x:f>
      </x:c>
      <x:c r="R135" s="30" t="str">
        <x:f>IF(O135="","",SUM($O$2:O135))</x:f>
      </x:c>
    </x:row>
    <x:row r="136">
      <x:c r="B136" s="28"/>
      <x:c r="I136" s="32"/>
      <x:c r="J136" s="30"/>
      <x:c r="K136" s="32" t="str">
        <x:f>IF(J136="","",1/J136)</x:f>
      </x:c>
      <x:c r="L136" s="32" t="str">
        <x:f>IF(OR(I136="",K136=""),"",I136-K136)</x:f>
      </x:c>
      <x:c r="M136" s="30"/>
      <x:c r="N136" s="30"/>
      <x:c r="O136" s="30" t="str">
        <x:f>IF(OR(M136="",N136=""),"",IF(N136="WIN",M136*(J136-1),IF(N136="LOSS",-M136,0)))</x:f>
      </x:c>
      <x:c r="P136" s="30"/>
      <x:c r="Q136" s="30" t="str">
        <x:f>IF(OR(J136="",P136=""),"",J136/P136-1)</x:f>
      </x:c>
      <x:c r="R136" s="30" t="str">
        <x:f>IF(O136="","",SUM($O$2:O136))</x:f>
      </x:c>
    </x:row>
    <x:row r="137">
      <x:c r="B137" s="28"/>
      <x:c r="I137" s="32"/>
      <x:c r="J137" s="30"/>
      <x:c r="K137" s="32" t="str">
        <x:f>IF(J137="","",1/J137)</x:f>
      </x:c>
      <x:c r="L137" s="32" t="str">
        <x:f>IF(OR(I137="",K137=""),"",I137-K137)</x:f>
      </x:c>
      <x:c r="M137" s="30"/>
      <x:c r="N137" s="30"/>
      <x:c r="O137" s="30" t="str">
        <x:f>IF(OR(M137="",N137=""),"",IF(N137="WIN",M137*(J137-1),IF(N137="LOSS",-M137,0)))</x:f>
      </x:c>
      <x:c r="P137" s="30"/>
      <x:c r="Q137" s="30" t="str">
        <x:f>IF(OR(J137="",P137=""),"",J137/P137-1)</x:f>
      </x:c>
      <x:c r="R137" s="30" t="str">
        <x:f>IF(O137="","",SUM($O$2:O137))</x:f>
      </x:c>
    </x:row>
    <x:row r="138">
      <x:c r="B138" s="28"/>
      <x:c r="I138" s="32"/>
      <x:c r="J138" s="30"/>
      <x:c r="K138" s="32" t="str">
        <x:f>IF(J138="","",1/J138)</x:f>
      </x:c>
      <x:c r="L138" s="32" t="str">
        <x:f>IF(OR(I138="",K138=""),"",I138-K138)</x:f>
      </x:c>
      <x:c r="M138" s="30"/>
      <x:c r="N138" s="30"/>
      <x:c r="O138" s="30" t="str">
        <x:f>IF(OR(M138="",N138=""),"",IF(N138="WIN",M138*(J138-1),IF(N138="LOSS",-M138,0)))</x:f>
      </x:c>
      <x:c r="P138" s="30"/>
      <x:c r="Q138" s="30" t="str">
        <x:f>IF(OR(J138="",P138=""),"",J138/P138-1)</x:f>
      </x:c>
      <x:c r="R138" s="30" t="str">
        <x:f>IF(O138="","",SUM($O$2:O138))</x:f>
      </x:c>
    </x:row>
    <x:row r="139">
      <x:c r="B139" s="28"/>
      <x:c r="I139" s="32"/>
      <x:c r="J139" s="30"/>
      <x:c r="K139" s="32" t="str">
        <x:f>IF(J139="","",1/J139)</x:f>
      </x:c>
      <x:c r="L139" s="32" t="str">
        <x:f>IF(OR(I139="",K139=""),"",I139-K139)</x:f>
      </x:c>
      <x:c r="M139" s="30"/>
      <x:c r="N139" s="30"/>
      <x:c r="O139" s="30" t="str">
        <x:f>IF(OR(M139="",N139=""),"",IF(N139="WIN",M139*(J139-1),IF(N139="LOSS",-M139,0)))</x:f>
      </x:c>
      <x:c r="P139" s="30"/>
      <x:c r="Q139" s="30" t="str">
        <x:f>IF(OR(J139="",P139=""),"",J139/P139-1)</x:f>
      </x:c>
      <x:c r="R139" s="30" t="str">
        <x:f>IF(O139="","",SUM($O$2:O139))</x:f>
      </x:c>
    </x:row>
    <x:row r="140">
      <x:c r="B140" s="28"/>
      <x:c r="I140" s="32"/>
      <x:c r="J140" s="30"/>
      <x:c r="K140" s="32" t="str">
        <x:f>IF(J140="","",1/J140)</x:f>
      </x:c>
      <x:c r="L140" s="32" t="str">
        <x:f>IF(OR(I140="",K140=""),"",I140-K140)</x:f>
      </x:c>
      <x:c r="M140" s="30"/>
      <x:c r="N140" s="30"/>
      <x:c r="O140" s="30" t="str">
        <x:f>IF(OR(M140="",N140=""),"",IF(N140="WIN",M140*(J140-1),IF(N140="LOSS",-M140,0)))</x:f>
      </x:c>
      <x:c r="P140" s="30"/>
      <x:c r="Q140" s="30" t="str">
        <x:f>IF(OR(J140="",P140=""),"",J140/P140-1)</x:f>
      </x:c>
      <x:c r="R140" s="30" t="str">
        <x:f>IF(O140="","",SUM($O$2:O140))</x:f>
      </x:c>
    </x:row>
    <x:row r="141">
      <x:c r="B141" s="28"/>
      <x:c r="I141" s="32"/>
      <x:c r="J141" s="30"/>
      <x:c r="K141" s="32" t="str">
        <x:f>IF(J141="","",1/J141)</x:f>
      </x:c>
      <x:c r="L141" s="32" t="str">
        <x:f>IF(OR(I141="",K141=""),"",I141-K141)</x:f>
      </x:c>
      <x:c r="M141" s="30"/>
      <x:c r="N141" s="30"/>
      <x:c r="O141" s="30" t="str">
        <x:f>IF(OR(M141="",N141=""),"",IF(N141="WIN",M141*(J141-1),IF(N141="LOSS",-M141,0)))</x:f>
      </x:c>
      <x:c r="P141" s="30"/>
      <x:c r="Q141" s="30" t="str">
        <x:f>IF(OR(J141="",P141=""),"",J141/P141-1)</x:f>
      </x:c>
      <x:c r="R141" s="30" t="str">
        <x:f>IF(O141="","",SUM($O$2:O141))</x:f>
      </x:c>
    </x:row>
    <x:row r="142">
      <x:c r="B142" s="28"/>
      <x:c r="I142" s="32"/>
      <x:c r="J142" s="30"/>
      <x:c r="K142" s="32" t="str">
        <x:f>IF(J142="","",1/J142)</x:f>
      </x:c>
      <x:c r="L142" s="32" t="str">
        <x:f>IF(OR(I142="",K142=""),"",I142-K142)</x:f>
      </x:c>
      <x:c r="M142" s="30"/>
      <x:c r="N142" s="30"/>
      <x:c r="O142" s="30" t="str">
        <x:f>IF(OR(M142="",N142=""),"",IF(N142="WIN",M142*(J142-1),IF(N142="LOSS",-M142,0)))</x:f>
      </x:c>
      <x:c r="P142" s="30"/>
      <x:c r="Q142" s="30" t="str">
        <x:f>IF(OR(J142="",P142=""),"",J142/P142-1)</x:f>
      </x:c>
      <x:c r="R142" s="30" t="str">
        <x:f>IF(O142="","",SUM($O$2:O142))</x:f>
      </x:c>
    </x:row>
    <x:row r="143">
      <x:c r="B143" s="28"/>
      <x:c r="I143" s="32"/>
      <x:c r="J143" s="30"/>
      <x:c r="K143" s="32" t="str">
        <x:f>IF(J143="","",1/J143)</x:f>
      </x:c>
      <x:c r="L143" s="32" t="str">
        <x:f>IF(OR(I143="",K143=""),"",I143-K143)</x:f>
      </x:c>
      <x:c r="M143" s="30"/>
      <x:c r="N143" s="30"/>
      <x:c r="O143" s="30" t="str">
        <x:f>IF(OR(M143="",N143=""),"",IF(N143="WIN",M143*(J143-1),IF(N143="LOSS",-M143,0)))</x:f>
      </x:c>
      <x:c r="P143" s="30"/>
      <x:c r="Q143" s="30" t="str">
        <x:f>IF(OR(J143="",P143=""),"",J143/P143-1)</x:f>
      </x:c>
      <x:c r="R143" s="30" t="str">
        <x:f>IF(O143="","",SUM($O$2:O143))</x:f>
      </x:c>
    </x:row>
    <x:row r="144">
      <x:c r="B144" s="28"/>
      <x:c r="I144" s="32"/>
      <x:c r="J144" s="30"/>
      <x:c r="K144" s="32" t="str">
        <x:f>IF(J144="","",1/J144)</x:f>
      </x:c>
      <x:c r="L144" s="32" t="str">
        <x:f>IF(OR(I144="",K144=""),"",I144-K144)</x:f>
      </x:c>
      <x:c r="M144" s="30"/>
      <x:c r="N144" s="30"/>
      <x:c r="O144" s="30" t="str">
        <x:f>IF(OR(M144="",N144=""),"",IF(N144="WIN",M144*(J144-1),IF(N144="LOSS",-M144,0)))</x:f>
      </x:c>
      <x:c r="P144" s="30"/>
      <x:c r="Q144" s="30" t="str">
        <x:f>IF(OR(J144="",P144=""),"",J144/P144-1)</x:f>
      </x:c>
      <x:c r="R144" s="30" t="str">
        <x:f>IF(O144="","",SUM($O$2:O144))</x:f>
      </x:c>
    </x:row>
    <x:row r="145">
      <x:c r="B145" s="28"/>
      <x:c r="I145" s="32"/>
      <x:c r="J145" s="30"/>
      <x:c r="K145" s="32" t="str">
        <x:f>IF(J145="","",1/J145)</x:f>
      </x:c>
      <x:c r="L145" s="32" t="str">
        <x:f>IF(OR(I145="",K145=""),"",I145-K145)</x:f>
      </x:c>
      <x:c r="M145" s="30"/>
      <x:c r="N145" s="30"/>
      <x:c r="O145" s="30" t="str">
        <x:f>IF(OR(M145="",N145=""),"",IF(N145="WIN",M145*(J145-1),IF(N145="LOSS",-M145,0)))</x:f>
      </x:c>
      <x:c r="P145" s="30"/>
      <x:c r="Q145" s="30" t="str">
        <x:f>IF(OR(J145="",P145=""),"",J145/P145-1)</x:f>
      </x:c>
      <x:c r="R145" s="30" t="str">
        <x:f>IF(O145="","",SUM($O$2:O145))</x:f>
      </x:c>
    </x:row>
    <x:row r="146">
      <x:c r="B146" s="28"/>
      <x:c r="I146" s="32"/>
      <x:c r="J146" s="30"/>
      <x:c r="K146" s="32" t="str">
        <x:f>IF(J146="","",1/J146)</x:f>
      </x:c>
      <x:c r="L146" s="32" t="str">
        <x:f>IF(OR(I146="",K146=""),"",I146-K146)</x:f>
      </x:c>
      <x:c r="M146" s="30"/>
      <x:c r="N146" s="30"/>
      <x:c r="O146" s="30" t="str">
        <x:f>IF(OR(M146="",N146=""),"",IF(N146="WIN",M146*(J146-1),IF(N146="LOSS",-M146,0)))</x:f>
      </x:c>
      <x:c r="P146" s="30"/>
      <x:c r="Q146" s="30" t="str">
        <x:f>IF(OR(J146="",P146=""),"",J146/P146-1)</x:f>
      </x:c>
      <x:c r="R146" s="30" t="str">
        <x:f>IF(O146="","",SUM($O$2:O146))</x:f>
      </x:c>
    </x:row>
    <x:row r="147">
      <x:c r="B147" s="28"/>
      <x:c r="I147" s="32"/>
      <x:c r="J147" s="30"/>
      <x:c r="K147" s="32" t="str">
        <x:f>IF(J147="","",1/J147)</x:f>
      </x:c>
      <x:c r="L147" s="32" t="str">
        <x:f>IF(OR(I147="",K147=""),"",I147-K147)</x:f>
      </x:c>
      <x:c r="M147" s="30"/>
      <x:c r="N147" s="30"/>
      <x:c r="O147" s="30" t="str">
        <x:f>IF(OR(M147="",N147=""),"",IF(N147="WIN",M147*(J147-1),IF(N147="LOSS",-M147,0)))</x:f>
      </x:c>
      <x:c r="P147" s="30"/>
      <x:c r="Q147" s="30" t="str">
        <x:f>IF(OR(J147="",P147=""),"",J147/P147-1)</x:f>
      </x:c>
      <x:c r="R147" s="30" t="str">
        <x:f>IF(O147="","",SUM($O$2:O147))</x:f>
      </x:c>
    </x:row>
    <x:row r="148">
      <x:c r="B148" s="28"/>
      <x:c r="I148" s="32"/>
      <x:c r="J148" s="30"/>
      <x:c r="K148" s="32" t="str">
        <x:f>IF(J148="","",1/J148)</x:f>
      </x:c>
      <x:c r="L148" s="32" t="str">
        <x:f>IF(OR(I148="",K148=""),"",I148-K148)</x:f>
      </x:c>
      <x:c r="M148" s="30"/>
      <x:c r="N148" s="30"/>
      <x:c r="O148" s="30" t="str">
        <x:f>IF(OR(M148="",N148=""),"",IF(N148="WIN",M148*(J148-1),IF(N148="LOSS",-M148,0)))</x:f>
      </x:c>
      <x:c r="P148" s="30"/>
      <x:c r="Q148" s="30" t="str">
        <x:f>IF(OR(J148="",P148=""),"",J148/P148-1)</x:f>
      </x:c>
      <x:c r="R148" s="30" t="str">
        <x:f>IF(O148="","",SUM($O$2:O148))</x:f>
      </x:c>
    </x:row>
    <x:row r="149">
      <x:c r="B149" s="28"/>
      <x:c r="I149" s="32"/>
      <x:c r="J149" s="30"/>
      <x:c r="K149" s="32" t="str">
        <x:f>IF(J149="","",1/J149)</x:f>
      </x:c>
      <x:c r="L149" s="32" t="str">
        <x:f>IF(OR(I149="",K149=""),"",I149-K149)</x:f>
      </x:c>
      <x:c r="M149" s="30"/>
      <x:c r="N149" s="30"/>
      <x:c r="O149" s="30" t="str">
        <x:f>IF(OR(M149="",N149=""),"",IF(N149="WIN",M149*(J149-1),IF(N149="LOSS",-M149,0)))</x:f>
      </x:c>
      <x:c r="P149" s="30"/>
      <x:c r="Q149" s="30" t="str">
        <x:f>IF(OR(J149="",P149=""),"",J149/P149-1)</x:f>
      </x:c>
      <x:c r="R149" s="30" t="str">
        <x:f>IF(O149="","",SUM($O$2:O149))</x:f>
      </x:c>
    </x:row>
    <x:row r="150">
      <x:c r="B150" s="28"/>
      <x:c r="I150" s="32"/>
      <x:c r="J150" s="30"/>
      <x:c r="K150" s="32" t="str">
        <x:f>IF(J150="","",1/J150)</x:f>
      </x:c>
      <x:c r="L150" s="32" t="str">
        <x:f>IF(OR(I150="",K150=""),"",I150-K150)</x:f>
      </x:c>
      <x:c r="M150" s="30"/>
      <x:c r="N150" s="30"/>
      <x:c r="O150" s="30" t="str">
        <x:f>IF(OR(M150="",N150=""),"",IF(N150="WIN",M150*(J150-1),IF(N150="LOSS",-M150,0)))</x:f>
      </x:c>
      <x:c r="P150" s="30"/>
      <x:c r="Q150" s="30" t="str">
        <x:f>IF(OR(J150="",P150=""),"",J150/P150-1)</x:f>
      </x:c>
      <x:c r="R150" s="30" t="str">
        <x:f>IF(O150="","",SUM($O$2:O150))</x:f>
      </x:c>
    </x:row>
    <x:row r="151">
      <x:c r="B151" s="28"/>
      <x:c r="I151" s="32"/>
      <x:c r="J151" s="30"/>
      <x:c r="K151" s="32" t="str">
        <x:f>IF(J151="","",1/J151)</x:f>
      </x:c>
      <x:c r="L151" s="32" t="str">
        <x:f>IF(OR(I151="",K151=""),"",I151-K151)</x:f>
      </x:c>
      <x:c r="M151" s="30"/>
      <x:c r="N151" s="30"/>
      <x:c r="O151" s="30" t="str">
        <x:f>IF(OR(M151="",N151=""),"",IF(N151="WIN",M151*(J151-1),IF(N151="LOSS",-M151,0)))</x:f>
      </x:c>
      <x:c r="P151" s="30"/>
      <x:c r="Q151" s="30" t="str">
        <x:f>IF(OR(J151="",P151=""),"",J151/P151-1)</x:f>
      </x:c>
      <x:c r="R151" s="30" t="str">
        <x:f>IF(O151="","",SUM($O$2:O151))</x:f>
      </x:c>
    </x:row>
    <x:row r="152">
      <x:c r="B152" s="28"/>
      <x:c r="I152" s="32"/>
      <x:c r="J152" s="30"/>
      <x:c r="K152" s="32" t="str">
        <x:f>IF(J152="","",1/J152)</x:f>
      </x:c>
      <x:c r="L152" s="32" t="str">
        <x:f>IF(OR(I152="",K152=""),"",I152-K152)</x:f>
      </x:c>
      <x:c r="M152" s="30"/>
      <x:c r="N152" s="30"/>
      <x:c r="O152" s="30" t="str">
        <x:f>IF(OR(M152="",N152=""),"",IF(N152="WIN",M152*(J152-1),IF(N152="LOSS",-M152,0)))</x:f>
      </x:c>
      <x:c r="P152" s="30"/>
      <x:c r="Q152" s="30" t="str">
        <x:f>IF(OR(J152="",P152=""),"",J152/P152-1)</x:f>
      </x:c>
      <x:c r="R152" s="30" t="str">
        <x:f>IF(O152="","",SUM($O$2:O152))</x:f>
      </x:c>
    </x:row>
    <x:row r="153">
      <x:c r="B153" s="28"/>
      <x:c r="I153" s="32"/>
      <x:c r="J153" s="30"/>
      <x:c r="K153" s="32" t="str">
        <x:f>IF(J153="","",1/J153)</x:f>
      </x:c>
      <x:c r="L153" s="32" t="str">
        <x:f>IF(OR(I153="",K153=""),"",I153-K153)</x:f>
      </x:c>
      <x:c r="M153" s="30"/>
      <x:c r="N153" s="30"/>
      <x:c r="O153" s="30" t="str">
        <x:f>IF(OR(M153="",N153=""),"",IF(N153="WIN",M153*(J153-1),IF(N153="LOSS",-M153,0)))</x:f>
      </x:c>
      <x:c r="P153" s="30"/>
      <x:c r="Q153" s="30" t="str">
        <x:f>IF(OR(J153="",P153=""),"",J153/P153-1)</x:f>
      </x:c>
      <x:c r="R153" s="30" t="str">
        <x:f>IF(O153="","",SUM($O$2:O153))</x:f>
      </x:c>
    </x:row>
    <x:row r="154">
      <x:c r="B154" s="28"/>
      <x:c r="I154" s="32"/>
      <x:c r="J154" s="30"/>
      <x:c r="K154" s="32" t="str">
        <x:f>IF(J154="","",1/J154)</x:f>
      </x:c>
      <x:c r="L154" s="32" t="str">
        <x:f>IF(OR(I154="",K154=""),"",I154-K154)</x:f>
      </x:c>
      <x:c r="M154" s="30"/>
      <x:c r="N154" s="30"/>
      <x:c r="O154" s="30" t="str">
        <x:f>IF(OR(M154="",N154=""),"",IF(N154="WIN",M154*(J154-1),IF(N154="LOSS",-M154,0)))</x:f>
      </x:c>
      <x:c r="P154" s="30"/>
      <x:c r="Q154" s="30" t="str">
        <x:f>IF(OR(J154="",P154=""),"",J154/P154-1)</x:f>
      </x:c>
      <x:c r="R154" s="30" t="str">
        <x:f>IF(O154="","",SUM($O$2:O154))</x:f>
      </x:c>
    </x:row>
    <x:row r="155">
      <x:c r="B155" s="28"/>
      <x:c r="I155" s="32"/>
      <x:c r="J155" s="30"/>
      <x:c r="K155" s="32" t="str">
        <x:f>IF(J155="","",1/J155)</x:f>
      </x:c>
      <x:c r="L155" s="32" t="str">
        <x:f>IF(OR(I155="",K155=""),"",I155-K155)</x:f>
      </x:c>
      <x:c r="M155" s="30"/>
      <x:c r="N155" s="30"/>
      <x:c r="O155" s="30" t="str">
        <x:f>IF(OR(M155="",N155=""),"",IF(N155="WIN",M155*(J155-1),IF(N155="LOSS",-M155,0)))</x:f>
      </x:c>
      <x:c r="P155" s="30"/>
      <x:c r="Q155" s="30" t="str">
        <x:f>IF(OR(J155="",P155=""),"",J155/P155-1)</x:f>
      </x:c>
      <x:c r="R155" s="30" t="str">
        <x:f>IF(O155="","",SUM($O$2:O155))</x:f>
      </x:c>
    </x:row>
    <x:row r="156">
      <x:c r="B156" s="28"/>
      <x:c r="I156" s="32"/>
      <x:c r="J156" s="30"/>
      <x:c r="K156" s="32" t="str">
        <x:f>IF(J156="","",1/J156)</x:f>
      </x:c>
      <x:c r="L156" s="32" t="str">
        <x:f>IF(OR(I156="",K156=""),"",I156-K156)</x:f>
      </x:c>
      <x:c r="M156" s="30"/>
      <x:c r="N156" s="30"/>
      <x:c r="O156" s="30" t="str">
        <x:f>IF(OR(M156="",N156=""),"",IF(N156="WIN",M156*(J156-1),IF(N156="LOSS",-M156,0)))</x:f>
      </x:c>
      <x:c r="P156" s="30"/>
      <x:c r="Q156" s="30" t="str">
        <x:f>IF(OR(J156="",P156=""),"",J156/P156-1)</x:f>
      </x:c>
      <x:c r="R156" s="30" t="str">
        <x:f>IF(O156="","",SUM($O$2:O156))</x:f>
      </x:c>
    </x:row>
    <x:row r="157">
      <x:c r="B157" s="28"/>
      <x:c r="I157" s="32"/>
      <x:c r="J157" s="30"/>
      <x:c r="K157" s="32" t="str">
        <x:f>IF(J157="","",1/J157)</x:f>
      </x:c>
      <x:c r="L157" s="32" t="str">
        <x:f>IF(OR(I157="",K157=""),"",I157-K157)</x:f>
      </x:c>
      <x:c r="M157" s="30"/>
      <x:c r="N157" s="30"/>
      <x:c r="O157" s="30" t="str">
        <x:f>IF(OR(M157="",N157=""),"",IF(N157="WIN",M157*(J157-1),IF(N157="LOSS",-M157,0)))</x:f>
      </x:c>
      <x:c r="P157" s="30"/>
      <x:c r="Q157" s="30" t="str">
        <x:f>IF(OR(J157="",P157=""),"",J157/P157-1)</x:f>
      </x:c>
      <x:c r="R157" s="30" t="str">
        <x:f>IF(O157="","",SUM($O$2:O157))</x:f>
      </x:c>
    </x:row>
    <x:row r="158">
      <x:c r="B158" s="28"/>
      <x:c r="I158" s="32"/>
      <x:c r="J158" s="30"/>
      <x:c r="K158" s="32" t="str">
        <x:f>IF(J158="","",1/J158)</x:f>
      </x:c>
      <x:c r="L158" s="32" t="str">
        <x:f>IF(OR(I158="",K158=""),"",I158-K158)</x:f>
      </x:c>
      <x:c r="M158" s="30"/>
      <x:c r="N158" s="30"/>
      <x:c r="O158" s="30" t="str">
        <x:f>IF(OR(M158="",N158=""),"",IF(N158="WIN",M158*(J158-1),IF(N158="LOSS",-M158,0)))</x:f>
      </x:c>
      <x:c r="P158" s="30"/>
      <x:c r="Q158" s="30" t="str">
        <x:f>IF(OR(J158="",P158=""),"",J158/P158-1)</x:f>
      </x:c>
      <x:c r="R158" s="30" t="str">
        <x:f>IF(O158="","",SUM($O$2:O158))</x:f>
      </x:c>
    </x:row>
    <x:row r="159">
      <x:c r="B159" s="28"/>
      <x:c r="I159" s="32"/>
      <x:c r="J159" s="30"/>
      <x:c r="K159" s="32" t="str">
        <x:f>IF(J159="","",1/J159)</x:f>
      </x:c>
      <x:c r="L159" s="32" t="str">
        <x:f>IF(OR(I159="",K159=""),"",I159-K159)</x:f>
      </x:c>
      <x:c r="M159" s="30"/>
      <x:c r="N159" s="30"/>
      <x:c r="O159" s="30" t="str">
        <x:f>IF(OR(M159="",N159=""),"",IF(N159="WIN",M159*(J159-1),IF(N159="LOSS",-M159,0)))</x:f>
      </x:c>
      <x:c r="P159" s="30"/>
      <x:c r="Q159" s="30" t="str">
        <x:f>IF(OR(J159="",P159=""),"",J159/P159-1)</x:f>
      </x:c>
      <x:c r="R159" s="30" t="str">
        <x:f>IF(O159="","",SUM($O$2:O159))</x:f>
      </x:c>
    </x:row>
    <x:row r="160">
      <x:c r="B160" s="28"/>
      <x:c r="I160" s="32"/>
      <x:c r="J160" s="30"/>
      <x:c r="K160" s="32" t="str">
        <x:f>IF(J160="","",1/J160)</x:f>
      </x:c>
      <x:c r="L160" s="32" t="str">
        <x:f>IF(OR(I160="",K160=""),"",I160-K160)</x:f>
      </x:c>
      <x:c r="M160" s="30"/>
      <x:c r="N160" s="30"/>
      <x:c r="O160" s="30" t="str">
        <x:f>IF(OR(M160="",N160=""),"",IF(N160="WIN",M160*(J160-1),IF(N160="LOSS",-M160,0)))</x:f>
      </x:c>
      <x:c r="P160" s="30"/>
      <x:c r="Q160" s="30" t="str">
        <x:f>IF(OR(J160="",P160=""),"",J160/P160-1)</x:f>
      </x:c>
      <x:c r="R160" s="30" t="str">
        <x:f>IF(O160="","",SUM($O$2:O160))</x:f>
      </x:c>
    </x:row>
    <x:row r="161">
      <x:c r="B161" s="28"/>
      <x:c r="I161" s="32"/>
      <x:c r="J161" s="30"/>
      <x:c r="K161" s="32" t="str">
        <x:f>IF(J161="","",1/J161)</x:f>
      </x:c>
      <x:c r="L161" s="32" t="str">
        <x:f>IF(OR(I161="",K161=""),"",I161-K161)</x:f>
      </x:c>
      <x:c r="M161" s="30"/>
      <x:c r="N161" s="30"/>
      <x:c r="O161" s="30" t="str">
        <x:f>IF(OR(M161="",N161=""),"",IF(N161="WIN",M161*(J161-1),IF(N161="LOSS",-M161,0)))</x:f>
      </x:c>
      <x:c r="P161" s="30"/>
      <x:c r="Q161" s="30" t="str">
        <x:f>IF(OR(J161="",P161=""),"",J161/P161-1)</x:f>
      </x:c>
      <x:c r="R161" s="30" t="str">
        <x:f>IF(O161="","",SUM($O$2:O161))</x:f>
      </x:c>
    </x:row>
    <x:row r="162">
      <x:c r="B162" s="28"/>
      <x:c r="I162" s="32"/>
      <x:c r="J162" s="30"/>
      <x:c r="K162" s="32" t="str">
        <x:f>IF(J162="","",1/J162)</x:f>
      </x:c>
      <x:c r="L162" s="32" t="str">
        <x:f>IF(OR(I162="",K162=""),"",I162-K162)</x:f>
      </x:c>
      <x:c r="M162" s="30"/>
      <x:c r="N162" s="30"/>
      <x:c r="O162" s="30" t="str">
        <x:f>IF(OR(M162="",N162=""),"",IF(N162="WIN",M162*(J162-1),IF(N162="LOSS",-M162,0)))</x:f>
      </x:c>
      <x:c r="P162" s="30"/>
      <x:c r="Q162" s="30" t="str">
        <x:f>IF(OR(J162="",P162=""),"",J162/P162-1)</x:f>
      </x:c>
      <x:c r="R162" s="30" t="str">
        <x:f>IF(O162="","",SUM($O$2:O162))</x:f>
      </x:c>
    </x:row>
    <x:row r="163">
      <x:c r="B163" s="28"/>
      <x:c r="I163" s="32"/>
      <x:c r="J163" s="30"/>
      <x:c r="K163" s="32" t="str">
        <x:f>IF(J163="","",1/J163)</x:f>
      </x:c>
      <x:c r="L163" s="32" t="str">
        <x:f>IF(OR(I163="",K163=""),"",I163-K163)</x:f>
      </x:c>
      <x:c r="M163" s="30"/>
      <x:c r="N163" s="30"/>
      <x:c r="O163" s="30" t="str">
        <x:f>IF(OR(M163="",N163=""),"",IF(N163="WIN",M163*(J163-1),IF(N163="LOSS",-M163,0)))</x:f>
      </x:c>
      <x:c r="P163" s="30"/>
      <x:c r="Q163" s="30" t="str">
        <x:f>IF(OR(J163="",P163=""),"",J163/P163-1)</x:f>
      </x:c>
      <x:c r="R163" s="30" t="str">
        <x:f>IF(O163="","",SUM($O$2:O163))</x:f>
      </x:c>
    </x:row>
    <x:row r="164">
      <x:c r="B164" s="28"/>
      <x:c r="I164" s="32"/>
      <x:c r="J164" s="30"/>
      <x:c r="K164" s="32" t="str">
        <x:f>IF(J164="","",1/J164)</x:f>
      </x:c>
      <x:c r="L164" s="32" t="str">
        <x:f>IF(OR(I164="",K164=""),"",I164-K164)</x:f>
      </x:c>
      <x:c r="M164" s="30"/>
      <x:c r="N164" s="30"/>
      <x:c r="O164" s="30" t="str">
        <x:f>IF(OR(M164="",N164=""),"",IF(N164="WIN",M164*(J164-1),IF(N164="LOSS",-M164,0)))</x:f>
      </x:c>
      <x:c r="P164" s="30"/>
      <x:c r="Q164" s="30" t="str">
        <x:f>IF(OR(J164="",P164=""),"",J164/P164-1)</x:f>
      </x:c>
      <x:c r="R164" s="30" t="str">
        <x:f>IF(O164="","",SUM($O$2:O164))</x:f>
      </x:c>
    </x:row>
    <x:row r="165">
      <x:c r="B165" s="28"/>
      <x:c r="I165" s="32"/>
      <x:c r="J165" s="30"/>
      <x:c r="K165" s="32" t="str">
        <x:f>IF(J165="","",1/J165)</x:f>
      </x:c>
      <x:c r="L165" s="32" t="str">
        <x:f>IF(OR(I165="",K165=""),"",I165-K165)</x:f>
      </x:c>
      <x:c r="M165" s="30"/>
      <x:c r="N165" s="30"/>
      <x:c r="O165" s="30" t="str">
        <x:f>IF(OR(M165="",N165=""),"",IF(N165="WIN",M165*(J165-1),IF(N165="LOSS",-M165,0)))</x:f>
      </x:c>
      <x:c r="P165" s="30"/>
      <x:c r="Q165" s="30" t="str">
        <x:f>IF(OR(J165="",P165=""),"",J165/P165-1)</x:f>
      </x:c>
      <x:c r="R165" s="30" t="str">
        <x:f>IF(O165="","",SUM($O$2:O165))</x:f>
      </x:c>
    </x:row>
    <x:row r="166">
      <x:c r="B166" s="28"/>
      <x:c r="I166" s="32"/>
      <x:c r="J166" s="30"/>
      <x:c r="K166" s="32" t="str">
        <x:f>IF(J166="","",1/J166)</x:f>
      </x:c>
      <x:c r="L166" s="32" t="str">
        <x:f>IF(OR(I166="",K166=""),"",I166-K166)</x:f>
      </x:c>
      <x:c r="M166" s="30"/>
      <x:c r="N166" s="30"/>
      <x:c r="O166" s="30" t="str">
        <x:f>IF(OR(M166="",N166=""),"",IF(N166="WIN",M166*(J166-1),IF(N166="LOSS",-M166,0)))</x:f>
      </x:c>
      <x:c r="P166" s="30"/>
      <x:c r="Q166" s="30" t="str">
        <x:f>IF(OR(J166="",P166=""),"",J166/P166-1)</x:f>
      </x:c>
      <x:c r="R166" s="30" t="str">
        <x:f>IF(O166="","",SUM($O$2:O166))</x:f>
      </x:c>
    </x:row>
    <x:row r="167">
      <x:c r="B167" s="28"/>
      <x:c r="I167" s="32"/>
      <x:c r="J167" s="30"/>
      <x:c r="K167" s="32" t="str">
        <x:f>IF(J167="","",1/J167)</x:f>
      </x:c>
      <x:c r="L167" s="32" t="str">
        <x:f>IF(OR(I167="",K167=""),"",I167-K167)</x:f>
      </x:c>
      <x:c r="M167" s="30"/>
      <x:c r="N167" s="30"/>
      <x:c r="O167" s="30" t="str">
        <x:f>IF(OR(M167="",N167=""),"",IF(N167="WIN",M167*(J167-1),IF(N167="LOSS",-M167,0)))</x:f>
      </x:c>
      <x:c r="P167" s="30"/>
      <x:c r="Q167" s="30" t="str">
        <x:f>IF(OR(J167="",P167=""),"",J167/P167-1)</x:f>
      </x:c>
      <x:c r="R167" s="30" t="str">
        <x:f>IF(O167="","",SUM($O$2:O167))</x:f>
      </x:c>
    </x:row>
    <x:row r="168">
      <x:c r="B168" s="28"/>
      <x:c r="I168" s="32"/>
      <x:c r="J168" s="30"/>
      <x:c r="K168" s="32" t="str">
        <x:f>IF(J168="","",1/J168)</x:f>
      </x:c>
      <x:c r="L168" s="32" t="str">
        <x:f>IF(OR(I168="",K168=""),"",I168-K168)</x:f>
      </x:c>
      <x:c r="M168" s="30"/>
      <x:c r="N168" s="30"/>
      <x:c r="O168" s="30" t="str">
        <x:f>IF(OR(M168="",N168=""),"",IF(N168="WIN",M168*(J168-1),IF(N168="LOSS",-M168,0)))</x:f>
      </x:c>
      <x:c r="P168" s="30"/>
      <x:c r="Q168" s="30" t="str">
        <x:f>IF(OR(J168="",P168=""),"",J168/P168-1)</x:f>
      </x:c>
      <x:c r="R168" s="30" t="str">
        <x:f>IF(O168="","",SUM($O$2:O168))</x:f>
      </x:c>
    </x:row>
    <x:row r="169">
      <x:c r="B169" s="28"/>
      <x:c r="I169" s="32"/>
      <x:c r="J169" s="30"/>
      <x:c r="K169" s="32" t="str">
        <x:f>IF(J169="","",1/J169)</x:f>
      </x:c>
      <x:c r="L169" s="32" t="str">
        <x:f>IF(OR(I169="",K169=""),"",I169-K169)</x:f>
      </x:c>
      <x:c r="M169" s="30"/>
      <x:c r="N169" s="30"/>
      <x:c r="O169" s="30" t="str">
        <x:f>IF(OR(M169="",N169=""),"",IF(N169="WIN",M169*(J169-1),IF(N169="LOSS",-M169,0)))</x:f>
      </x:c>
      <x:c r="P169" s="30"/>
      <x:c r="Q169" s="30" t="str">
        <x:f>IF(OR(J169="",P169=""),"",J169/P169-1)</x:f>
      </x:c>
      <x:c r="R169" s="30" t="str">
        <x:f>IF(O169="","",SUM($O$2:O169))</x:f>
      </x:c>
    </x:row>
    <x:row r="170">
      <x:c r="B170" s="28"/>
      <x:c r="I170" s="32"/>
      <x:c r="J170" s="30"/>
      <x:c r="K170" s="32" t="str">
        <x:f>IF(J170="","",1/J170)</x:f>
      </x:c>
      <x:c r="L170" s="32" t="str">
        <x:f>IF(OR(I170="",K170=""),"",I170-K170)</x:f>
      </x:c>
      <x:c r="M170" s="30"/>
      <x:c r="N170" s="30"/>
      <x:c r="O170" s="30" t="str">
        <x:f>IF(OR(M170="",N170=""),"",IF(N170="WIN",M170*(J170-1),IF(N170="LOSS",-M170,0)))</x:f>
      </x:c>
      <x:c r="P170" s="30"/>
      <x:c r="Q170" s="30" t="str">
        <x:f>IF(OR(J170="",P170=""),"",J170/P170-1)</x:f>
      </x:c>
      <x:c r="R170" s="30" t="str">
        <x:f>IF(O170="","",SUM($O$2:O170))</x:f>
      </x:c>
    </x:row>
    <x:row r="171">
      <x:c r="B171" s="28"/>
      <x:c r="I171" s="32"/>
      <x:c r="J171" s="30"/>
      <x:c r="K171" s="32" t="str">
        <x:f>IF(J171="","",1/J171)</x:f>
      </x:c>
      <x:c r="L171" s="32" t="str">
        <x:f>IF(OR(I171="",K171=""),"",I171-K171)</x:f>
      </x:c>
      <x:c r="M171" s="30"/>
      <x:c r="N171" s="30"/>
      <x:c r="O171" s="30" t="str">
        <x:f>IF(OR(M171="",N171=""),"",IF(N171="WIN",M171*(J171-1),IF(N171="LOSS",-M171,0)))</x:f>
      </x:c>
      <x:c r="P171" s="30"/>
      <x:c r="Q171" s="30" t="str">
        <x:f>IF(OR(J171="",P171=""),"",J171/P171-1)</x:f>
      </x:c>
      <x:c r="R171" s="30" t="str">
        <x:f>IF(O171="","",SUM($O$2:O171))</x:f>
      </x:c>
    </x:row>
    <x:row r="172">
      <x:c r="B172" s="28"/>
      <x:c r="I172" s="32"/>
      <x:c r="J172" s="30"/>
      <x:c r="K172" s="32" t="str">
        <x:f>IF(J172="","",1/J172)</x:f>
      </x:c>
      <x:c r="L172" s="32" t="str">
        <x:f>IF(OR(I172="",K172=""),"",I172-K172)</x:f>
      </x:c>
      <x:c r="M172" s="30"/>
      <x:c r="N172" s="30"/>
      <x:c r="O172" s="30" t="str">
        <x:f>IF(OR(M172="",N172=""),"",IF(N172="WIN",M172*(J172-1),IF(N172="LOSS",-M172,0)))</x:f>
      </x:c>
      <x:c r="P172" s="30"/>
      <x:c r="Q172" s="30" t="str">
        <x:f>IF(OR(J172="",P172=""),"",J172/P172-1)</x:f>
      </x:c>
      <x:c r="R172" s="30" t="str">
        <x:f>IF(O172="","",SUM($O$2:O172))</x:f>
      </x:c>
    </x:row>
    <x:row r="173">
      <x:c r="B173" s="28"/>
      <x:c r="I173" s="32"/>
      <x:c r="J173" s="30"/>
      <x:c r="K173" s="32" t="str">
        <x:f>IF(J173="","",1/J173)</x:f>
      </x:c>
      <x:c r="L173" s="32" t="str">
        <x:f>IF(OR(I173="",K173=""),"",I173-K173)</x:f>
      </x:c>
      <x:c r="M173" s="30"/>
      <x:c r="N173" s="30"/>
      <x:c r="O173" s="30" t="str">
        <x:f>IF(OR(M173="",N173=""),"",IF(N173="WIN",M173*(J173-1),IF(N173="LOSS",-M173,0)))</x:f>
      </x:c>
      <x:c r="P173" s="30"/>
      <x:c r="Q173" s="30" t="str">
        <x:f>IF(OR(J173="",P173=""),"",J173/P173-1)</x:f>
      </x:c>
      <x:c r="R173" s="30" t="str">
        <x:f>IF(O173="","",SUM($O$2:O173))</x:f>
      </x:c>
    </x:row>
    <x:row r="174">
      <x:c r="B174" s="28"/>
      <x:c r="I174" s="32"/>
      <x:c r="J174" s="30"/>
      <x:c r="K174" s="32" t="str">
        <x:f>IF(J174="","",1/J174)</x:f>
      </x:c>
      <x:c r="L174" s="32" t="str">
        <x:f>IF(OR(I174="",K174=""),"",I174-K174)</x:f>
      </x:c>
      <x:c r="M174" s="30"/>
      <x:c r="N174" s="30"/>
      <x:c r="O174" s="30" t="str">
        <x:f>IF(OR(M174="",N174=""),"",IF(N174="WIN",M174*(J174-1),IF(N174="LOSS",-M174,0)))</x:f>
      </x:c>
      <x:c r="P174" s="30"/>
      <x:c r="Q174" s="30" t="str">
        <x:f>IF(OR(J174="",P174=""),"",J174/P174-1)</x:f>
      </x:c>
      <x:c r="R174" s="30" t="str">
        <x:f>IF(O174="","",SUM($O$2:O174))</x:f>
      </x:c>
    </x:row>
    <x:row r="175">
      <x:c r="B175" s="28"/>
      <x:c r="I175" s="32"/>
      <x:c r="J175" s="30"/>
      <x:c r="K175" s="32" t="str">
        <x:f>IF(J175="","",1/J175)</x:f>
      </x:c>
      <x:c r="L175" s="32" t="str">
        <x:f>IF(OR(I175="",K175=""),"",I175-K175)</x:f>
      </x:c>
      <x:c r="M175" s="30"/>
      <x:c r="N175" s="30"/>
      <x:c r="O175" s="30" t="str">
        <x:f>IF(OR(M175="",N175=""),"",IF(N175="WIN",M175*(J175-1),IF(N175="LOSS",-M175,0)))</x:f>
      </x:c>
      <x:c r="P175" s="30"/>
      <x:c r="Q175" s="30" t="str">
        <x:f>IF(OR(J175="",P175=""),"",J175/P175-1)</x:f>
      </x:c>
      <x:c r="R175" s="30" t="str">
        <x:f>IF(O175="","",SUM($O$2:O175))</x:f>
      </x:c>
    </x:row>
    <x:row r="176">
      <x:c r="B176" s="28"/>
      <x:c r="I176" s="32"/>
      <x:c r="J176" s="30"/>
      <x:c r="K176" s="32" t="str">
        <x:f>IF(J176="","",1/J176)</x:f>
      </x:c>
      <x:c r="L176" s="32" t="str">
        <x:f>IF(OR(I176="",K176=""),"",I176-K176)</x:f>
      </x:c>
      <x:c r="M176" s="30"/>
      <x:c r="N176" s="30"/>
      <x:c r="O176" s="30" t="str">
        <x:f>IF(OR(M176="",N176=""),"",IF(N176="WIN",M176*(J176-1),IF(N176="LOSS",-M176,0)))</x:f>
      </x:c>
      <x:c r="P176" s="30"/>
      <x:c r="Q176" s="30" t="str">
        <x:f>IF(OR(J176="",P176=""),"",J176/P176-1)</x:f>
      </x:c>
      <x:c r="R176" s="30" t="str">
        <x:f>IF(O176="","",SUM($O$2:O176))</x:f>
      </x:c>
    </x:row>
    <x:row r="177">
      <x:c r="B177" s="28"/>
      <x:c r="I177" s="32"/>
      <x:c r="J177" s="30"/>
      <x:c r="K177" s="32" t="str">
        <x:f>IF(J177="","",1/J177)</x:f>
      </x:c>
      <x:c r="L177" s="32" t="str">
        <x:f>IF(OR(I177="",K177=""),"",I177-K177)</x:f>
      </x:c>
      <x:c r="M177" s="30"/>
      <x:c r="N177" s="30"/>
      <x:c r="O177" s="30" t="str">
        <x:f>IF(OR(M177="",N177=""),"",IF(N177="WIN",M177*(J177-1),IF(N177="LOSS",-M177,0)))</x:f>
      </x:c>
      <x:c r="P177" s="30"/>
      <x:c r="Q177" s="30" t="str">
        <x:f>IF(OR(J177="",P177=""),"",J177/P177-1)</x:f>
      </x:c>
      <x:c r="R177" s="30" t="str">
        <x:f>IF(O177="","",SUM($O$2:O177))</x:f>
      </x:c>
    </x:row>
    <x:row r="178">
      <x:c r="B178" s="28"/>
      <x:c r="I178" s="32"/>
      <x:c r="J178" s="30"/>
      <x:c r="K178" s="32" t="str">
        <x:f>IF(J178="","",1/J178)</x:f>
      </x:c>
      <x:c r="L178" s="32" t="str">
        <x:f>IF(OR(I178="",K178=""),"",I178-K178)</x:f>
      </x:c>
      <x:c r="M178" s="30"/>
      <x:c r="N178" s="30"/>
      <x:c r="O178" s="30" t="str">
        <x:f>IF(OR(M178="",N178=""),"",IF(N178="WIN",M178*(J178-1),IF(N178="LOSS",-M178,0)))</x:f>
      </x:c>
      <x:c r="P178" s="30"/>
      <x:c r="Q178" s="30" t="str">
        <x:f>IF(OR(J178="",P178=""),"",J178/P178-1)</x:f>
      </x:c>
      <x:c r="R178" s="30" t="str">
        <x:f>IF(O178="","",SUM($O$2:O178))</x:f>
      </x:c>
    </x:row>
    <x:row r="179">
      <x:c r="B179" s="28"/>
      <x:c r="I179" s="32"/>
      <x:c r="J179" s="30"/>
      <x:c r="K179" s="32" t="str">
        <x:f>IF(J179="","",1/J179)</x:f>
      </x:c>
      <x:c r="L179" s="32" t="str">
        <x:f>IF(OR(I179="",K179=""),"",I179-K179)</x:f>
      </x:c>
      <x:c r="M179" s="30"/>
      <x:c r="N179" s="30"/>
      <x:c r="O179" s="30" t="str">
        <x:f>IF(OR(M179="",N179=""),"",IF(N179="WIN",M179*(J179-1),IF(N179="LOSS",-M179,0)))</x:f>
      </x:c>
      <x:c r="P179" s="30"/>
      <x:c r="Q179" s="30" t="str">
        <x:f>IF(OR(J179="",P179=""),"",J179/P179-1)</x:f>
      </x:c>
      <x:c r="R179" s="30" t="str">
        <x:f>IF(O179="","",SUM($O$2:O179))</x:f>
      </x:c>
    </x:row>
    <x:row r="180">
      <x:c r="B180" s="28"/>
      <x:c r="I180" s="32"/>
      <x:c r="J180" s="30"/>
      <x:c r="K180" s="32" t="str">
        <x:f>IF(J180="","",1/J180)</x:f>
      </x:c>
      <x:c r="L180" s="32" t="str">
        <x:f>IF(OR(I180="",K180=""),"",I180-K180)</x:f>
      </x:c>
      <x:c r="M180" s="30"/>
      <x:c r="N180" s="30"/>
      <x:c r="O180" s="30" t="str">
        <x:f>IF(OR(M180="",N180=""),"",IF(N180="WIN",M180*(J180-1),IF(N180="LOSS",-M180,0)))</x:f>
      </x:c>
      <x:c r="P180" s="30"/>
      <x:c r="Q180" s="30" t="str">
        <x:f>IF(OR(J180="",P180=""),"",J180/P180-1)</x:f>
      </x:c>
      <x:c r="R180" s="30" t="str">
        <x:f>IF(O180="","",SUM($O$2:O180))</x:f>
      </x:c>
    </x:row>
    <x:row r="181">
      <x:c r="B181" s="28"/>
      <x:c r="I181" s="32"/>
      <x:c r="J181" s="30"/>
      <x:c r="K181" s="32" t="str">
        <x:f>IF(J181="","",1/J181)</x:f>
      </x:c>
      <x:c r="L181" s="32" t="str">
        <x:f>IF(OR(I181="",K181=""),"",I181-K181)</x:f>
      </x:c>
      <x:c r="M181" s="30"/>
      <x:c r="N181" s="30"/>
      <x:c r="O181" s="30" t="str">
        <x:f>IF(OR(M181="",N181=""),"",IF(N181="WIN",M181*(J181-1),IF(N181="LOSS",-M181,0)))</x:f>
      </x:c>
      <x:c r="P181" s="30"/>
      <x:c r="Q181" s="30" t="str">
        <x:f>IF(OR(J181="",P181=""),"",J181/P181-1)</x:f>
      </x:c>
      <x:c r="R181" s="30" t="str">
        <x:f>IF(O181="","",SUM($O$2:O181))</x:f>
      </x:c>
    </x:row>
    <x:row r="182">
      <x:c r="B182" s="28"/>
      <x:c r="I182" s="32"/>
      <x:c r="J182" s="30"/>
      <x:c r="K182" s="32" t="str">
        <x:f>IF(J182="","",1/J182)</x:f>
      </x:c>
      <x:c r="L182" s="32" t="str">
        <x:f>IF(OR(I182="",K182=""),"",I182-K182)</x:f>
      </x:c>
      <x:c r="M182" s="30"/>
      <x:c r="N182" s="30"/>
      <x:c r="O182" s="30" t="str">
        <x:f>IF(OR(M182="",N182=""),"",IF(N182="WIN",M182*(J182-1),IF(N182="LOSS",-M182,0)))</x:f>
      </x:c>
      <x:c r="P182" s="30"/>
      <x:c r="Q182" s="30" t="str">
        <x:f>IF(OR(J182="",P182=""),"",J182/P182-1)</x:f>
      </x:c>
      <x:c r="R182" s="30" t="str">
        <x:f>IF(O182="","",SUM($O$2:O182))</x:f>
      </x:c>
    </x:row>
    <x:row r="183">
      <x:c r="B183" s="28"/>
      <x:c r="I183" s="32"/>
      <x:c r="J183" s="30"/>
      <x:c r="K183" s="32" t="str">
        <x:f>IF(J183="","",1/J183)</x:f>
      </x:c>
      <x:c r="L183" s="32" t="str">
        <x:f>IF(OR(I183="",K183=""),"",I183-K183)</x:f>
      </x:c>
      <x:c r="M183" s="30"/>
      <x:c r="N183" s="30"/>
      <x:c r="O183" s="30" t="str">
        <x:f>IF(OR(M183="",N183=""),"",IF(N183="WIN",M183*(J183-1),IF(N183="LOSS",-M183,0)))</x:f>
      </x:c>
      <x:c r="P183" s="30"/>
      <x:c r="Q183" s="30" t="str">
        <x:f>IF(OR(J183="",P183=""),"",J183/P183-1)</x:f>
      </x:c>
      <x:c r="R183" s="30" t="str">
        <x:f>IF(O183="","",SUM($O$2:O183))</x:f>
      </x:c>
    </x:row>
    <x:row r="184">
      <x:c r="B184" s="28"/>
      <x:c r="I184" s="32"/>
      <x:c r="J184" s="30"/>
      <x:c r="K184" s="32" t="str">
        <x:f>IF(J184="","",1/J184)</x:f>
      </x:c>
      <x:c r="L184" s="32" t="str">
        <x:f>IF(OR(I184="",K184=""),"",I184-K184)</x:f>
      </x:c>
      <x:c r="M184" s="30"/>
      <x:c r="N184" s="30"/>
      <x:c r="O184" s="30" t="str">
        <x:f>IF(OR(M184="",N184=""),"",IF(N184="WIN",M184*(J184-1),IF(N184="LOSS",-M184,0)))</x:f>
      </x:c>
      <x:c r="P184" s="30"/>
      <x:c r="Q184" s="30" t="str">
        <x:f>IF(OR(J184="",P184=""),"",J184/P184-1)</x:f>
      </x:c>
      <x:c r="R184" s="30" t="str">
        <x:f>IF(O184="","",SUM($O$2:O184))</x:f>
      </x:c>
    </x:row>
    <x:row r="185">
      <x:c r="B185" s="28"/>
      <x:c r="I185" s="32"/>
      <x:c r="J185" s="30"/>
      <x:c r="K185" s="32" t="str">
        <x:f>IF(J185="","",1/J185)</x:f>
      </x:c>
      <x:c r="L185" s="32" t="str">
        <x:f>IF(OR(I185="",K185=""),"",I185-K185)</x:f>
      </x:c>
      <x:c r="M185" s="30"/>
      <x:c r="N185" s="30"/>
      <x:c r="O185" s="30" t="str">
        <x:f>IF(OR(M185="",N185=""),"",IF(N185="WIN",M185*(J185-1),IF(N185="LOSS",-M185,0)))</x:f>
      </x:c>
      <x:c r="P185" s="30"/>
      <x:c r="Q185" s="30" t="str">
        <x:f>IF(OR(J185="",P185=""),"",J185/P185-1)</x:f>
      </x:c>
      <x:c r="R185" s="30" t="str">
        <x:f>IF(O185="","",SUM($O$2:O185))</x:f>
      </x:c>
    </x:row>
    <x:row r="186">
      <x:c r="B186" s="28"/>
      <x:c r="I186" s="32"/>
      <x:c r="J186" s="30"/>
      <x:c r="K186" s="32" t="str">
        <x:f>IF(J186="","",1/J186)</x:f>
      </x:c>
      <x:c r="L186" s="32" t="str">
        <x:f>IF(OR(I186="",K186=""),"",I186-K186)</x:f>
      </x:c>
      <x:c r="M186" s="30"/>
      <x:c r="N186" s="30"/>
      <x:c r="O186" s="30" t="str">
        <x:f>IF(OR(M186="",N186=""),"",IF(N186="WIN",M186*(J186-1),IF(N186="LOSS",-M186,0)))</x:f>
      </x:c>
      <x:c r="P186" s="30"/>
      <x:c r="Q186" s="30" t="str">
        <x:f>IF(OR(J186="",P186=""),"",J186/P186-1)</x:f>
      </x:c>
      <x:c r="R186" s="30" t="str">
        <x:f>IF(O186="","",SUM($O$2:O186))</x:f>
      </x:c>
    </x:row>
    <x:row r="187">
      <x:c r="B187" s="28"/>
      <x:c r="I187" s="32"/>
      <x:c r="J187" s="30"/>
      <x:c r="K187" s="32" t="str">
        <x:f>IF(J187="","",1/J187)</x:f>
      </x:c>
      <x:c r="L187" s="32" t="str">
        <x:f>IF(OR(I187="",K187=""),"",I187-K187)</x:f>
      </x:c>
      <x:c r="M187" s="30"/>
      <x:c r="N187" s="30"/>
      <x:c r="O187" s="30" t="str">
        <x:f>IF(OR(M187="",N187=""),"",IF(N187="WIN",M187*(J187-1),IF(N187="LOSS",-M187,0)))</x:f>
      </x:c>
      <x:c r="P187" s="30"/>
      <x:c r="Q187" s="30" t="str">
        <x:f>IF(OR(J187="",P187=""),"",J187/P187-1)</x:f>
      </x:c>
      <x:c r="R187" s="30" t="str">
        <x:f>IF(O187="","",SUM($O$2:O187))</x:f>
      </x:c>
    </x:row>
    <x:row r="188">
      <x:c r="B188" s="28"/>
      <x:c r="I188" s="32"/>
      <x:c r="J188" s="30"/>
      <x:c r="K188" s="32" t="str">
        <x:f>IF(J188="","",1/J188)</x:f>
      </x:c>
      <x:c r="L188" s="32" t="str">
        <x:f>IF(OR(I188="",K188=""),"",I188-K188)</x:f>
      </x:c>
      <x:c r="M188" s="30"/>
      <x:c r="N188" s="30"/>
      <x:c r="O188" s="30" t="str">
        <x:f>IF(OR(M188="",N188=""),"",IF(N188="WIN",M188*(J188-1),IF(N188="LOSS",-M188,0)))</x:f>
      </x:c>
      <x:c r="P188" s="30"/>
      <x:c r="Q188" s="30" t="str">
        <x:f>IF(OR(J188="",P188=""),"",J188/P188-1)</x:f>
      </x:c>
      <x:c r="R188" s="30" t="str">
        <x:f>IF(O188="","",SUM($O$2:O188))</x:f>
      </x:c>
    </x:row>
    <x:row r="189">
      <x:c r="B189" s="28"/>
      <x:c r="I189" s="32"/>
      <x:c r="J189" s="30"/>
      <x:c r="K189" s="32" t="str">
        <x:f>IF(J189="","",1/J189)</x:f>
      </x:c>
      <x:c r="L189" s="32" t="str">
        <x:f>IF(OR(I189="",K189=""),"",I189-K189)</x:f>
      </x:c>
      <x:c r="M189" s="30"/>
      <x:c r="N189" s="30"/>
      <x:c r="O189" s="30" t="str">
        <x:f>IF(OR(M189="",N189=""),"",IF(N189="WIN",M189*(J189-1),IF(N189="LOSS",-M189,0)))</x:f>
      </x:c>
      <x:c r="P189" s="30"/>
      <x:c r="Q189" s="30" t="str">
        <x:f>IF(OR(J189="",P189=""),"",J189/P189-1)</x:f>
      </x:c>
      <x:c r="R189" s="30" t="str">
        <x:f>IF(O189="","",SUM($O$2:O189))</x:f>
      </x:c>
    </x:row>
    <x:row r="190">
      <x:c r="B190" s="28"/>
      <x:c r="I190" s="32"/>
      <x:c r="J190" s="30"/>
      <x:c r="K190" s="32" t="str">
        <x:f>IF(J190="","",1/J190)</x:f>
      </x:c>
      <x:c r="L190" s="32" t="str">
        <x:f>IF(OR(I190="",K190=""),"",I190-K190)</x:f>
      </x:c>
      <x:c r="M190" s="30"/>
      <x:c r="N190" s="30"/>
      <x:c r="O190" s="30" t="str">
        <x:f>IF(OR(M190="",N190=""),"",IF(N190="WIN",M190*(J190-1),IF(N190="LOSS",-M190,0)))</x:f>
      </x:c>
      <x:c r="P190" s="30"/>
      <x:c r="Q190" s="30" t="str">
        <x:f>IF(OR(J190="",P190=""),"",J190/P190-1)</x:f>
      </x:c>
      <x:c r="R190" s="30" t="str">
        <x:f>IF(O190="","",SUM($O$2:O190))</x:f>
      </x:c>
    </x:row>
    <x:row r="191">
      <x:c r="B191" s="28"/>
      <x:c r="I191" s="32"/>
      <x:c r="J191" s="30"/>
      <x:c r="K191" s="32" t="str">
        <x:f>IF(J191="","",1/J191)</x:f>
      </x:c>
      <x:c r="L191" s="32" t="str">
        <x:f>IF(OR(I191="",K191=""),"",I191-K191)</x:f>
      </x:c>
      <x:c r="M191" s="30"/>
      <x:c r="N191" s="30"/>
      <x:c r="O191" s="30" t="str">
        <x:f>IF(OR(M191="",N191=""),"",IF(N191="WIN",M191*(J191-1),IF(N191="LOSS",-M191,0)))</x:f>
      </x:c>
      <x:c r="P191" s="30"/>
      <x:c r="Q191" s="30" t="str">
        <x:f>IF(OR(J191="",P191=""),"",J191/P191-1)</x:f>
      </x:c>
      <x:c r="R191" s="30" t="str">
        <x:f>IF(O191="","",SUM($O$2:O191))</x:f>
      </x:c>
    </x:row>
    <x:row r="192">
      <x:c r="B192" s="28"/>
      <x:c r="I192" s="32"/>
      <x:c r="J192" s="30"/>
      <x:c r="K192" s="32" t="str">
        <x:f>IF(J192="","",1/J192)</x:f>
      </x:c>
      <x:c r="L192" s="32" t="str">
        <x:f>IF(OR(I192="",K192=""),"",I192-K192)</x:f>
      </x:c>
      <x:c r="M192" s="30"/>
      <x:c r="N192" s="30"/>
      <x:c r="O192" s="30" t="str">
        <x:f>IF(OR(M192="",N192=""),"",IF(N192="WIN",M192*(J192-1),IF(N192="LOSS",-M192,0)))</x:f>
      </x:c>
      <x:c r="P192" s="30"/>
      <x:c r="Q192" s="30" t="str">
        <x:f>IF(OR(J192="",P192=""),"",J192/P192-1)</x:f>
      </x:c>
      <x:c r="R192" s="30" t="str">
        <x:f>IF(O192="","",SUM($O$2:O192))</x:f>
      </x:c>
    </x:row>
    <x:row r="193">
      <x:c r="B193" s="28"/>
      <x:c r="I193" s="32"/>
      <x:c r="J193" s="30"/>
      <x:c r="K193" s="32" t="str">
        <x:f>IF(J193="","",1/J193)</x:f>
      </x:c>
      <x:c r="L193" s="32" t="str">
        <x:f>IF(OR(I193="",K193=""),"",I193-K193)</x:f>
      </x:c>
      <x:c r="M193" s="30"/>
      <x:c r="N193" s="30"/>
      <x:c r="O193" s="30" t="str">
        <x:f>IF(OR(M193="",N193=""),"",IF(N193="WIN",M193*(J193-1),IF(N193="LOSS",-M193,0)))</x:f>
      </x:c>
      <x:c r="P193" s="30"/>
      <x:c r="Q193" s="30" t="str">
        <x:f>IF(OR(J193="",P193=""),"",J193/P193-1)</x:f>
      </x:c>
      <x:c r="R193" s="30" t="str">
        <x:f>IF(O193="","",SUM($O$2:O193))</x:f>
      </x:c>
    </x:row>
    <x:row r="194">
      <x:c r="B194" s="28"/>
      <x:c r="I194" s="32"/>
      <x:c r="J194" s="30"/>
      <x:c r="K194" s="32" t="str">
        <x:f>IF(J194="","",1/J194)</x:f>
      </x:c>
      <x:c r="L194" s="32" t="str">
        <x:f>IF(OR(I194="",K194=""),"",I194-K194)</x:f>
      </x:c>
      <x:c r="M194" s="30"/>
      <x:c r="N194" s="30"/>
      <x:c r="O194" s="30" t="str">
        <x:f>IF(OR(M194="",N194=""),"",IF(N194="WIN",M194*(J194-1),IF(N194="LOSS",-M194,0)))</x:f>
      </x:c>
      <x:c r="P194" s="30"/>
      <x:c r="Q194" s="30" t="str">
        <x:f>IF(OR(J194="",P194=""),"",J194/P194-1)</x:f>
      </x:c>
      <x:c r="R194" s="30" t="str">
        <x:f>IF(O194="","",SUM($O$2:O194))</x:f>
      </x:c>
    </x:row>
    <x:row r="195">
      <x:c r="B195" s="28"/>
      <x:c r="I195" s="32"/>
      <x:c r="J195" s="30"/>
      <x:c r="K195" s="32" t="str">
        <x:f>IF(J195="","",1/J195)</x:f>
      </x:c>
      <x:c r="L195" s="32" t="str">
        <x:f>IF(OR(I195="",K195=""),"",I195-K195)</x:f>
      </x:c>
      <x:c r="M195" s="30"/>
      <x:c r="N195" s="30"/>
      <x:c r="O195" s="30" t="str">
        <x:f>IF(OR(M195="",N195=""),"",IF(N195="WIN",M195*(J195-1),IF(N195="LOSS",-M195,0)))</x:f>
      </x:c>
      <x:c r="P195" s="30"/>
      <x:c r="Q195" s="30" t="str">
        <x:f>IF(OR(J195="",P195=""),"",J195/P195-1)</x:f>
      </x:c>
      <x:c r="R195" s="30" t="str">
        <x:f>IF(O195="","",SUM($O$2:O195))</x:f>
      </x:c>
    </x:row>
    <x:row r="196">
      <x:c r="B196" s="28"/>
      <x:c r="I196" s="32"/>
      <x:c r="J196" s="30"/>
      <x:c r="K196" s="32" t="str">
        <x:f>IF(J196="","",1/J196)</x:f>
      </x:c>
      <x:c r="L196" s="32" t="str">
        <x:f>IF(OR(I196="",K196=""),"",I196-K196)</x:f>
      </x:c>
      <x:c r="M196" s="30"/>
      <x:c r="N196" s="30"/>
      <x:c r="O196" s="30" t="str">
        <x:f>IF(OR(M196="",N196=""),"",IF(N196="WIN",M196*(J196-1),IF(N196="LOSS",-M196,0)))</x:f>
      </x:c>
      <x:c r="P196" s="30"/>
      <x:c r="Q196" s="30" t="str">
        <x:f>IF(OR(J196="",P196=""),"",J196/P196-1)</x:f>
      </x:c>
      <x:c r="R196" s="30" t="str">
        <x:f>IF(O196="","",SUM($O$2:O196))</x:f>
      </x:c>
    </x:row>
    <x:row r="197">
      <x:c r="B197" s="28"/>
      <x:c r="I197" s="32"/>
      <x:c r="J197" s="30"/>
      <x:c r="K197" s="32" t="str">
        <x:f>IF(J197="","",1/J197)</x:f>
      </x:c>
      <x:c r="L197" s="32" t="str">
        <x:f>IF(OR(I197="",K197=""),"",I197-K197)</x:f>
      </x:c>
      <x:c r="M197" s="30"/>
      <x:c r="N197" s="30"/>
      <x:c r="O197" s="30" t="str">
        <x:f>IF(OR(M197="",N197=""),"",IF(N197="WIN",M197*(J197-1),IF(N197="LOSS",-M197,0)))</x:f>
      </x:c>
      <x:c r="P197" s="30"/>
      <x:c r="Q197" s="30" t="str">
        <x:f>IF(OR(J197="",P197=""),"",J197/P197-1)</x:f>
      </x:c>
      <x:c r="R197" s="30" t="str">
        <x:f>IF(O197="","",SUM($O$2:O197))</x:f>
      </x:c>
    </x:row>
    <x:row r="198">
      <x:c r="B198" s="28"/>
      <x:c r="I198" s="32"/>
      <x:c r="J198" s="30"/>
      <x:c r="K198" s="32" t="str">
        <x:f>IF(J198="","",1/J198)</x:f>
      </x:c>
      <x:c r="L198" s="32" t="str">
        <x:f>IF(OR(I198="",K198=""),"",I198-K198)</x:f>
      </x:c>
      <x:c r="M198" s="30"/>
      <x:c r="N198" s="30"/>
      <x:c r="O198" s="30" t="str">
        <x:f>IF(OR(M198="",N198=""),"",IF(N198="WIN",M198*(J198-1),IF(N198="LOSS",-M198,0)))</x:f>
      </x:c>
      <x:c r="P198" s="30"/>
      <x:c r="Q198" s="30" t="str">
        <x:f>IF(OR(J198="",P198=""),"",J198/P198-1)</x:f>
      </x:c>
      <x:c r="R198" s="30" t="str">
        <x:f>IF(O198="","",SUM($O$2:O198))</x:f>
      </x:c>
    </x:row>
    <x:row r="199">
      <x:c r="B199" s="28"/>
      <x:c r="I199" s="32"/>
      <x:c r="J199" s="30"/>
      <x:c r="K199" s="32" t="str">
        <x:f>IF(J199="","",1/J199)</x:f>
      </x:c>
      <x:c r="L199" s="32" t="str">
        <x:f>IF(OR(I199="",K199=""),"",I199-K199)</x:f>
      </x:c>
      <x:c r="M199" s="30"/>
      <x:c r="N199" s="30"/>
      <x:c r="O199" s="30" t="str">
        <x:f>IF(OR(M199="",N199=""),"",IF(N199="WIN",M199*(J199-1),IF(N199="LOSS",-M199,0)))</x:f>
      </x:c>
      <x:c r="P199" s="30"/>
      <x:c r="Q199" s="30" t="str">
        <x:f>IF(OR(J199="",P199=""),"",J199/P199-1)</x:f>
      </x:c>
      <x:c r="R199" s="30" t="str">
        <x:f>IF(O199="","",SUM($O$2:O199))</x:f>
      </x:c>
    </x:row>
    <x:row r="200">
      <x:c r="B200" s="28"/>
      <x:c r="I200" s="32"/>
      <x:c r="J200" s="30"/>
      <x:c r="K200" s="32" t="str">
        <x:f>IF(J200="","",1/J200)</x:f>
      </x:c>
      <x:c r="L200" s="32" t="str">
        <x:f>IF(OR(I200="",K200=""),"",I200-K200)</x:f>
      </x:c>
      <x:c r="M200" s="30"/>
      <x:c r="N200" s="30"/>
      <x:c r="O200" s="30" t="str">
        <x:f>IF(OR(M200="",N200=""),"",IF(N200="WIN",M200*(J200-1),IF(N200="LOSS",-M200,0)))</x:f>
      </x:c>
      <x:c r="P200" s="30"/>
      <x:c r="Q200" s="30" t="str">
        <x:f>IF(OR(J200="",P200=""),"",J200/P200-1)</x:f>
      </x:c>
      <x:c r="R200" s="30" t="str">
        <x:f>IF(O200="","",SUM($O$2:O200))</x:f>
      </x:c>
    </x:row>
    <x:row r="201">
      <x:c r="B201" s="28"/>
      <x:c r="I201" s="32"/>
      <x:c r="J201" s="30"/>
      <x:c r="K201" s="32" t="str">
        <x:f>IF(J201="","",1/J201)</x:f>
      </x:c>
      <x:c r="L201" s="32" t="str">
        <x:f>IF(OR(I201="",K201=""),"",I201-K201)</x:f>
      </x:c>
      <x:c r="M201" s="30"/>
      <x:c r="N201" s="30"/>
      <x:c r="O201" s="30" t="str">
        <x:f>IF(OR(M201="",N201=""),"",IF(N201="WIN",M201*(J201-1),IF(N201="LOSS",-M201,0)))</x:f>
      </x:c>
      <x:c r="P201" s="30"/>
      <x:c r="Q201" s="30" t="str">
        <x:f>IF(OR(J201="",P201=""),"",J201/P201-1)</x:f>
      </x:c>
      <x:c r="R201" s="30" t="str">
        <x:f>IF(O201="","",SUM($O$2:O201))</x:f>
      </x:c>
    </x:row>
    <x:row r="202">
      <x:c r="B202" s="28"/>
      <x:c r="I202" s="32"/>
      <x:c r="J202" s="30"/>
      <x:c r="K202" s="32" t="str">
        <x:f>IF(J202="","",1/J202)</x:f>
      </x:c>
      <x:c r="L202" s="32" t="str">
        <x:f>IF(OR(I202="",K202=""),"",I202-K202)</x:f>
      </x:c>
      <x:c r="M202" s="30"/>
      <x:c r="N202" s="30"/>
      <x:c r="O202" s="30" t="str">
        <x:f>IF(OR(M202="",N202=""),"",IF(N202="WIN",M202*(J202-1),IF(N202="LOSS",-M202,0)))</x:f>
      </x:c>
      <x:c r="P202" s="30"/>
      <x:c r="Q202" s="30" t="str">
        <x:f>IF(OR(J202="",P202=""),"",J202/P202-1)</x:f>
      </x:c>
      <x:c r="R202" s="30" t="str">
        <x:f>IF(O202="","",SUM($O$2:O202))</x:f>
      </x:c>
    </x:row>
    <x:row r="203">
      <x:c r="B203" s="28"/>
      <x:c r="I203" s="32"/>
      <x:c r="J203" s="30"/>
      <x:c r="K203" s="32" t="str">
        <x:f>IF(J203="","",1/J203)</x:f>
      </x:c>
      <x:c r="L203" s="32" t="str">
        <x:f>IF(OR(I203="",K203=""),"",I203-K203)</x:f>
      </x:c>
      <x:c r="M203" s="30"/>
      <x:c r="N203" s="30"/>
      <x:c r="O203" s="30" t="str">
        <x:f>IF(OR(M203="",N203=""),"",IF(N203="WIN",M203*(J203-1),IF(N203="LOSS",-M203,0)))</x:f>
      </x:c>
      <x:c r="P203" s="30"/>
      <x:c r="Q203" s="30" t="str">
        <x:f>IF(OR(J203="",P203=""),"",J203/P203-1)</x:f>
      </x:c>
      <x:c r="R203" s="30" t="str">
        <x:f>IF(O203="","",SUM($O$2:O203))</x:f>
      </x:c>
    </x:row>
    <x:row r="204">
      <x:c r="B204" s="28"/>
      <x:c r="I204" s="32"/>
      <x:c r="J204" s="30"/>
      <x:c r="K204" s="32" t="str">
        <x:f>IF(J204="","",1/J204)</x:f>
      </x:c>
      <x:c r="L204" s="32" t="str">
        <x:f>IF(OR(I204="",K204=""),"",I204-K204)</x:f>
      </x:c>
      <x:c r="M204" s="30"/>
      <x:c r="N204" s="30"/>
      <x:c r="O204" s="30" t="str">
        <x:f>IF(OR(M204="",N204=""),"",IF(N204="WIN",M204*(J204-1),IF(N204="LOSS",-M204,0)))</x:f>
      </x:c>
      <x:c r="P204" s="30"/>
      <x:c r="Q204" s="30" t="str">
        <x:f>IF(OR(J204="",P204=""),"",J204/P204-1)</x:f>
      </x:c>
      <x:c r="R204" s="30" t="str">
        <x:f>IF(O204="","",SUM($O$2:O204))</x:f>
      </x:c>
    </x:row>
    <x:row r="205">
      <x:c r="B205" s="28"/>
      <x:c r="I205" s="32"/>
      <x:c r="J205" s="30"/>
      <x:c r="K205" s="32" t="str">
        <x:f>IF(J205="","",1/J205)</x:f>
      </x:c>
      <x:c r="L205" s="32" t="str">
        <x:f>IF(OR(I205="",K205=""),"",I205-K205)</x:f>
      </x:c>
      <x:c r="M205" s="30"/>
      <x:c r="N205" s="30"/>
      <x:c r="O205" s="30" t="str">
        <x:f>IF(OR(M205="",N205=""),"",IF(N205="WIN",M205*(J205-1),IF(N205="LOSS",-M205,0)))</x:f>
      </x:c>
      <x:c r="P205" s="30"/>
      <x:c r="Q205" s="30" t="str">
        <x:f>IF(OR(J205="",P205=""),"",J205/P205-1)</x:f>
      </x:c>
      <x:c r="R205" s="30" t="str">
        <x:f>IF(O205="","",SUM($O$2:O205))</x:f>
      </x:c>
    </x:row>
    <x:row r="206">
      <x:c r="B206" s="28"/>
      <x:c r="I206" s="32"/>
      <x:c r="J206" s="30"/>
      <x:c r="K206" s="32" t="str">
        <x:f>IF(J206="","",1/J206)</x:f>
      </x:c>
      <x:c r="L206" s="32" t="str">
        <x:f>IF(OR(I206="",K206=""),"",I206-K206)</x:f>
      </x:c>
      <x:c r="M206" s="30"/>
      <x:c r="N206" s="30"/>
      <x:c r="O206" s="30" t="str">
        <x:f>IF(OR(M206="",N206=""),"",IF(N206="WIN",M206*(J206-1),IF(N206="LOSS",-M206,0)))</x:f>
      </x:c>
      <x:c r="P206" s="30"/>
      <x:c r="Q206" s="30" t="str">
        <x:f>IF(OR(J206="",P206=""),"",J206/P206-1)</x:f>
      </x:c>
      <x:c r="R206" s="30" t="str">
        <x:f>IF(O206="","",SUM($O$2:O206))</x:f>
      </x:c>
    </x:row>
    <x:row r="207">
      <x:c r="B207" s="28"/>
      <x:c r="I207" s="32"/>
      <x:c r="J207" s="30"/>
      <x:c r="K207" s="32" t="str">
        <x:f>IF(J207="","",1/J207)</x:f>
      </x:c>
      <x:c r="L207" s="32" t="str">
        <x:f>IF(OR(I207="",K207=""),"",I207-K207)</x:f>
      </x:c>
      <x:c r="M207" s="30"/>
      <x:c r="N207" s="30"/>
      <x:c r="O207" s="30" t="str">
        <x:f>IF(OR(M207="",N207=""),"",IF(N207="WIN",M207*(J207-1),IF(N207="LOSS",-M207,0)))</x:f>
      </x:c>
      <x:c r="P207" s="30"/>
      <x:c r="Q207" s="30" t="str">
        <x:f>IF(OR(J207="",P207=""),"",J207/P207-1)</x:f>
      </x:c>
      <x:c r="R207" s="30" t="str">
        <x:f>IF(O207="","",SUM($O$2:O207))</x:f>
      </x:c>
    </x:row>
    <x:row r="208">
      <x:c r="B208" s="28"/>
      <x:c r="I208" s="32"/>
      <x:c r="J208" s="30"/>
      <x:c r="K208" s="32" t="str">
        <x:f>IF(J208="","",1/J208)</x:f>
      </x:c>
      <x:c r="L208" s="32" t="str">
        <x:f>IF(OR(I208="",K208=""),"",I208-K208)</x:f>
      </x:c>
      <x:c r="M208" s="30"/>
      <x:c r="N208" s="30"/>
      <x:c r="O208" s="30" t="str">
        <x:f>IF(OR(M208="",N208=""),"",IF(N208="WIN",M208*(J208-1),IF(N208="LOSS",-M208,0)))</x:f>
      </x:c>
      <x:c r="P208" s="30"/>
      <x:c r="Q208" s="30" t="str">
        <x:f>IF(OR(J208="",P208=""),"",J208/P208-1)</x:f>
      </x:c>
      <x:c r="R208" s="30" t="str">
        <x:f>IF(O208="","",SUM($O$2:O208))</x:f>
      </x:c>
    </x:row>
    <x:row r="209">
      <x:c r="B209" s="28"/>
      <x:c r="I209" s="32"/>
      <x:c r="J209" s="30"/>
      <x:c r="K209" s="32" t="str">
        <x:f>IF(J209="","",1/J209)</x:f>
      </x:c>
      <x:c r="L209" s="32" t="str">
        <x:f>IF(OR(I209="",K209=""),"",I209-K209)</x:f>
      </x:c>
      <x:c r="M209" s="30"/>
      <x:c r="N209" s="30"/>
      <x:c r="O209" s="30" t="str">
        <x:f>IF(OR(M209="",N209=""),"",IF(N209="WIN",M209*(J209-1),IF(N209="LOSS",-M209,0)))</x:f>
      </x:c>
      <x:c r="P209" s="30"/>
      <x:c r="Q209" s="30" t="str">
        <x:f>IF(OR(J209="",P209=""),"",J209/P209-1)</x:f>
      </x:c>
      <x:c r="R209" s="30" t="str">
        <x:f>IF(O209="","",SUM($O$2:O209))</x:f>
      </x:c>
    </x:row>
    <x:row r="210">
      <x:c r="B210" s="28"/>
      <x:c r="I210" s="32"/>
      <x:c r="J210" s="30"/>
      <x:c r="K210" s="32" t="str">
        <x:f>IF(J210="","",1/J210)</x:f>
      </x:c>
      <x:c r="L210" s="32" t="str">
        <x:f>IF(OR(I210="",K210=""),"",I210-K210)</x:f>
      </x:c>
      <x:c r="M210" s="30"/>
      <x:c r="N210" s="30"/>
      <x:c r="O210" s="30" t="str">
        <x:f>IF(OR(M210="",N210=""),"",IF(N210="WIN",M210*(J210-1),IF(N210="LOSS",-M210,0)))</x:f>
      </x:c>
      <x:c r="P210" s="30"/>
      <x:c r="Q210" s="30" t="str">
        <x:f>IF(OR(J210="",P210=""),"",J210/P210-1)</x:f>
      </x:c>
      <x:c r="R210" s="30" t="str">
        <x:f>IF(O210="","",SUM($O$2:O210))</x:f>
      </x:c>
    </x:row>
    <x:row r="211">
      <x:c r="B211" s="28"/>
      <x:c r="I211" s="32"/>
      <x:c r="J211" s="30"/>
      <x:c r="K211" s="32" t="str">
        <x:f>IF(J211="","",1/J211)</x:f>
      </x:c>
      <x:c r="L211" s="32" t="str">
        <x:f>IF(OR(I211="",K211=""),"",I211-K211)</x:f>
      </x:c>
      <x:c r="M211" s="30"/>
      <x:c r="N211" s="30"/>
      <x:c r="O211" s="30" t="str">
        <x:f>IF(OR(M211="",N211=""),"",IF(N211="WIN",M211*(J211-1),IF(N211="LOSS",-M211,0)))</x:f>
      </x:c>
      <x:c r="P211" s="30"/>
      <x:c r="Q211" s="30" t="str">
        <x:f>IF(OR(J211="",P211=""),"",J211/P211-1)</x:f>
      </x:c>
      <x:c r="R211" s="30" t="str">
        <x:f>IF(O211="","",SUM($O$2:O211))</x:f>
      </x:c>
    </x:row>
    <x:row r="212">
      <x:c r="B212" s="28"/>
      <x:c r="I212" s="32"/>
      <x:c r="J212" s="30"/>
      <x:c r="K212" s="32" t="str">
        <x:f>IF(J212="","",1/J212)</x:f>
      </x:c>
      <x:c r="L212" s="32" t="str">
        <x:f>IF(OR(I212="",K212=""),"",I212-K212)</x:f>
      </x:c>
      <x:c r="M212" s="30"/>
      <x:c r="N212" s="30"/>
      <x:c r="O212" s="30" t="str">
        <x:f>IF(OR(M212="",N212=""),"",IF(N212="WIN",M212*(J212-1),IF(N212="LOSS",-M212,0)))</x:f>
      </x:c>
      <x:c r="P212" s="30"/>
      <x:c r="Q212" s="30" t="str">
        <x:f>IF(OR(J212="",P212=""),"",J212/P212-1)</x:f>
      </x:c>
      <x:c r="R212" s="30" t="str">
        <x:f>IF(O212="","",SUM($O$2:O212))</x:f>
      </x:c>
    </x:row>
    <x:row r="213">
      <x:c r="B213" s="28"/>
      <x:c r="I213" s="32"/>
      <x:c r="J213" s="30"/>
      <x:c r="K213" s="32" t="str">
        <x:f>IF(J213="","",1/J213)</x:f>
      </x:c>
      <x:c r="L213" s="32" t="str">
        <x:f>IF(OR(I213="",K213=""),"",I213-K213)</x:f>
      </x:c>
      <x:c r="M213" s="30"/>
      <x:c r="N213" s="30"/>
      <x:c r="O213" s="30" t="str">
        <x:f>IF(OR(M213="",N213=""),"",IF(N213="WIN",M213*(J213-1),IF(N213="LOSS",-M213,0)))</x:f>
      </x:c>
      <x:c r="P213" s="30"/>
      <x:c r="Q213" s="30" t="str">
        <x:f>IF(OR(J213="",P213=""),"",J213/P213-1)</x:f>
      </x:c>
      <x:c r="R213" s="30" t="str">
        <x:f>IF(O213="","",SUM($O$2:O213))</x:f>
      </x:c>
    </x:row>
    <x:row r="214">
      <x:c r="B214" s="28"/>
      <x:c r="I214" s="32"/>
      <x:c r="J214" s="30"/>
      <x:c r="K214" s="32" t="str">
        <x:f>IF(J214="","",1/J214)</x:f>
      </x:c>
      <x:c r="L214" s="32" t="str">
        <x:f>IF(OR(I214="",K214=""),"",I214-K214)</x:f>
      </x:c>
      <x:c r="M214" s="30"/>
      <x:c r="N214" s="30"/>
      <x:c r="O214" s="30" t="str">
        <x:f>IF(OR(M214="",N214=""),"",IF(N214="WIN",M214*(J214-1),IF(N214="LOSS",-M214,0)))</x:f>
      </x:c>
      <x:c r="P214" s="30"/>
      <x:c r="Q214" s="30" t="str">
        <x:f>IF(OR(J214="",P214=""),"",J214/P214-1)</x:f>
      </x:c>
      <x:c r="R214" s="30" t="str">
        <x:f>IF(O214="","",SUM($O$2:O214))</x:f>
      </x:c>
    </x:row>
    <x:row r="215">
      <x:c r="B215" s="28"/>
      <x:c r="I215" s="32"/>
      <x:c r="J215" s="30"/>
      <x:c r="K215" s="32" t="str">
        <x:f>IF(J215="","",1/J215)</x:f>
      </x:c>
      <x:c r="L215" s="32" t="str">
        <x:f>IF(OR(I215="",K215=""),"",I215-K215)</x:f>
      </x:c>
      <x:c r="M215" s="30"/>
      <x:c r="N215" s="30"/>
      <x:c r="O215" s="30" t="str">
        <x:f>IF(OR(M215="",N215=""),"",IF(N215="WIN",M215*(J215-1),IF(N215="LOSS",-M215,0)))</x:f>
      </x:c>
      <x:c r="P215" s="30"/>
      <x:c r="Q215" s="30" t="str">
        <x:f>IF(OR(J215="",P215=""),"",J215/P215-1)</x:f>
      </x:c>
      <x:c r="R215" s="30" t="str">
        <x:f>IF(O215="","",SUM($O$2:O215))</x:f>
      </x:c>
    </x:row>
    <x:row r="216">
      <x:c r="B216" s="28"/>
      <x:c r="I216" s="32"/>
      <x:c r="J216" s="30"/>
      <x:c r="K216" s="32" t="str">
        <x:f>IF(J216="","",1/J216)</x:f>
      </x:c>
      <x:c r="L216" s="32" t="str">
        <x:f>IF(OR(I216="",K216=""),"",I216-K216)</x:f>
      </x:c>
      <x:c r="M216" s="30"/>
      <x:c r="N216" s="30"/>
      <x:c r="O216" s="30" t="str">
        <x:f>IF(OR(M216="",N216=""),"",IF(N216="WIN",M216*(J216-1),IF(N216="LOSS",-M216,0)))</x:f>
      </x:c>
      <x:c r="P216" s="30"/>
      <x:c r="Q216" s="30" t="str">
        <x:f>IF(OR(J216="",P216=""),"",J216/P216-1)</x:f>
      </x:c>
      <x:c r="R216" s="30" t="str">
        <x:f>IF(O216="","",SUM($O$2:O216))</x:f>
      </x:c>
    </x:row>
    <x:row r="217">
      <x:c r="B217" s="28"/>
      <x:c r="I217" s="32"/>
      <x:c r="J217" s="30"/>
      <x:c r="K217" s="32" t="str">
        <x:f>IF(J217="","",1/J217)</x:f>
      </x:c>
      <x:c r="L217" s="32" t="str">
        <x:f>IF(OR(I217="",K217=""),"",I217-K217)</x:f>
      </x:c>
      <x:c r="M217" s="30"/>
      <x:c r="N217" s="30"/>
      <x:c r="O217" s="30" t="str">
        <x:f>IF(OR(M217="",N217=""),"",IF(N217="WIN",M217*(J217-1),IF(N217="LOSS",-M217,0)))</x:f>
      </x:c>
      <x:c r="P217" s="30"/>
      <x:c r="Q217" s="30" t="str">
        <x:f>IF(OR(J217="",P217=""),"",J217/P217-1)</x:f>
      </x:c>
      <x:c r="R217" s="30" t="str">
        <x:f>IF(O217="","",SUM($O$2:O217))</x:f>
      </x:c>
    </x:row>
    <x:row r="218">
      <x:c r="B218" s="28"/>
      <x:c r="I218" s="32"/>
      <x:c r="J218" s="30"/>
      <x:c r="K218" s="32" t="str">
        <x:f>IF(J218="","",1/J218)</x:f>
      </x:c>
      <x:c r="L218" s="32" t="str">
        <x:f>IF(OR(I218="",K218=""),"",I218-K218)</x:f>
      </x:c>
      <x:c r="M218" s="30"/>
      <x:c r="N218" s="30"/>
      <x:c r="O218" s="30" t="str">
        <x:f>IF(OR(M218="",N218=""),"",IF(N218="WIN",M218*(J218-1),IF(N218="LOSS",-M218,0)))</x:f>
      </x:c>
      <x:c r="P218" s="30"/>
      <x:c r="Q218" s="30" t="str">
        <x:f>IF(OR(J218="",P218=""),"",J218/P218-1)</x:f>
      </x:c>
      <x:c r="R218" s="30" t="str">
        <x:f>IF(O218="","",SUM($O$2:O218))</x:f>
      </x:c>
    </x:row>
    <x:row r="219">
      <x:c r="B219" s="28"/>
      <x:c r="I219" s="32"/>
      <x:c r="J219" s="30"/>
      <x:c r="K219" s="32" t="str">
        <x:f>IF(J219="","",1/J219)</x:f>
      </x:c>
      <x:c r="L219" s="32" t="str">
        <x:f>IF(OR(I219="",K219=""),"",I219-K219)</x:f>
      </x:c>
      <x:c r="M219" s="30"/>
      <x:c r="N219" s="30"/>
      <x:c r="O219" s="30" t="str">
        <x:f>IF(OR(M219="",N219=""),"",IF(N219="WIN",M219*(J219-1),IF(N219="LOSS",-M219,0)))</x:f>
      </x:c>
      <x:c r="P219" s="30"/>
      <x:c r="Q219" s="30" t="str">
        <x:f>IF(OR(J219="",P219=""),"",J219/P219-1)</x:f>
      </x:c>
      <x:c r="R219" s="30" t="str">
        <x:f>IF(O219="","",SUM($O$2:O219))</x:f>
      </x:c>
    </x:row>
    <x:row r="220">
      <x:c r="B220" s="28"/>
      <x:c r="I220" s="32"/>
      <x:c r="J220" s="30"/>
      <x:c r="K220" s="32" t="str">
        <x:f>IF(J220="","",1/J220)</x:f>
      </x:c>
      <x:c r="L220" s="32" t="str">
        <x:f>IF(OR(I220="",K220=""),"",I220-K220)</x:f>
      </x:c>
      <x:c r="M220" s="30"/>
      <x:c r="N220" s="30"/>
      <x:c r="O220" s="30" t="str">
        <x:f>IF(OR(M220="",N220=""),"",IF(N220="WIN",M220*(J220-1),IF(N220="LOSS",-M220,0)))</x:f>
      </x:c>
      <x:c r="P220" s="30"/>
      <x:c r="Q220" s="30" t="str">
        <x:f>IF(OR(J220="",P220=""),"",J220/P220-1)</x:f>
      </x:c>
      <x:c r="R220" s="30" t="str">
        <x:f>IF(O220="","",SUM($O$2:O220))</x:f>
      </x:c>
    </x:row>
    <x:row r="221">
      <x:c r="B221" s="28"/>
      <x:c r="I221" s="32"/>
      <x:c r="J221" s="30"/>
      <x:c r="K221" s="32" t="str">
        <x:f>IF(J221="","",1/J221)</x:f>
      </x:c>
      <x:c r="L221" s="32" t="str">
        <x:f>IF(OR(I221="",K221=""),"",I221-K221)</x:f>
      </x:c>
      <x:c r="M221" s="30"/>
      <x:c r="N221" s="30"/>
      <x:c r="O221" s="30" t="str">
        <x:f>IF(OR(M221="",N221=""),"",IF(N221="WIN",M221*(J221-1),IF(N221="LOSS",-M221,0)))</x:f>
      </x:c>
      <x:c r="P221" s="30"/>
      <x:c r="Q221" s="30" t="str">
        <x:f>IF(OR(J221="",P221=""),"",J221/P221-1)</x:f>
      </x:c>
      <x:c r="R221" s="30" t="str">
        <x:f>IF(O221="","",SUM($O$2:O221))</x:f>
      </x:c>
    </x:row>
    <x:row r="222">
      <x:c r="B222" s="28"/>
      <x:c r="I222" s="32"/>
      <x:c r="J222" s="30"/>
      <x:c r="K222" s="32" t="str">
        <x:f>IF(J222="","",1/J222)</x:f>
      </x:c>
      <x:c r="L222" s="32" t="str">
        <x:f>IF(OR(I222="",K222=""),"",I222-K222)</x:f>
      </x:c>
      <x:c r="M222" s="30"/>
      <x:c r="N222" s="30"/>
      <x:c r="O222" s="30" t="str">
        <x:f>IF(OR(M222="",N222=""),"",IF(N222="WIN",M222*(J222-1),IF(N222="LOSS",-M222,0)))</x:f>
      </x:c>
      <x:c r="P222" s="30"/>
      <x:c r="Q222" s="30" t="str">
        <x:f>IF(OR(J222="",P222=""),"",J222/P222-1)</x:f>
      </x:c>
      <x:c r="R222" s="30" t="str">
        <x:f>IF(O222="","",SUM($O$2:O222))</x:f>
      </x:c>
    </x:row>
    <x:row r="223">
      <x:c r="B223" s="28"/>
      <x:c r="I223" s="32"/>
      <x:c r="J223" s="30"/>
      <x:c r="K223" s="32" t="str">
        <x:f>IF(J223="","",1/J223)</x:f>
      </x:c>
      <x:c r="L223" s="32" t="str">
        <x:f>IF(OR(I223="",K223=""),"",I223-K223)</x:f>
      </x:c>
      <x:c r="M223" s="30"/>
      <x:c r="N223" s="30"/>
      <x:c r="O223" s="30" t="str">
        <x:f>IF(OR(M223="",N223=""),"",IF(N223="WIN",M223*(J223-1),IF(N223="LOSS",-M223,0)))</x:f>
      </x:c>
      <x:c r="P223" s="30"/>
      <x:c r="Q223" s="30" t="str">
        <x:f>IF(OR(J223="",P223=""),"",J223/P223-1)</x:f>
      </x:c>
      <x:c r="R223" s="30" t="str">
        <x:f>IF(O223="","",SUM($O$2:O223))</x:f>
      </x:c>
    </x:row>
    <x:row r="224">
      <x:c r="B224" s="28"/>
      <x:c r="I224" s="32"/>
      <x:c r="J224" s="30"/>
      <x:c r="K224" s="32" t="str">
        <x:f>IF(J224="","",1/J224)</x:f>
      </x:c>
      <x:c r="L224" s="32" t="str">
        <x:f>IF(OR(I224="",K224=""),"",I224-K224)</x:f>
      </x:c>
      <x:c r="M224" s="30"/>
      <x:c r="N224" s="30"/>
      <x:c r="O224" s="30" t="str">
        <x:f>IF(OR(M224="",N224=""),"",IF(N224="WIN",M224*(J224-1),IF(N224="LOSS",-M224,0)))</x:f>
      </x:c>
      <x:c r="P224" s="30"/>
      <x:c r="Q224" s="30" t="str">
        <x:f>IF(OR(J224="",P224=""),"",J224/P224-1)</x:f>
      </x:c>
      <x:c r="R224" s="30" t="str">
        <x:f>IF(O224="","",SUM($O$2:O224))</x:f>
      </x:c>
    </x:row>
    <x:row r="225">
      <x:c r="B225" s="28"/>
      <x:c r="I225" s="32"/>
      <x:c r="J225" s="30"/>
      <x:c r="K225" s="32" t="str">
        <x:f>IF(J225="","",1/J225)</x:f>
      </x:c>
      <x:c r="L225" s="32" t="str">
        <x:f>IF(OR(I225="",K225=""),"",I225-K225)</x:f>
      </x:c>
      <x:c r="M225" s="30"/>
      <x:c r="N225" s="30"/>
      <x:c r="O225" s="30" t="str">
        <x:f>IF(OR(M225="",N225=""),"",IF(N225="WIN",M225*(J225-1),IF(N225="LOSS",-M225,0)))</x:f>
      </x:c>
      <x:c r="P225" s="30"/>
      <x:c r="Q225" s="30" t="str">
        <x:f>IF(OR(J225="",P225=""),"",J225/P225-1)</x:f>
      </x:c>
      <x:c r="R225" s="30" t="str">
        <x:f>IF(O225="","",SUM($O$2:O225))</x:f>
      </x:c>
    </x:row>
    <x:row r="226">
      <x:c r="B226" s="28"/>
      <x:c r="I226" s="32"/>
      <x:c r="J226" s="30"/>
      <x:c r="K226" s="32" t="str">
        <x:f>IF(J226="","",1/J226)</x:f>
      </x:c>
      <x:c r="L226" s="32" t="str">
        <x:f>IF(OR(I226="",K226=""),"",I226-K226)</x:f>
      </x:c>
      <x:c r="M226" s="30"/>
      <x:c r="N226" s="30"/>
      <x:c r="O226" s="30" t="str">
        <x:f>IF(OR(M226="",N226=""),"",IF(N226="WIN",M226*(J226-1),IF(N226="LOSS",-M226,0)))</x:f>
      </x:c>
      <x:c r="P226" s="30"/>
      <x:c r="Q226" s="30" t="str">
        <x:f>IF(OR(J226="",P226=""),"",J226/P226-1)</x:f>
      </x:c>
      <x:c r="R226" s="30" t="str">
        <x:f>IF(O226="","",SUM($O$2:O226))</x:f>
      </x:c>
    </x:row>
    <x:row r="227">
      <x:c r="B227" s="28"/>
      <x:c r="I227" s="32"/>
      <x:c r="J227" s="30"/>
      <x:c r="K227" s="32" t="str">
        <x:f>IF(J227="","",1/J227)</x:f>
      </x:c>
      <x:c r="L227" s="32" t="str">
        <x:f>IF(OR(I227="",K227=""),"",I227-K227)</x:f>
      </x:c>
      <x:c r="M227" s="30"/>
      <x:c r="N227" s="30"/>
      <x:c r="O227" s="30" t="str">
        <x:f>IF(OR(M227="",N227=""),"",IF(N227="WIN",M227*(J227-1),IF(N227="LOSS",-M227,0)))</x:f>
      </x:c>
      <x:c r="P227" s="30"/>
      <x:c r="Q227" s="30" t="str">
        <x:f>IF(OR(J227="",P227=""),"",J227/P227-1)</x:f>
      </x:c>
      <x:c r="R227" s="30" t="str">
        <x:f>IF(O227="","",SUM($O$2:O227))</x:f>
      </x:c>
    </x:row>
    <x:row r="228">
      <x:c r="B228" s="28"/>
      <x:c r="I228" s="32"/>
      <x:c r="J228" s="30"/>
      <x:c r="K228" s="32" t="str">
        <x:f>IF(J228="","",1/J228)</x:f>
      </x:c>
      <x:c r="L228" s="32" t="str">
        <x:f>IF(OR(I228="",K228=""),"",I228-K228)</x:f>
      </x:c>
      <x:c r="M228" s="30"/>
      <x:c r="N228" s="30"/>
      <x:c r="O228" s="30" t="str">
        <x:f>IF(OR(M228="",N228=""),"",IF(N228="WIN",M228*(J228-1),IF(N228="LOSS",-M228,0)))</x:f>
      </x:c>
      <x:c r="P228" s="30"/>
      <x:c r="Q228" s="30" t="str">
        <x:f>IF(OR(J228="",P228=""),"",J228/P228-1)</x:f>
      </x:c>
      <x:c r="R228" s="30" t="str">
        <x:f>IF(O228="","",SUM($O$2:O228))</x:f>
      </x:c>
    </x:row>
    <x:row r="229">
      <x:c r="B229" s="28"/>
      <x:c r="I229" s="32"/>
      <x:c r="J229" s="30"/>
      <x:c r="K229" s="32" t="str">
        <x:f>IF(J229="","",1/J229)</x:f>
      </x:c>
      <x:c r="L229" s="32" t="str">
        <x:f>IF(OR(I229="",K229=""),"",I229-K229)</x:f>
      </x:c>
      <x:c r="M229" s="30"/>
      <x:c r="N229" s="30"/>
      <x:c r="O229" s="30" t="str">
        <x:f>IF(OR(M229="",N229=""),"",IF(N229="WIN",M229*(J229-1),IF(N229="LOSS",-M229,0)))</x:f>
      </x:c>
      <x:c r="P229" s="30"/>
      <x:c r="Q229" s="30" t="str">
        <x:f>IF(OR(J229="",P229=""),"",J229/P229-1)</x:f>
      </x:c>
      <x:c r="R229" s="30" t="str">
        <x:f>IF(O229="","",SUM($O$2:O229))</x:f>
      </x:c>
    </x:row>
    <x:row r="230">
      <x:c r="B230" s="28"/>
      <x:c r="I230" s="32"/>
      <x:c r="J230" s="30"/>
      <x:c r="K230" s="32" t="str">
        <x:f>IF(J230="","",1/J230)</x:f>
      </x:c>
      <x:c r="L230" s="32" t="str">
        <x:f>IF(OR(I230="",K230=""),"",I230-K230)</x:f>
      </x:c>
      <x:c r="M230" s="30"/>
      <x:c r="N230" s="30"/>
      <x:c r="O230" s="30" t="str">
        <x:f>IF(OR(M230="",N230=""),"",IF(N230="WIN",M230*(J230-1),IF(N230="LOSS",-M230,0)))</x:f>
      </x:c>
      <x:c r="P230" s="30"/>
      <x:c r="Q230" s="30" t="str">
        <x:f>IF(OR(J230="",P230=""),"",J230/P230-1)</x:f>
      </x:c>
      <x:c r="R230" s="30" t="str">
        <x:f>IF(O230="","",SUM($O$2:O230))</x:f>
      </x:c>
    </x:row>
    <x:row r="231">
      <x:c r="B231" s="28"/>
      <x:c r="I231" s="32"/>
      <x:c r="J231" s="30"/>
      <x:c r="K231" s="32" t="str">
        <x:f>IF(J231="","",1/J231)</x:f>
      </x:c>
      <x:c r="L231" s="32" t="str">
        <x:f>IF(OR(I231="",K231=""),"",I231-K231)</x:f>
      </x:c>
      <x:c r="M231" s="30"/>
      <x:c r="N231" s="30"/>
      <x:c r="O231" s="30" t="str">
        <x:f>IF(OR(M231="",N231=""),"",IF(N231="WIN",M231*(J231-1),IF(N231="LOSS",-M231,0)))</x:f>
      </x:c>
      <x:c r="P231" s="30"/>
      <x:c r="Q231" s="30" t="str">
        <x:f>IF(OR(J231="",P231=""),"",J231/P231-1)</x:f>
      </x:c>
      <x:c r="R231" s="30" t="str">
        <x:f>IF(O231="","",SUM($O$2:O231))</x:f>
      </x:c>
    </x:row>
    <x:row r="232">
      <x:c r="B232" s="28"/>
      <x:c r="I232" s="32"/>
      <x:c r="J232" s="30"/>
      <x:c r="K232" s="32" t="str">
        <x:f>IF(J232="","",1/J232)</x:f>
      </x:c>
      <x:c r="L232" s="32" t="str">
        <x:f>IF(OR(I232="",K232=""),"",I232-K232)</x:f>
      </x:c>
      <x:c r="M232" s="30"/>
      <x:c r="N232" s="30"/>
      <x:c r="O232" s="30" t="str">
        <x:f>IF(OR(M232="",N232=""),"",IF(N232="WIN",M232*(J232-1),IF(N232="LOSS",-M232,0)))</x:f>
      </x:c>
      <x:c r="P232" s="30"/>
      <x:c r="Q232" s="30" t="str">
        <x:f>IF(OR(J232="",P232=""),"",J232/P232-1)</x:f>
      </x:c>
      <x:c r="R232" s="30" t="str">
        <x:f>IF(O232="","",SUM($O$2:O232))</x:f>
      </x:c>
    </x:row>
    <x:row r="233">
      <x:c r="B233" s="28"/>
      <x:c r="I233" s="32"/>
      <x:c r="J233" s="30"/>
      <x:c r="K233" s="32" t="str">
        <x:f>IF(J233="","",1/J233)</x:f>
      </x:c>
      <x:c r="L233" s="32" t="str">
        <x:f>IF(OR(I233="",K233=""),"",I233-K233)</x:f>
      </x:c>
      <x:c r="M233" s="30"/>
      <x:c r="N233" s="30"/>
      <x:c r="O233" s="30" t="str">
        <x:f>IF(OR(M233="",N233=""),"",IF(N233="WIN",M233*(J233-1),IF(N233="LOSS",-M233,0)))</x:f>
      </x:c>
      <x:c r="P233" s="30"/>
      <x:c r="Q233" s="30" t="str">
        <x:f>IF(OR(J233="",P233=""),"",J233/P233-1)</x:f>
      </x:c>
      <x:c r="R233" s="30" t="str">
        <x:f>IF(O233="","",SUM($O$2:O233))</x:f>
      </x:c>
    </x:row>
    <x:row r="234">
      <x:c r="B234" s="28"/>
      <x:c r="I234" s="32"/>
      <x:c r="J234" s="30"/>
      <x:c r="K234" s="32" t="str">
        <x:f>IF(J234="","",1/J234)</x:f>
      </x:c>
      <x:c r="L234" s="32" t="str">
        <x:f>IF(OR(I234="",K234=""),"",I234-K234)</x:f>
      </x:c>
      <x:c r="M234" s="30"/>
      <x:c r="N234" s="30"/>
      <x:c r="O234" s="30" t="str">
        <x:f>IF(OR(M234="",N234=""),"",IF(N234="WIN",M234*(J234-1),IF(N234="LOSS",-M234,0)))</x:f>
      </x:c>
      <x:c r="P234" s="30"/>
      <x:c r="Q234" s="30" t="str">
        <x:f>IF(OR(J234="",P234=""),"",J234/P234-1)</x:f>
      </x:c>
      <x:c r="R234" s="30" t="str">
        <x:f>IF(O234="","",SUM($O$2:O234))</x:f>
      </x:c>
    </x:row>
    <x:row r="235">
      <x:c r="B235" s="28"/>
      <x:c r="I235" s="32"/>
      <x:c r="J235" s="30"/>
      <x:c r="K235" s="32" t="str">
        <x:f>IF(J235="","",1/J235)</x:f>
      </x:c>
      <x:c r="L235" s="32" t="str">
        <x:f>IF(OR(I235="",K235=""),"",I235-K235)</x:f>
      </x:c>
      <x:c r="M235" s="30"/>
      <x:c r="N235" s="30"/>
      <x:c r="O235" s="30" t="str">
        <x:f>IF(OR(M235="",N235=""),"",IF(N235="WIN",M235*(J235-1),IF(N235="LOSS",-M235,0)))</x:f>
      </x:c>
      <x:c r="P235" s="30"/>
      <x:c r="Q235" s="30" t="str">
        <x:f>IF(OR(J235="",P235=""),"",J235/P235-1)</x:f>
      </x:c>
      <x:c r="R235" s="30" t="str">
        <x:f>IF(O235="","",SUM($O$2:O235))</x:f>
      </x:c>
    </x:row>
    <x:row r="236">
      <x:c r="B236" s="28"/>
      <x:c r="I236" s="32"/>
      <x:c r="J236" s="30"/>
      <x:c r="K236" s="32" t="str">
        <x:f>IF(J236="","",1/J236)</x:f>
      </x:c>
      <x:c r="L236" s="32" t="str">
        <x:f>IF(OR(I236="",K236=""),"",I236-K236)</x:f>
      </x:c>
      <x:c r="M236" s="30"/>
      <x:c r="N236" s="30"/>
      <x:c r="O236" s="30" t="str">
        <x:f>IF(OR(M236="",N236=""),"",IF(N236="WIN",M236*(J236-1),IF(N236="LOSS",-M236,0)))</x:f>
      </x:c>
      <x:c r="P236" s="30"/>
      <x:c r="Q236" s="30" t="str">
        <x:f>IF(OR(J236="",P236=""),"",J236/P236-1)</x:f>
      </x:c>
      <x:c r="R236" s="30" t="str">
        <x:f>IF(O236="","",SUM($O$2:O236))</x:f>
      </x:c>
    </x:row>
    <x:row r="237">
      <x:c r="B237" s="28"/>
      <x:c r="I237" s="32"/>
      <x:c r="J237" s="30"/>
      <x:c r="K237" s="32" t="str">
        <x:f>IF(J237="","",1/J237)</x:f>
      </x:c>
      <x:c r="L237" s="32" t="str">
        <x:f>IF(OR(I237="",K237=""),"",I237-K237)</x:f>
      </x:c>
      <x:c r="M237" s="30"/>
      <x:c r="N237" s="30"/>
      <x:c r="O237" s="30" t="str">
        <x:f>IF(OR(M237="",N237=""),"",IF(N237="WIN",M237*(J237-1),IF(N237="LOSS",-M237,0)))</x:f>
      </x:c>
      <x:c r="P237" s="30"/>
      <x:c r="Q237" s="30" t="str">
        <x:f>IF(OR(J237="",P237=""),"",J237/P237-1)</x:f>
      </x:c>
      <x:c r="R237" s="30" t="str">
        <x:f>IF(O237="","",SUM($O$2:O237))</x:f>
      </x:c>
    </x:row>
    <x:row r="238">
      <x:c r="B238" s="28"/>
      <x:c r="I238" s="32"/>
      <x:c r="J238" s="30"/>
      <x:c r="K238" s="32" t="str">
        <x:f>IF(J238="","",1/J238)</x:f>
      </x:c>
      <x:c r="L238" s="32" t="str">
        <x:f>IF(OR(I238="",K238=""),"",I238-K238)</x:f>
      </x:c>
      <x:c r="M238" s="30"/>
      <x:c r="N238" s="30"/>
      <x:c r="O238" s="30" t="str">
        <x:f>IF(OR(M238="",N238=""),"",IF(N238="WIN",M238*(J238-1),IF(N238="LOSS",-M238,0)))</x:f>
      </x:c>
      <x:c r="P238" s="30"/>
      <x:c r="Q238" s="30" t="str">
        <x:f>IF(OR(J238="",P238=""),"",J238/P238-1)</x:f>
      </x:c>
      <x:c r="R238" s="30" t="str">
        <x:f>IF(O238="","",SUM($O$2:O238))</x:f>
      </x:c>
    </x:row>
    <x:row r="239">
      <x:c r="B239" s="28"/>
      <x:c r="I239" s="32"/>
      <x:c r="J239" s="30"/>
      <x:c r="K239" s="32" t="str">
        <x:f>IF(J239="","",1/J239)</x:f>
      </x:c>
      <x:c r="L239" s="32" t="str">
        <x:f>IF(OR(I239="",K239=""),"",I239-K239)</x:f>
      </x:c>
      <x:c r="M239" s="30"/>
      <x:c r="N239" s="30"/>
      <x:c r="O239" s="30" t="str">
        <x:f>IF(OR(M239="",N239=""),"",IF(N239="WIN",M239*(J239-1),IF(N239="LOSS",-M239,0)))</x:f>
      </x:c>
      <x:c r="P239" s="30"/>
      <x:c r="Q239" s="30" t="str">
        <x:f>IF(OR(J239="",P239=""),"",J239/P239-1)</x:f>
      </x:c>
      <x:c r="R239" s="30" t="str">
        <x:f>IF(O239="","",SUM($O$2:O239))</x:f>
      </x:c>
    </x:row>
    <x:row r="240">
      <x:c r="B240" s="28"/>
      <x:c r="I240" s="32"/>
      <x:c r="J240" s="30"/>
      <x:c r="K240" s="32" t="str">
        <x:f>IF(J240="","",1/J240)</x:f>
      </x:c>
      <x:c r="L240" s="32" t="str">
        <x:f>IF(OR(I240="",K240=""),"",I240-K240)</x:f>
      </x:c>
      <x:c r="M240" s="30"/>
      <x:c r="N240" s="30"/>
      <x:c r="O240" s="30" t="str">
        <x:f>IF(OR(M240="",N240=""),"",IF(N240="WIN",M240*(J240-1),IF(N240="LOSS",-M240,0)))</x:f>
      </x:c>
      <x:c r="P240" s="30"/>
      <x:c r="Q240" s="30" t="str">
        <x:f>IF(OR(J240="",P240=""),"",J240/P240-1)</x:f>
      </x:c>
      <x:c r="R240" s="30" t="str">
        <x:f>IF(O240="","",SUM($O$2:O240))</x:f>
      </x:c>
    </x:row>
    <x:row r="241">
      <x:c r="B241" s="28"/>
      <x:c r="I241" s="32"/>
      <x:c r="J241" s="30"/>
      <x:c r="K241" s="32" t="str">
        <x:f>IF(J241="","",1/J241)</x:f>
      </x:c>
      <x:c r="L241" s="32" t="str">
        <x:f>IF(OR(I241="",K241=""),"",I241-K241)</x:f>
      </x:c>
      <x:c r="M241" s="30"/>
      <x:c r="N241" s="30"/>
      <x:c r="O241" s="30" t="str">
        <x:f>IF(OR(M241="",N241=""),"",IF(N241="WIN",M241*(J241-1),IF(N241="LOSS",-M241,0)))</x:f>
      </x:c>
      <x:c r="P241" s="30"/>
      <x:c r="Q241" s="30" t="str">
        <x:f>IF(OR(J241="",P241=""),"",J241/P241-1)</x:f>
      </x:c>
      <x:c r="R241" s="30" t="str">
        <x:f>IF(O241="","",SUM($O$2:O241))</x:f>
      </x:c>
    </x:row>
    <x:row r="242">
      <x:c r="B242" s="28"/>
      <x:c r="I242" s="32"/>
      <x:c r="J242" s="30"/>
      <x:c r="K242" s="32" t="str">
        <x:f>IF(J242="","",1/J242)</x:f>
      </x:c>
      <x:c r="L242" s="32" t="str">
        <x:f>IF(OR(I242="",K242=""),"",I242-K242)</x:f>
      </x:c>
      <x:c r="M242" s="30"/>
      <x:c r="N242" s="30"/>
      <x:c r="O242" s="30" t="str">
        <x:f>IF(OR(M242="",N242=""),"",IF(N242="WIN",M242*(J242-1),IF(N242="LOSS",-M242,0)))</x:f>
      </x:c>
      <x:c r="P242" s="30"/>
      <x:c r="Q242" s="30" t="str">
        <x:f>IF(OR(J242="",P242=""),"",J242/P242-1)</x:f>
      </x:c>
      <x:c r="R242" s="30" t="str">
        <x:f>IF(O242="","",SUM($O$2:O242))</x:f>
      </x:c>
    </x:row>
    <x:row r="243">
      <x:c r="B243" s="28"/>
      <x:c r="I243" s="32"/>
      <x:c r="J243" s="30"/>
      <x:c r="K243" s="32" t="str">
        <x:f>IF(J243="","",1/J243)</x:f>
      </x:c>
      <x:c r="L243" s="32" t="str">
        <x:f>IF(OR(I243="",K243=""),"",I243-K243)</x:f>
      </x:c>
      <x:c r="M243" s="30"/>
      <x:c r="N243" s="30"/>
      <x:c r="O243" s="30" t="str">
        <x:f>IF(OR(M243="",N243=""),"",IF(N243="WIN",M243*(J243-1),IF(N243="LOSS",-M243,0)))</x:f>
      </x:c>
      <x:c r="P243" s="30"/>
      <x:c r="Q243" s="30" t="str">
        <x:f>IF(OR(J243="",P243=""),"",J243/P243-1)</x:f>
      </x:c>
      <x:c r="R243" s="30" t="str">
        <x:f>IF(O243="","",SUM($O$2:O243))</x:f>
      </x:c>
    </x:row>
    <x:row r="244">
      <x:c r="B244" s="28"/>
      <x:c r="I244" s="32"/>
      <x:c r="J244" s="30"/>
      <x:c r="K244" s="32" t="str">
        <x:f>IF(J244="","",1/J244)</x:f>
      </x:c>
      <x:c r="L244" s="32" t="str">
        <x:f>IF(OR(I244="",K244=""),"",I244-K244)</x:f>
      </x:c>
      <x:c r="M244" s="30"/>
      <x:c r="N244" s="30"/>
      <x:c r="O244" s="30" t="str">
        <x:f>IF(OR(M244="",N244=""),"",IF(N244="WIN",M244*(J244-1),IF(N244="LOSS",-M244,0)))</x:f>
      </x:c>
      <x:c r="P244" s="30"/>
      <x:c r="Q244" s="30" t="str">
        <x:f>IF(OR(J244="",P244=""),"",J244/P244-1)</x:f>
      </x:c>
      <x:c r="R244" s="30" t="str">
        <x:f>IF(O244="","",SUM($O$2:O244))</x:f>
      </x:c>
    </x:row>
    <x:row r="245">
      <x:c r="B245" s="28"/>
      <x:c r="I245" s="32"/>
      <x:c r="J245" s="30"/>
      <x:c r="K245" s="32" t="str">
        <x:f>IF(J245="","",1/J245)</x:f>
      </x:c>
      <x:c r="L245" s="32" t="str">
        <x:f>IF(OR(I245="",K245=""),"",I245-K245)</x:f>
      </x:c>
      <x:c r="M245" s="30"/>
      <x:c r="N245" s="30"/>
      <x:c r="O245" s="30" t="str">
        <x:f>IF(OR(M245="",N245=""),"",IF(N245="WIN",M245*(J245-1),IF(N245="LOSS",-M245,0)))</x:f>
      </x:c>
      <x:c r="P245" s="30"/>
      <x:c r="Q245" s="30" t="str">
        <x:f>IF(OR(J245="",P245=""),"",J245/P245-1)</x:f>
      </x:c>
      <x:c r="R245" s="30" t="str">
        <x:f>IF(O245="","",SUM($O$2:O245))</x:f>
      </x:c>
    </x:row>
    <x:row r="246">
      <x:c r="B246" s="28"/>
      <x:c r="I246" s="32"/>
      <x:c r="J246" s="30"/>
      <x:c r="K246" s="32" t="str">
        <x:f>IF(J246="","",1/J246)</x:f>
      </x:c>
      <x:c r="L246" s="32" t="str">
        <x:f>IF(OR(I246="",K246=""),"",I246-K246)</x:f>
      </x:c>
      <x:c r="M246" s="30"/>
      <x:c r="N246" s="30"/>
      <x:c r="O246" s="30" t="str">
        <x:f>IF(OR(M246="",N246=""),"",IF(N246="WIN",M246*(J246-1),IF(N246="LOSS",-M246,0)))</x:f>
      </x:c>
      <x:c r="P246" s="30"/>
      <x:c r="Q246" s="30" t="str">
        <x:f>IF(OR(J246="",P246=""),"",J246/P246-1)</x:f>
      </x:c>
      <x:c r="R246" s="30" t="str">
        <x:f>IF(O246="","",SUM($O$2:O246))</x:f>
      </x:c>
    </x:row>
    <x:row r="247">
      <x:c r="B247" s="28"/>
      <x:c r="I247" s="32"/>
      <x:c r="J247" s="30"/>
      <x:c r="K247" s="32" t="str">
        <x:f>IF(J247="","",1/J247)</x:f>
      </x:c>
      <x:c r="L247" s="32" t="str">
        <x:f>IF(OR(I247="",K247=""),"",I247-K247)</x:f>
      </x:c>
      <x:c r="M247" s="30"/>
      <x:c r="N247" s="30"/>
      <x:c r="O247" s="30" t="str">
        <x:f>IF(OR(M247="",N247=""),"",IF(N247="WIN",M247*(J247-1),IF(N247="LOSS",-M247,0)))</x:f>
      </x:c>
      <x:c r="P247" s="30"/>
      <x:c r="Q247" s="30" t="str">
        <x:f>IF(OR(J247="",P247=""),"",J247/P247-1)</x:f>
      </x:c>
      <x:c r="R247" s="30" t="str">
        <x:f>IF(O247="","",SUM($O$2:O247))</x:f>
      </x:c>
    </x:row>
    <x:row r="248">
      <x:c r="B248" s="28"/>
      <x:c r="I248" s="32"/>
      <x:c r="J248" s="30"/>
      <x:c r="K248" s="32" t="str">
        <x:f>IF(J248="","",1/J248)</x:f>
      </x:c>
      <x:c r="L248" s="32" t="str">
        <x:f>IF(OR(I248="",K248=""),"",I248-K248)</x:f>
      </x:c>
      <x:c r="M248" s="30"/>
      <x:c r="N248" s="30"/>
      <x:c r="O248" s="30" t="str">
        <x:f>IF(OR(M248="",N248=""),"",IF(N248="WIN",M248*(J248-1),IF(N248="LOSS",-M248,0)))</x:f>
      </x:c>
      <x:c r="P248" s="30"/>
      <x:c r="Q248" s="30" t="str">
        <x:f>IF(OR(J248="",P248=""),"",J248/P248-1)</x:f>
      </x:c>
      <x:c r="R248" s="30" t="str">
        <x:f>IF(O248="","",SUM($O$2:O248))</x:f>
      </x:c>
    </x:row>
    <x:row r="249">
      <x:c r="B249" s="28"/>
      <x:c r="I249" s="32"/>
      <x:c r="J249" s="30"/>
      <x:c r="K249" s="32" t="str">
        <x:f>IF(J249="","",1/J249)</x:f>
      </x:c>
      <x:c r="L249" s="32" t="str">
        <x:f>IF(OR(I249="",K249=""),"",I249-K249)</x:f>
      </x:c>
      <x:c r="M249" s="30"/>
      <x:c r="N249" s="30"/>
      <x:c r="O249" s="30" t="str">
        <x:f>IF(OR(M249="",N249=""),"",IF(N249="WIN",M249*(J249-1),IF(N249="LOSS",-M249,0)))</x:f>
      </x:c>
      <x:c r="P249" s="30"/>
      <x:c r="Q249" s="30" t="str">
        <x:f>IF(OR(J249="",P249=""),"",J249/P249-1)</x:f>
      </x:c>
      <x:c r="R249" s="30" t="str">
        <x:f>IF(O249="","",SUM($O$2:O249))</x:f>
      </x:c>
    </x:row>
    <x:row r="250">
      <x:c r="B250" s="28"/>
      <x:c r="I250" s="32"/>
      <x:c r="J250" s="30"/>
      <x:c r="K250" s="32" t="str">
        <x:f>IF(J250="","",1/J250)</x:f>
      </x:c>
      <x:c r="L250" s="32" t="str">
        <x:f>IF(OR(I250="",K250=""),"",I250-K250)</x:f>
      </x:c>
      <x:c r="M250" s="30"/>
      <x:c r="N250" s="30"/>
      <x:c r="O250" s="30" t="str">
        <x:f>IF(OR(M250="",N250=""),"",IF(N250="WIN",M250*(J250-1),IF(N250="LOSS",-M250,0)))</x:f>
      </x:c>
      <x:c r="P250" s="30"/>
      <x:c r="Q250" s="30" t="str">
        <x:f>IF(OR(J250="",P250=""),"",J250/P250-1)</x:f>
      </x:c>
      <x:c r="R250" s="30" t="str">
        <x:f>IF(O250="","",SUM($O$2:O250))</x:f>
      </x:c>
    </x:row>
    <x:row r="251">
      <x:c r="B251" s="28"/>
      <x:c r="I251" s="32"/>
      <x:c r="J251" s="30"/>
      <x:c r="K251" s="32" t="str">
        <x:f>IF(J251="","",1/J251)</x:f>
      </x:c>
      <x:c r="L251" s="32" t="str">
        <x:f>IF(OR(I251="",K251=""),"",I251-K251)</x:f>
      </x:c>
      <x:c r="M251" s="30"/>
      <x:c r="N251" s="30"/>
      <x:c r="O251" s="30" t="str">
        <x:f>IF(OR(M251="",N251=""),"",IF(N251="WIN",M251*(J251-1),IF(N251="LOSS",-M251,0)))</x:f>
      </x:c>
      <x:c r="P251" s="30"/>
      <x:c r="Q251" s="30" t="str">
        <x:f>IF(OR(J251="",P251=""),"",J251/P251-1)</x:f>
      </x:c>
      <x:c r="R251" s="30" t="str">
        <x:f>IF(O251="","",SUM($O$2:O251))</x:f>
      </x:c>
    </x:row>
    <x:row r="252">
      <x:c r="B252" s="28"/>
      <x:c r="I252" s="32"/>
      <x:c r="J252" s="30"/>
      <x:c r="K252" s="32" t="str">
        <x:f>IF(J252="","",1/J252)</x:f>
      </x:c>
      <x:c r="L252" s="32" t="str">
        <x:f>IF(OR(I252="",K252=""),"",I252-K252)</x:f>
      </x:c>
      <x:c r="M252" s="30"/>
      <x:c r="N252" s="30"/>
      <x:c r="O252" s="30" t="str">
        <x:f>IF(OR(M252="",N252=""),"",IF(N252="WIN",M252*(J252-1),IF(N252="LOSS",-M252,0)))</x:f>
      </x:c>
      <x:c r="P252" s="30"/>
      <x:c r="Q252" s="30" t="str">
        <x:f>IF(OR(J252="",P252=""),"",J252/P252-1)</x:f>
      </x:c>
      <x:c r="R252" s="30" t="str">
        <x:f>IF(O252="","",SUM($O$2:O252))</x:f>
      </x:c>
    </x:row>
    <x:row r="253">
      <x:c r="B253" s="28"/>
      <x:c r="I253" s="32"/>
      <x:c r="J253" s="30"/>
      <x:c r="K253" s="32" t="str">
        <x:f>IF(J253="","",1/J253)</x:f>
      </x:c>
      <x:c r="L253" s="32" t="str">
        <x:f>IF(OR(I253="",K253=""),"",I253-K253)</x:f>
      </x:c>
      <x:c r="M253" s="30"/>
      <x:c r="N253" s="30"/>
      <x:c r="O253" s="30" t="str">
        <x:f>IF(OR(M253="",N253=""),"",IF(N253="WIN",M253*(J253-1),IF(N253="LOSS",-M253,0)))</x:f>
      </x:c>
      <x:c r="P253" s="30"/>
      <x:c r="Q253" s="30" t="str">
        <x:f>IF(OR(J253="",P253=""),"",J253/P253-1)</x:f>
      </x:c>
      <x:c r="R253" s="30" t="str">
        <x:f>IF(O253="","",SUM($O$2:O253))</x:f>
      </x:c>
    </x:row>
    <x:row r="254">
      <x:c r="B254" s="28"/>
      <x:c r="I254" s="32"/>
      <x:c r="J254" s="30"/>
      <x:c r="K254" s="32" t="str">
        <x:f>IF(J254="","",1/J254)</x:f>
      </x:c>
      <x:c r="L254" s="32" t="str">
        <x:f>IF(OR(I254="",K254=""),"",I254-K254)</x:f>
      </x:c>
      <x:c r="M254" s="30"/>
      <x:c r="N254" s="30"/>
      <x:c r="O254" s="30" t="str">
        <x:f>IF(OR(M254="",N254=""),"",IF(N254="WIN",M254*(J254-1),IF(N254="LOSS",-M254,0)))</x:f>
      </x:c>
      <x:c r="P254" s="30"/>
      <x:c r="Q254" s="30" t="str">
        <x:f>IF(OR(J254="",P254=""),"",J254/P254-1)</x:f>
      </x:c>
      <x:c r="R254" s="30" t="str">
        <x:f>IF(O254="","",SUM($O$2:O254))</x:f>
      </x:c>
    </x:row>
    <x:row r="255">
      <x:c r="B255" s="28"/>
      <x:c r="I255" s="32"/>
      <x:c r="J255" s="30"/>
      <x:c r="K255" s="32" t="str">
        <x:f>IF(J255="","",1/J255)</x:f>
      </x:c>
      <x:c r="L255" s="32" t="str">
        <x:f>IF(OR(I255="",K255=""),"",I255-K255)</x:f>
      </x:c>
      <x:c r="M255" s="30"/>
      <x:c r="N255" s="30"/>
      <x:c r="O255" s="30" t="str">
        <x:f>IF(OR(M255="",N255=""),"",IF(N255="WIN",M255*(J255-1),IF(N255="LOSS",-M255,0)))</x:f>
      </x:c>
      <x:c r="P255" s="30"/>
      <x:c r="Q255" s="30" t="str">
        <x:f>IF(OR(J255="",P255=""),"",J255/P255-1)</x:f>
      </x:c>
      <x:c r="R255" s="30" t="str">
        <x:f>IF(O255="","",SUM($O$2:O255))</x:f>
      </x:c>
    </x:row>
    <x:row r="256">
      <x:c r="B256" s="28"/>
      <x:c r="I256" s="32"/>
      <x:c r="J256" s="30"/>
      <x:c r="K256" s="32" t="str">
        <x:f>IF(J256="","",1/J256)</x:f>
      </x:c>
      <x:c r="L256" s="32" t="str">
        <x:f>IF(OR(I256="",K256=""),"",I256-K256)</x:f>
      </x:c>
      <x:c r="M256" s="30"/>
      <x:c r="N256" s="30"/>
      <x:c r="O256" s="30" t="str">
        <x:f>IF(OR(M256="",N256=""),"",IF(N256="WIN",M256*(J256-1),IF(N256="LOSS",-M256,0)))</x:f>
      </x:c>
      <x:c r="P256" s="30"/>
      <x:c r="Q256" s="30" t="str">
        <x:f>IF(OR(J256="",P256=""),"",J256/P256-1)</x:f>
      </x:c>
      <x:c r="R256" s="30" t="str">
        <x:f>IF(O256="","",SUM($O$2:O256))</x:f>
      </x:c>
    </x:row>
    <x:row r="257">
      <x:c r="B257" s="28"/>
      <x:c r="I257" s="32"/>
      <x:c r="J257" s="30"/>
      <x:c r="K257" s="32" t="str">
        <x:f>IF(J257="","",1/J257)</x:f>
      </x:c>
      <x:c r="L257" s="32" t="str">
        <x:f>IF(OR(I257="",K257=""),"",I257-K257)</x:f>
      </x:c>
      <x:c r="M257" s="30"/>
      <x:c r="N257" s="30"/>
      <x:c r="O257" s="30" t="str">
        <x:f>IF(OR(M257="",N257=""),"",IF(N257="WIN",M257*(J257-1),IF(N257="LOSS",-M257,0)))</x:f>
      </x:c>
      <x:c r="P257" s="30"/>
      <x:c r="Q257" s="30" t="str">
        <x:f>IF(OR(J257="",P257=""),"",J257/P257-1)</x:f>
      </x:c>
      <x:c r="R257" s="30" t="str">
        <x:f>IF(O257="","",SUM($O$2:O257))</x:f>
      </x:c>
    </x:row>
    <x:row r="258">
      <x:c r="B258" s="28"/>
      <x:c r="I258" s="32"/>
      <x:c r="J258" s="30"/>
      <x:c r="K258" s="32" t="str">
        <x:f>IF(J258="","",1/J258)</x:f>
      </x:c>
      <x:c r="L258" s="32" t="str">
        <x:f>IF(OR(I258="",K258=""),"",I258-K258)</x:f>
      </x:c>
      <x:c r="M258" s="30"/>
      <x:c r="N258" s="30"/>
      <x:c r="O258" s="30" t="str">
        <x:f>IF(OR(M258="",N258=""),"",IF(N258="WIN",M258*(J258-1),IF(N258="LOSS",-M258,0)))</x:f>
      </x:c>
      <x:c r="P258" s="30"/>
      <x:c r="Q258" s="30" t="str">
        <x:f>IF(OR(J258="",P258=""),"",J258/P258-1)</x:f>
      </x:c>
      <x:c r="R258" s="30" t="str">
        <x:f>IF(O258="","",SUM($O$2:O258))</x:f>
      </x:c>
    </x:row>
    <x:row r="259">
      <x:c r="B259" s="28"/>
      <x:c r="I259" s="32"/>
      <x:c r="J259" s="30"/>
      <x:c r="K259" s="32" t="str">
        <x:f>IF(J259="","",1/J259)</x:f>
      </x:c>
      <x:c r="L259" s="32" t="str">
        <x:f>IF(OR(I259="",K259=""),"",I259-K259)</x:f>
      </x:c>
      <x:c r="M259" s="30"/>
      <x:c r="N259" s="30"/>
      <x:c r="O259" s="30" t="str">
        <x:f>IF(OR(M259="",N259=""),"",IF(N259="WIN",M259*(J259-1),IF(N259="LOSS",-M259,0)))</x:f>
      </x:c>
      <x:c r="P259" s="30"/>
      <x:c r="Q259" s="30" t="str">
        <x:f>IF(OR(J259="",P259=""),"",J259/P259-1)</x:f>
      </x:c>
      <x:c r="R259" s="30" t="str">
        <x:f>IF(O259="","",SUM($O$2:O259))</x:f>
      </x:c>
    </x:row>
    <x:row r="260">
      <x:c r="B260" s="28"/>
      <x:c r="I260" s="32"/>
      <x:c r="J260" s="30"/>
      <x:c r="K260" s="32" t="str">
        <x:f>IF(J260="","",1/J260)</x:f>
      </x:c>
      <x:c r="L260" s="32" t="str">
        <x:f>IF(OR(I260="",K260=""),"",I260-K260)</x:f>
      </x:c>
      <x:c r="M260" s="30"/>
      <x:c r="N260" s="30"/>
      <x:c r="O260" s="30" t="str">
        <x:f>IF(OR(M260="",N260=""),"",IF(N260="WIN",M260*(J260-1),IF(N260="LOSS",-M260,0)))</x:f>
      </x:c>
      <x:c r="P260" s="30"/>
      <x:c r="Q260" s="30" t="str">
        <x:f>IF(OR(J260="",P260=""),"",J260/P260-1)</x:f>
      </x:c>
      <x:c r="R260" s="30" t="str">
        <x:f>IF(O260="","",SUM($O$2:O260))</x:f>
      </x:c>
    </x:row>
    <x:row r="261">
      <x:c r="B261" s="28"/>
      <x:c r="I261" s="32"/>
      <x:c r="J261" s="30"/>
      <x:c r="K261" s="32" t="str">
        <x:f>IF(J261="","",1/J261)</x:f>
      </x:c>
      <x:c r="L261" s="32" t="str">
        <x:f>IF(OR(I261="",K261=""),"",I261-K261)</x:f>
      </x:c>
      <x:c r="M261" s="30"/>
      <x:c r="N261" s="30"/>
      <x:c r="O261" s="30" t="str">
        <x:f>IF(OR(M261="",N261=""),"",IF(N261="WIN",M261*(J261-1),IF(N261="LOSS",-M261,0)))</x:f>
      </x:c>
      <x:c r="P261" s="30"/>
      <x:c r="Q261" s="30" t="str">
        <x:f>IF(OR(J261="",P261=""),"",J261/P261-1)</x:f>
      </x:c>
      <x:c r="R261" s="30" t="str">
        <x:f>IF(O261="","",SUM($O$2:O261))</x:f>
      </x:c>
    </x:row>
    <x:row r="262">
      <x:c r="B262" s="28"/>
      <x:c r="I262" s="32"/>
      <x:c r="J262" s="30"/>
      <x:c r="K262" s="32" t="str">
        <x:f>IF(J262="","",1/J262)</x:f>
      </x:c>
      <x:c r="L262" s="32" t="str">
        <x:f>IF(OR(I262="",K262=""),"",I262-K262)</x:f>
      </x:c>
      <x:c r="M262" s="30"/>
      <x:c r="N262" s="30"/>
      <x:c r="O262" s="30" t="str">
        <x:f>IF(OR(M262="",N262=""),"",IF(N262="WIN",M262*(J262-1),IF(N262="LOSS",-M262,0)))</x:f>
      </x:c>
      <x:c r="P262" s="30"/>
      <x:c r="Q262" s="30" t="str">
        <x:f>IF(OR(J262="",P262=""),"",J262/P262-1)</x:f>
      </x:c>
      <x:c r="R262" s="30" t="str">
        <x:f>IF(O262="","",SUM($O$2:O262))</x:f>
      </x:c>
    </x:row>
    <x:row r="263">
      <x:c r="B263" s="28"/>
      <x:c r="I263" s="32"/>
      <x:c r="J263" s="30"/>
      <x:c r="K263" s="32" t="str">
        <x:f>IF(J263="","",1/J263)</x:f>
      </x:c>
      <x:c r="L263" s="32" t="str">
        <x:f>IF(OR(I263="",K263=""),"",I263-K263)</x:f>
      </x:c>
      <x:c r="M263" s="30"/>
      <x:c r="N263" s="30"/>
      <x:c r="O263" s="30" t="str">
        <x:f>IF(OR(M263="",N263=""),"",IF(N263="WIN",M263*(J263-1),IF(N263="LOSS",-M263,0)))</x:f>
      </x:c>
      <x:c r="P263" s="30"/>
      <x:c r="Q263" s="30" t="str">
        <x:f>IF(OR(J263="",P263=""),"",J263/P263-1)</x:f>
      </x:c>
      <x:c r="R263" s="30" t="str">
        <x:f>IF(O263="","",SUM($O$2:O263))</x:f>
      </x:c>
    </x:row>
    <x:row r="264">
      <x:c r="B264" s="28"/>
      <x:c r="I264" s="32"/>
      <x:c r="J264" s="30"/>
      <x:c r="K264" s="32" t="str">
        <x:f>IF(J264="","",1/J264)</x:f>
      </x:c>
      <x:c r="L264" s="32" t="str">
        <x:f>IF(OR(I264="",K264=""),"",I264-K264)</x:f>
      </x:c>
      <x:c r="M264" s="30"/>
      <x:c r="N264" s="30"/>
      <x:c r="O264" s="30" t="str">
        <x:f>IF(OR(M264="",N264=""),"",IF(N264="WIN",M264*(J264-1),IF(N264="LOSS",-M264,0)))</x:f>
      </x:c>
      <x:c r="P264" s="30"/>
      <x:c r="Q264" s="30" t="str">
        <x:f>IF(OR(J264="",P264=""),"",J264/P264-1)</x:f>
      </x:c>
      <x:c r="R264" s="30" t="str">
        <x:f>IF(O264="","",SUM($O$2:O264))</x:f>
      </x:c>
    </x:row>
    <x:row r="265">
      <x:c r="B265" s="28"/>
      <x:c r="I265" s="32"/>
      <x:c r="J265" s="30"/>
      <x:c r="K265" s="32" t="str">
        <x:f>IF(J265="","",1/J265)</x:f>
      </x:c>
      <x:c r="L265" s="32" t="str">
        <x:f>IF(OR(I265="",K265=""),"",I265-K265)</x:f>
      </x:c>
      <x:c r="M265" s="30"/>
      <x:c r="N265" s="30"/>
      <x:c r="O265" s="30" t="str">
        <x:f>IF(OR(M265="",N265=""),"",IF(N265="WIN",M265*(J265-1),IF(N265="LOSS",-M265,0)))</x:f>
      </x:c>
      <x:c r="P265" s="30"/>
      <x:c r="Q265" s="30" t="str">
        <x:f>IF(OR(J265="",P265=""),"",J265/P265-1)</x:f>
      </x:c>
      <x:c r="R265" s="30" t="str">
        <x:f>IF(O265="","",SUM($O$2:O265))</x:f>
      </x:c>
    </x:row>
    <x:row r="266">
      <x:c r="B266" s="28"/>
      <x:c r="I266" s="32"/>
      <x:c r="J266" s="30"/>
      <x:c r="K266" s="32" t="str">
        <x:f>IF(J266="","",1/J266)</x:f>
      </x:c>
      <x:c r="L266" s="32" t="str">
        <x:f>IF(OR(I266="",K266=""),"",I266-K266)</x:f>
      </x:c>
      <x:c r="M266" s="30"/>
      <x:c r="N266" s="30"/>
      <x:c r="O266" s="30" t="str">
        <x:f>IF(OR(M266="",N266=""),"",IF(N266="WIN",M266*(J266-1),IF(N266="LOSS",-M266,0)))</x:f>
      </x:c>
      <x:c r="P266" s="30"/>
      <x:c r="Q266" s="30" t="str">
        <x:f>IF(OR(J266="",P266=""),"",J266/P266-1)</x:f>
      </x:c>
      <x:c r="R266" s="30" t="str">
        <x:f>IF(O266="","",SUM($O$2:O266))</x:f>
      </x:c>
    </x:row>
    <x:row r="267">
      <x:c r="B267" s="28"/>
      <x:c r="I267" s="32"/>
      <x:c r="J267" s="30"/>
      <x:c r="K267" s="32" t="str">
        <x:f>IF(J267="","",1/J267)</x:f>
      </x:c>
      <x:c r="L267" s="32" t="str">
        <x:f>IF(OR(I267="",K267=""),"",I267-K267)</x:f>
      </x:c>
      <x:c r="M267" s="30"/>
      <x:c r="N267" s="30"/>
      <x:c r="O267" s="30" t="str">
        <x:f>IF(OR(M267="",N267=""),"",IF(N267="WIN",M267*(J267-1),IF(N267="LOSS",-M267,0)))</x:f>
      </x:c>
      <x:c r="P267" s="30"/>
      <x:c r="Q267" s="30" t="str">
        <x:f>IF(OR(J267="",P267=""),"",J267/P267-1)</x:f>
      </x:c>
      <x:c r="R267" s="30" t="str">
        <x:f>IF(O267="","",SUM($O$2:O267))</x:f>
      </x:c>
    </x:row>
    <x:row r="268">
      <x:c r="B268" s="28"/>
      <x:c r="I268" s="32"/>
      <x:c r="J268" s="30"/>
      <x:c r="K268" s="32" t="str">
        <x:f>IF(J268="","",1/J268)</x:f>
      </x:c>
      <x:c r="L268" s="32" t="str">
        <x:f>IF(OR(I268="",K268=""),"",I268-K268)</x:f>
      </x:c>
      <x:c r="M268" s="30"/>
      <x:c r="N268" s="30"/>
      <x:c r="O268" s="30" t="str">
        <x:f>IF(OR(M268="",N268=""),"",IF(N268="WIN",M268*(J268-1),IF(N268="LOSS",-M268,0)))</x:f>
      </x:c>
      <x:c r="P268" s="30"/>
      <x:c r="Q268" s="30" t="str">
        <x:f>IF(OR(J268="",P268=""),"",J268/P268-1)</x:f>
      </x:c>
      <x:c r="R268" s="30" t="str">
        <x:f>IF(O268="","",SUM($O$2:O268))</x:f>
      </x:c>
    </x:row>
    <x:row r="269">
      <x:c r="B269" s="28"/>
      <x:c r="I269" s="32"/>
      <x:c r="J269" s="30"/>
      <x:c r="K269" s="32" t="str">
        <x:f>IF(J269="","",1/J269)</x:f>
      </x:c>
      <x:c r="L269" s="32" t="str">
        <x:f>IF(OR(I269="",K269=""),"",I269-K269)</x:f>
      </x:c>
      <x:c r="M269" s="30"/>
      <x:c r="N269" s="30"/>
      <x:c r="O269" s="30" t="str">
        <x:f>IF(OR(M269="",N269=""),"",IF(N269="WIN",M269*(J269-1),IF(N269="LOSS",-M269,0)))</x:f>
      </x:c>
      <x:c r="P269" s="30"/>
      <x:c r="Q269" s="30" t="str">
        <x:f>IF(OR(J269="",P269=""),"",J269/P269-1)</x:f>
      </x:c>
      <x:c r="R269" s="30" t="str">
        <x:f>IF(O269="","",SUM($O$2:O269))</x:f>
      </x:c>
    </x:row>
    <x:row r="270">
      <x:c r="B270" s="28"/>
      <x:c r="I270" s="32"/>
      <x:c r="J270" s="30"/>
      <x:c r="K270" s="32" t="str">
        <x:f>IF(J270="","",1/J270)</x:f>
      </x:c>
      <x:c r="L270" s="32" t="str">
        <x:f>IF(OR(I270="",K270=""),"",I270-K270)</x:f>
      </x:c>
      <x:c r="M270" s="30"/>
      <x:c r="N270" s="30"/>
      <x:c r="O270" s="30" t="str">
        <x:f>IF(OR(M270="",N270=""),"",IF(N270="WIN",M270*(J270-1),IF(N270="LOSS",-M270,0)))</x:f>
      </x:c>
      <x:c r="P270" s="30"/>
      <x:c r="Q270" s="30" t="str">
        <x:f>IF(OR(J270="",P270=""),"",J270/P270-1)</x:f>
      </x:c>
      <x:c r="R270" s="30" t="str">
        <x:f>IF(O270="","",SUM($O$2:O270))</x:f>
      </x:c>
    </x:row>
    <x:row r="271">
      <x:c r="B271" s="28"/>
      <x:c r="I271" s="32"/>
      <x:c r="J271" s="30"/>
      <x:c r="K271" s="32" t="str">
        <x:f>IF(J271="","",1/J271)</x:f>
      </x:c>
      <x:c r="L271" s="32" t="str">
        <x:f>IF(OR(I271="",K271=""),"",I271-K271)</x:f>
      </x:c>
      <x:c r="M271" s="30"/>
      <x:c r="N271" s="30"/>
      <x:c r="O271" s="30" t="str">
        <x:f>IF(OR(M271="",N271=""),"",IF(N271="WIN",M271*(J271-1),IF(N271="LOSS",-M271,0)))</x:f>
      </x:c>
      <x:c r="P271" s="30"/>
      <x:c r="Q271" s="30" t="str">
        <x:f>IF(OR(J271="",P271=""),"",J271/P271-1)</x:f>
      </x:c>
      <x:c r="R271" s="30" t="str">
        <x:f>IF(O271="","",SUM($O$2:O271))</x:f>
      </x:c>
    </x:row>
    <x:row r="272">
      <x:c r="B272" s="28"/>
      <x:c r="I272" s="32"/>
      <x:c r="J272" s="30"/>
      <x:c r="K272" s="32" t="str">
        <x:f>IF(J272="","",1/J272)</x:f>
      </x:c>
      <x:c r="L272" s="32" t="str">
        <x:f>IF(OR(I272="",K272=""),"",I272-K272)</x:f>
      </x:c>
      <x:c r="M272" s="30"/>
      <x:c r="N272" s="30"/>
      <x:c r="O272" s="30" t="str">
        <x:f>IF(OR(M272="",N272=""),"",IF(N272="WIN",M272*(J272-1),IF(N272="LOSS",-M272,0)))</x:f>
      </x:c>
      <x:c r="P272" s="30"/>
      <x:c r="Q272" s="30" t="str">
        <x:f>IF(OR(J272="",P272=""),"",J272/P272-1)</x:f>
      </x:c>
      <x:c r="R272" s="30" t="str">
        <x:f>IF(O272="","",SUM($O$2:O272))</x:f>
      </x:c>
    </x:row>
    <x:row r="273">
      <x:c r="B273" s="28"/>
      <x:c r="I273" s="32"/>
      <x:c r="J273" s="30"/>
      <x:c r="K273" s="32" t="str">
        <x:f>IF(J273="","",1/J273)</x:f>
      </x:c>
      <x:c r="L273" s="32" t="str">
        <x:f>IF(OR(I273="",K273=""),"",I273-K273)</x:f>
      </x:c>
      <x:c r="M273" s="30"/>
      <x:c r="N273" s="30"/>
      <x:c r="O273" s="30" t="str">
        <x:f>IF(OR(M273="",N273=""),"",IF(N273="WIN",M273*(J273-1),IF(N273="LOSS",-M273,0)))</x:f>
      </x:c>
      <x:c r="P273" s="30"/>
      <x:c r="Q273" s="30" t="str">
        <x:f>IF(OR(J273="",P273=""),"",J273/P273-1)</x:f>
      </x:c>
      <x:c r="R273" s="30" t="str">
        <x:f>IF(O273="","",SUM($O$2:O273))</x:f>
      </x:c>
    </x:row>
    <x:row r="274">
      <x:c r="B274" s="28"/>
      <x:c r="I274" s="32"/>
      <x:c r="J274" s="30"/>
      <x:c r="K274" s="32" t="str">
        <x:f>IF(J274="","",1/J274)</x:f>
      </x:c>
      <x:c r="L274" s="32" t="str">
        <x:f>IF(OR(I274="",K274=""),"",I274-K274)</x:f>
      </x:c>
      <x:c r="M274" s="30"/>
      <x:c r="N274" s="30"/>
      <x:c r="O274" s="30" t="str">
        <x:f>IF(OR(M274="",N274=""),"",IF(N274="WIN",M274*(J274-1),IF(N274="LOSS",-M274,0)))</x:f>
      </x:c>
      <x:c r="P274" s="30"/>
      <x:c r="Q274" s="30" t="str">
        <x:f>IF(OR(J274="",P274=""),"",J274/P274-1)</x:f>
      </x:c>
      <x:c r="R274" s="30" t="str">
        <x:f>IF(O274="","",SUM($O$2:O274))</x:f>
      </x:c>
    </x:row>
    <x:row r="275">
      <x:c r="B275" s="28"/>
      <x:c r="I275" s="32"/>
      <x:c r="J275" s="30"/>
      <x:c r="K275" s="32" t="str">
        <x:f>IF(J275="","",1/J275)</x:f>
      </x:c>
      <x:c r="L275" s="32" t="str">
        <x:f>IF(OR(I275="",K275=""),"",I275-K275)</x:f>
      </x:c>
      <x:c r="M275" s="30"/>
      <x:c r="N275" s="30"/>
      <x:c r="O275" s="30" t="str">
        <x:f>IF(OR(M275="",N275=""),"",IF(N275="WIN",M275*(J275-1),IF(N275="LOSS",-M275,0)))</x:f>
      </x:c>
      <x:c r="P275" s="30"/>
      <x:c r="Q275" s="30" t="str">
        <x:f>IF(OR(J275="",P275=""),"",J275/P275-1)</x:f>
      </x:c>
      <x:c r="R275" s="30" t="str">
        <x:f>IF(O275="","",SUM($O$2:O275))</x:f>
      </x:c>
    </x:row>
    <x:row r="276">
      <x:c r="B276" s="28"/>
      <x:c r="I276" s="32"/>
      <x:c r="J276" s="30"/>
      <x:c r="K276" s="32" t="str">
        <x:f>IF(J276="","",1/J276)</x:f>
      </x:c>
      <x:c r="L276" s="32" t="str">
        <x:f>IF(OR(I276="",K276=""),"",I276-K276)</x:f>
      </x:c>
      <x:c r="M276" s="30"/>
      <x:c r="N276" s="30"/>
      <x:c r="O276" s="30" t="str">
        <x:f>IF(OR(M276="",N276=""),"",IF(N276="WIN",M276*(J276-1),IF(N276="LOSS",-M276,0)))</x:f>
      </x:c>
      <x:c r="P276" s="30"/>
      <x:c r="Q276" s="30" t="str">
        <x:f>IF(OR(J276="",P276=""),"",J276/P276-1)</x:f>
      </x:c>
      <x:c r="R276" s="30" t="str">
        <x:f>IF(O276="","",SUM($O$2:O276))</x:f>
      </x:c>
    </x:row>
    <x:row r="277">
      <x:c r="B277" s="28"/>
      <x:c r="I277" s="32"/>
      <x:c r="J277" s="30"/>
      <x:c r="K277" s="32" t="str">
        <x:f>IF(J277="","",1/J277)</x:f>
      </x:c>
      <x:c r="L277" s="32" t="str">
        <x:f>IF(OR(I277="",K277=""),"",I277-K277)</x:f>
      </x:c>
      <x:c r="M277" s="30"/>
      <x:c r="N277" s="30"/>
      <x:c r="O277" s="30" t="str">
        <x:f>IF(OR(M277="",N277=""),"",IF(N277="WIN",M277*(J277-1),IF(N277="LOSS",-M277,0)))</x:f>
      </x:c>
      <x:c r="P277" s="30"/>
      <x:c r="Q277" s="30" t="str">
        <x:f>IF(OR(J277="",P277=""),"",J277/P277-1)</x:f>
      </x:c>
      <x:c r="R277" s="30" t="str">
        <x:f>IF(O277="","",SUM($O$2:O277))</x:f>
      </x:c>
    </x:row>
    <x:row r="278">
      <x:c r="B278" s="28"/>
      <x:c r="I278" s="32"/>
      <x:c r="J278" s="30"/>
      <x:c r="K278" s="32" t="str">
        <x:f>IF(J278="","",1/J278)</x:f>
      </x:c>
      <x:c r="L278" s="32" t="str">
        <x:f>IF(OR(I278="",K278=""),"",I278-K278)</x:f>
      </x:c>
      <x:c r="M278" s="30"/>
      <x:c r="N278" s="30"/>
      <x:c r="O278" s="30" t="str">
        <x:f>IF(OR(M278="",N278=""),"",IF(N278="WIN",M278*(J278-1),IF(N278="LOSS",-M278,0)))</x:f>
      </x:c>
      <x:c r="P278" s="30"/>
      <x:c r="Q278" s="30" t="str">
        <x:f>IF(OR(J278="",P278=""),"",J278/P278-1)</x:f>
      </x:c>
      <x:c r="R278" s="30" t="str">
        <x:f>IF(O278="","",SUM($O$2:O278))</x:f>
      </x:c>
    </x:row>
    <x:row r="279">
      <x:c r="B279" s="28"/>
      <x:c r="I279" s="32"/>
      <x:c r="J279" s="30"/>
      <x:c r="K279" s="32" t="str">
        <x:f>IF(J279="","",1/J279)</x:f>
      </x:c>
      <x:c r="L279" s="32" t="str">
        <x:f>IF(OR(I279="",K279=""),"",I279-K279)</x:f>
      </x:c>
      <x:c r="M279" s="30"/>
      <x:c r="N279" s="30"/>
      <x:c r="O279" s="30" t="str">
        <x:f>IF(OR(M279="",N279=""),"",IF(N279="WIN",M279*(J279-1),IF(N279="LOSS",-M279,0)))</x:f>
      </x:c>
      <x:c r="P279" s="30"/>
      <x:c r="Q279" s="30" t="str">
        <x:f>IF(OR(J279="",P279=""),"",J279/P279-1)</x:f>
      </x:c>
      <x:c r="R279" s="30" t="str">
        <x:f>IF(O279="","",SUM($O$2:O279))</x:f>
      </x:c>
    </x:row>
    <x:row r="280">
      <x:c r="B280" s="28"/>
      <x:c r="I280" s="32"/>
      <x:c r="J280" s="30"/>
      <x:c r="K280" s="32" t="str">
        <x:f>IF(J280="","",1/J280)</x:f>
      </x:c>
      <x:c r="L280" s="32" t="str">
        <x:f>IF(OR(I280="",K280=""),"",I280-K280)</x:f>
      </x:c>
      <x:c r="M280" s="30"/>
      <x:c r="N280" s="30"/>
      <x:c r="O280" s="30" t="str">
        <x:f>IF(OR(M280="",N280=""),"",IF(N280="WIN",M280*(J280-1),IF(N280="LOSS",-M280,0)))</x:f>
      </x:c>
      <x:c r="P280" s="30"/>
      <x:c r="Q280" s="30" t="str">
        <x:f>IF(OR(J280="",P280=""),"",J280/P280-1)</x:f>
      </x:c>
      <x:c r="R280" s="30" t="str">
        <x:f>IF(O280="","",SUM($O$2:O280))</x:f>
      </x:c>
    </x:row>
    <x:row r="281">
      <x:c r="B281" s="28"/>
      <x:c r="I281" s="32"/>
      <x:c r="J281" s="30"/>
      <x:c r="K281" s="32" t="str">
        <x:f>IF(J281="","",1/J281)</x:f>
      </x:c>
      <x:c r="L281" s="32" t="str">
        <x:f>IF(OR(I281="",K281=""),"",I281-K281)</x:f>
      </x:c>
      <x:c r="M281" s="30"/>
      <x:c r="N281" s="30"/>
      <x:c r="O281" s="30" t="str">
        <x:f>IF(OR(M281="",N281=""),"",IF(N281="WIN",M281*(J281-1),IF(N281="LOSS",-M281,0)))</x:f>
      </x:c>
      <x:c r="P281" s="30"/>
      <x:c r="Q281" s="30" t="str">
        <x:f>IF(OR(J281="",P281=""),"",J281/P281-1)</x:f>
      </x:c>
      <x:c r="R281" s="30" t="str">
        <x:f>IF(O281="","",SUM($O$2:O281))</x:f>
      </x:c>
    </x:row>
    <x:row r="282">
      <x:c r="B282" s="28"/>
      <x:c r="I282" s="32"/>
      <x:c r="J282" s="30"/>
      <x:c r="K282" s="32" t="str">
        <x:f>IF(J282="","",1/J282)</x:f>
      </x:c>
      <x:c r="L282" s="32" t="str">
        <x:f>IF(OR(I282="",K282=""),"",I282-K282)</x:f>
      </x:c>
      <x:c r="M282" s="30"/>
      <x:c r="N282" s="30"/>
      <x:c r="O282" s="30" t="str">
        <x:f>IF(OR(M282="",N282=""),"",IF(N282="WIN",M282*(J282-1),IF(N282="LOSS",-M282,0)))</x:f>
      </x:c>
      <x:c r="P282" s="30"/>
      <x:c r="Q282" s="30" t="str">
        <x:f>IF(OR(J282="",P282=""),"",J282/P282-1)</x:f>
      </x:c>
      <x:c r="R282" s="30" t="str">
        <x:f>IF(O282="","",SUM($O$2:O282))</x:f>
      </x:c>
    </x:row>
    <x:row r="283">
      <x:c r="B283" s="28"/>
      <x:c r="I283" s="32"/>
      <x:c r="J283" s="30"/>
      <x:c r="K283" s="32" t="str">
        <x:f>IF(J283="","",1/J283)</x:f>
      </x:c>
      <x:c r="L283" s="32" t="str">
        <x:f>IF(OR(I283="",K283=""),"",I283-K283)</x:f>
      </x:c>
      <x:c r="M283" s="30"/>
      <x:c r="N283" s="30"/>
      <x:c r="O283" s="30" t="str">
        <x:f>IF(OR(M283="",N283=""),"",IF(N283="WIN",M283*(J283-1),IF(N283="LOSS",-M283,0)))</x:f>
      </x:c>
      <x:c r="P283" s="30"/>
      <x:c r="Q283" s="30" t="str">
        <x:f>IF(OR(J283="",P283=""),"",J283/P283-1)</x:f>
      </x:c>
      <x:c r="R283" s="30" t="str">
        <x:f>IF(O283="","",SUM($O$2:O283))</x:f>
      </x:c>
    </x:row>
    <x:row r="284">
      <x:c r="B284" s="28"/>
      <x:c r="I284" s="32"/>
      <x:c r="J284" s="30"/>
      <x:c r="K284" s="32" t="str">
        <x:f>IF(J284="","",1/J284)</x:f>
      </x:c>
      <x:c r="L284" s="32" t="str">
        <x:f>IF(OR(I284="",K284=""),"",I284-K284)</x:f>
      </x:c>
      <x:c r="M284" s="30"/>
      <x:c r="N284" s="30"/>
      <x:c r="O284" s="30" t="str">
        <x:f>IF(OR(M284="",N284=""),"",IF(N284="WIN",M284*(J284-1),IF(N284="LOSS",-M284,0)))</x:f>
      </x:c>
      <x:c r="P284" s="30"/>
      <x:c r="Q284" s="30" t="str">
        <x:f>IF(OR(J284="",P284=""),"",J284/P284-1)</x:f>
      </x:c>
      <x:c r="R284" s="30" t="str">
        <x:f>IF(O284="","",SUM($O$2:O284))</x:f>
      </x:c>
    </x:row>
    <x:row r="285">
      <x:c r="B285" s="28"/>
      <x:c r="I285" s="32"/>
      <x:c r="J285" s="30"/>
      <x:c r="K285" s="32" t="str">
        <x:f>IF(J285="","",1/J285)</x:f>
      </x:c>
      <x:c r="L285" s="32" t="str">
        <x:f>IF(OR(I285="",K285=""),"",I285-K285)</x:f>
      </x:c>
      <x:c r="M285" s="30"/>
      <x:c r="N285" s="30"/>
      <x:c r="O285" s="30" t="str">
        <x:f>IF(OR(M285="",N285=""),"",IF(N285="WIN",M285*(J285-1),IF(N285="LOSS",-M285,0)))</x:f>
      </x:c>
      <x:c r="P285" s="30"/>
      <x:c r="Q285" s="30" t="str">
        <x:f>IF(OR(J285="",P285=""),"",J285/P285-1)</x:f>
      </x:c>
      <x:c r="R285" s="30" t="str">
        <x:f>IF(O285="","",SUM($O$2:O285))</x:f>
      </x:c>
    </x:row>
    <x:row r="286">
      <x:c r="B286" s="28"/>
      <x:c r="I286" s="32"/>
      <x:c r="J286" s="30"/>
      <x:c r="K286" s="32" t="str">
        <x:f>IF(J286="","",1/J286)</x:f>
      </x:c>
      <x:c r="L286" s="32" t="str">
        <x:f>IF(OR(I286="",K286=""),"",I286-K286)</x:f>
      </x:c>
      <x:c r="M286" s="30"/>
      <x:c r="N286" s="30"/>
      <x:c r="O286" s="30" t="str">
        <x:f>IF(OR(M286="",N286=""),"",IF(N286="WIN",M286*(J286-1),IF(N286="LOSS",-M286,0)))</x:f>
      </x:c>
      <x:c r="P286" s="30"/>
      <x:c r="Q286" s="30" t="str">
        <x:f>IF(OR(J286="",P286=""),"",J286/P286-1)</x:f>
      </x:c>
      <x:c r="R286" s="30" t="str">
        <x:f>IF(O286="","",SUM($O$2:O286))</x:f>
      </x:c>
    </x:row>
    <x:row r="287">
      <x:c r="B287" s="28"/>
      <x:c r="I287" s="32"/>
      <x:c r="J287" s="30"/>
      <x:c r="K287" s="32" t="str">
        <x:f>IF(J287="","",1/J287)</x:f>
      </x:c>
      <x:c r="L287" s="32" t="str">
        <x:f>IF(OR(I287="",K287=""),"",I287-K287)</x:f>
      </x:c>
      <x:c r="M287" s="30"/>
      <x:c r="N287" s="30"/>
      <x:c r="O287" s="30" t="str">
        <x:f>IF(OR(M287="",N287=""),"",IF(N287="WIN",M287*(J287-1),IF(N287="LOSS",-M287,0)))</x:f>
      </x:c>
      <x:c r="P287" s="30"/>
      <x:c r="Q287" s="30" t="str">
        <x:f>IF(OR(J287="",P287=""),"",J287/P287-1)</x:f>
      </x:c>
      <x:c r="R287" s="30" t="str">
        <x:f>IF(O287="","",SUM($O$2:O287))</x:f>
      </x:c>
    </x:row>
    <x:row r="288">
      <x:c r="B288" s="28"/>
      <x:c r="I288" s="32"/>
      <x:c r="J288" s="30"/>
      <x:c r="K288" s="32" t="str">
        <x:f>IF(J288="","",1/J288)</x:f>
      </x:c>
      <x:c r="L288" s="32" t="str">
        <x:f>IF(OR(I288="",K288=""),"",I288-K288)</x:f>
      </x:c>
      <x:c r="M288" s="30"/>
      <x:c r="N288" s="30"/>
      <x:c r="O288" s="30" t="str">
        <x:f>IF(OR(M288="",N288=""),"",IF(N288="WIN",M288*(J288-1),IF(N288="LOSS",-M288,0)))</x:f>
      </x:c>
      <x:c r="P288" s="30"/>
      <x:c r="Q288" s="30" t="str">
        <x:f>IF(OR(J288="",P288=""),"",J288/P288-1)</x:f>
      </x:c>
      <x:c r="R288" s="30" t="str">
        <x:f>IF(O288="","",SUM($O$2:O288))</x:f>
      </x:c>
    </x:row>
    <x:row r="289">
      <x:c r="B289" s="28"/>
      <x:c r="I289" s="32"/>
      <x:c r="J289" s="30"/>
      <x:c r="K289" s="32" t="str">
        <x:f>IF(J289="","",1/J289)</x:f>
      </x:c>
      <x:c r="L289" s="32" t="str">
        <x:f>IF(OR(I289="",K289=""),"",I289-K289)</x:f>
      </x:c>
      <x:c r="M289" s="30"/>
      <x:c r="N289" s="30"/>
      <x:c r="O289" s="30" t="str">
        <x:f>IF(OR(M289="",N289=""),"",IF(N289="WIN",M289*(J289-1),IF(N289="LOSS",-M289,0)))</x:f>
      </x:c>
      <x:c r="P289" s="30"/>
      <x:c r="Q289" s="30" t="str">
        <x:f>IF(OR(J289="",P289=""),"",J289/P289-1)</x:f>
      </x:c>
      <x:c r="R289" s="30" t="str">
        <x:f>IF(O289="","",SUM($O$2:O289))</x:f>
      </x:c>
    </x:row>
    <x:row r="290">
      <x:c r="B290" s="28"/>
      <x:c r="I290" s="32"/>
      <x:c r="J290" s="30"/>
      <x:c r="K290" s="32" t="str">
        <x:f>IF(J290="","",1/J290)</x:f>
      </x:c>
      <x:c r="L290" s="32" t="str">
        <x:f>IF(OR(I290="",K290=""),"",I290-K290)</x:f>
      </x:c>
      <x:c r="M290" s="30"/>
      <x:c r="N290" s="30"/>
      <x:c r="O290" s="30" t="str">
        <x:f>IF(OR(M290="",N290=""),"",IF(N290="WIN",M290*(J290-1),IF(N290="LOSS",-M290,0)))</x:f>
      </x:c>
      <x:c r="P290" s="30"/>
      <x:c r="Q290" s="30" t="str">
        <x:f>IF(OR(J290="",P290=""),"",J290/P290-1)</x:f>
      </x:c>
      <x:c r="R290" s="30" t="str">
        <x:f>IF(O290="","",SUM($O$2:O290))</x:f>
      </x:c>
    </x:row>
    <x:row r="291">
      <x:c r="B291" s="28"/>
      <x:c r="I291" s="32"/>
      <x:c r="J291" s="30"/>
      <x:c r="K291" s="32" t="str">
        <x:f>IF(J291="","",1/J291)</x:f>
      </x:c>
      <x:c r="L291" s="32" t="str">
        <x:f>IF(OR(I291="",K291=""),"",I291-K291)</x:f>
      </x:c>
      <x:c r="M291" s="30"/>
      <x:c r="N291" s="30"/>
      <x:c r="O291" s="30" t="str">
        <x:f>IF(OR(M291="",N291=""),"",IF(N291="WIN",M291*(J291-1),IF(N291="LOSS",-M291,0)))</x:f>
      </x:c>
      <x:c r="P291" s="30"/>
      <x:c r="Q291" s="30" t="str">
        <x:f>IF(OR(J291="",P291=""),"",J291/P291-1)</x:f>
      </x:c>
      <x:c r="R291" s="30" t="str">
        <x:f>IF(O291="","",SUM($O$2:O291))</x:f>
      </x:c>
    </x:row>
    <x:row r="292">
      <x:c r="B292" s="28"/>
      <x:c r="I292" s="32"/>
      <x:c r="J292" s="30"/>
      <x:c r="K292" s="32" t="str">
        <x:f>IF(J292="","",1/J292)</x:f>
      </x:c>
      <x:c r="L292" s="32" t="str">
        <x:f>IF(OR(I292="",K292=""),"",I292-K292)</x:f>
      </x:c>
      <x:c r="M292" s="30"/>
      <x:c r="N292" s="30"/>
      <x:c r="O292" s="30" t="str">
        <x:f>IF(OR(M292="",N292=""),"",IF(N292="WIN",M292*(J292-1),IF(N292="LOSS",-M292,0)))</x:f>
      </x:c>
      <x:c r="P292" s="30"/>
      <x:c r="Q292" s="30" t="str">
        <x:f>IF(OR(J292="",P292=""),"",J292/P292-1)</x:f>
      </x:c>
      <x:c r="R292" s="30" t="str">
        <x:f>IF(O292="","",SUM($O$2:O292))</x:f>
      </x:c>
    </x:row>
    <x:row r="293">
      <x:c r="B293" s="28"/>
      <x:c r="I293" s="32"/>
      <x:c r="J293" s="30"/>
      <x:c r="K293" s="32" t="str">
        <x:f>IF(J293="","",1/J293)</x:f>
      </x:c>
      <x:c r="L293" s="32" t="str">
        <x:f>IF(OR(I293="",K293=""),"",I293-K293)</x:f>
      </x:c>
      <x:c r="M293" s="30"/>
      <x:c r="N293" s="30"/>
      <x:c r="O293" s="30" t="str">
        <x:f>IF(OR(M293="",N293=""),"",IF(N293="WIN",M293*(J293-1),IF(N293="LOSS",-M293,0)))</x:f>
      </x:c>
      <x:c r="P293" s="30"/>
      <x:c r="Q293" s="30" t="str">
        <x:f>IF(OR(J293="",P293=""),"",J293/P293-1)</x:f>
      </x:c>
      <x:c r="R293" s="30" t="str">
        <x:f>IF(O293="","",SUM($O$2:O293))</x:f>
      </x:c>
    </x:row>
    <x:row r="294">
      <x:c r="B294" s="28"/>
      <x:c r="I294" s="32"/>
      <x:c r="J294" s="30"/>
      <x:c r="K294" s="32" t="str">
        <x:f>IF(J294="","",1/J294)</x:f>
      </x:c>
      <x:c r="L294" s="32" t="str">
        <x:f>IF(OR(I294="",K294=""),"",I294-K294)</x:f>
      </x:c>
      <x:c r="M294" s="30"/>
      <x:c r="N294" s="30"/>
      <x:c r="O294" s="30" t="str">
        <x:f>IF(OR(M294="",N294=""),"",IF(N294="WIN",M294*(J294-1),IF(N294="LOSS",-M294,0)))</x:f>
      </x:c>
      <x:c r="P294" s="30"/>
      <x:c r="Q294" s="30" t="str">
        <x:f>IF(OR(J294="",P294=""),"",J294/P294-1)</x:f>
      </x:c>
      <x:c r="R294" s="30" t="str">
        <x:f>IF(O294="","",SUM($O$2:O294))</x:f>
      </x:c>
    </x:row>
    <x:row r="295">
      <x:c r="B295" s="28"/>
      <x:c r="I295" s="32"/>
      <x:c r="J295" s="30"/>
      <x:c r="K295" s="32" t="str">
        <x:f>IF(J295="","",1/J295)</x:f>
      </x:c>
      <x:c r="L295" s="32" t="str">
        <x:f>IF(OR(I295="",K295=""),"",I295-K295)</x:f>
      </x:c>
      <x:c r="M295" s="30"/>
      <x:c r="N295" s="30"/>
      <x:c r="O295" s="30" t="str">
        <x:f>IF(OR(M295="",N295=""),"",IF(N295="WIN",M295*(J295-1),IF(N295="LOSS",-M295,0)))</x:f>
      </x:c>
      <x:c r="P295" s="30"/>
      <x:c r="Q295" s="30" t="str">
        <x:f>IF(OR(J295="",P295=""),"",J295/P295-1)</x:f>
      </x:c>
      <x:c r="R295" s="30" t="str">
        <x:f>IF(O295="","",SUM($O$2:O295))</x:f>
      </x:c>
    </x:row>
    <x:row r="296">
      <x:c r="B296" s="28"/>
      <x:c r="I296" s="32"/>
      <x:c r="J296" s="30"/>
      <x:c r="K296" s="32" t="str">
        <x:f>IF(J296="","",1/J296)</x:f>
      </x:c>
      <x:c r="L296" s="32" t="str">
        <x:f>IF(OR(I296="",K296=""),"",I296-K296)</x:f>
      </x:c>
      <x:c r="M296" s="30"/>
      <x:c r="N296" s="30"/>
      <x:c r="O296" s="30" t="str">
        <x:f>IF(OR(M296="",N296=""),"",IF(N296="WIN",M296*(J296-1),IF(N296="LOSS",-M296,0)))</x:f>
      </x:c>
      <x:c r="P296" s="30"/>
      <x:c r="Q296" s="30" t="str">
        <x:f>IF(OR(J296="",P296=""),"",J296/P296-1)</x:f>
      </x:c>
      <x:c r="R296" s="30" t="str">
        <x:f>IF(O296="","",SUM($O$2:O296))</x:f>
      </x:c>
    </x:row>
    <x:row r="297">
      <x:c r="B297" s="28"/>
      <x:c r="I297" s="32"/>
      <x:c r="J297" s="30"/>
      <x:c r="K297" s="32" t="str">
        <x:f>IF(J297="","",1/J297)</x:f>
      </x:c>
      <x:c r="L297" s="32" t="str">
        <x:f>IF(OR(I297="",K297=""),"",I297-K297)</x:f>
      </x:c>
      <x:c r="M297" s="30"/>
      <x:c r="N297" s="30"/>
      <x:c r="O297" s="30" t="str">
        <x:f>IF(OR(M297="",N297=""),"",IF(N297="WIN",M297*(J297-1),IF(N297="LOSS",-M297,0)))</x:f>
      </x:c>
      <x:c r="P297" s="30"/>
      <x:c r="Q297" s="30" t="str">
        <x:f>IF(OR(J297="",P297=""),"",J297/P297-1)</x:f>
      </x:c>
      <x:c r="R297" s="30" t="str">
        <x:f>IF(O297="","",SUM($O$2:O297))</x:f>
      </x:c>
    </x:row>
    <x:row r="298">
      <x:c r="B298" s="28"/>
      <x:c r="I298" s="32"/>
      <x:c r="J298" s="30"/>
      <x:c r="K298" s="32" t="str">
        <x:f>IF(J298="","",1/J298)</x:f>
      </x:c>
      <x:c r="L298" s="32" t="str">
        <x:f>IF(OR(I298="",K298=""),"",I298-K298)</x:f>
      </x:c>
      <x:c r="M298" s="30"/>
      <x:c r="N298" s="30"/>
      <x:c r="O298" s="30" t="str">
        <x:f>IF(OR(M298="",N298=""),"",IF(N298="WIN",M298*(J298-1),IF(N298="LOSS",-M298,0)))</x:f>
      </x:c>
      <x:c r="P298" s="30"/>
      <x:c r="Q298" s="30" t="str">
        <x:f>IF(OR(J298="",P298=""),"",J298/P298-1)</x:f>
      </x:c>
      <x:c r="R298" s="30" t="str">
        <x:f>IF(O298="","",SUM($O$2:O298))</x:f>
      </x:c>
    </x:row>
    <x:row r="299">
      <x:c r="B299" s="28"/>
      <x:c r="I299" s="32"/>
      <x:c r="J299" s="30"/>
      <x:c r="K299" s="32" t="str">
        <x:f>IF(J299="","",1/J299)</x:f>
      </x:c>
      <x:c r="L299" s="32" t="str">
        <x:f>IF(OR(I299="",K299=""),"",I299-K299)</x:f>
      </x:c>
      <x:c r="M299" s="30"/>
      <x:c r="N299" s="30"/>
      <x:c r="O299" s="30" t="str">
        <x:f>IF(OR(M299="",N299=""),"",IF(N299="WIN",M299*(J299-1),IF(N299="LOSS",-M299,0)))</x:f>
      </x:c>
      <x:c r="P299" s="30"/>
      <x:c r="Q299" s="30" t="str">
        <x:f>IF(OR(J299="",P299=""),"",J299/P299-1)</x:f>
      </x:c>
      <x:c r="R299" s="30" t="str">
        <x:f>IF(O299="","",SUM($O$2:O299))</x:f>
      </x:c>
    </x:row>
    <x:row r="300">
      <x:c r="B300" s="28"/>
      <x:c r="I300" s="32"/>
      <x:c r="J300" s="30"/>
      <x:c r="K300" s="32" t="str">
        <x:f>IF(J300="","",1/J300)</x:f>
      </x:c>
      <x:c r="L300" s="32" t="str">
        <x:f>IF(OR(I300="",K300=""),"",I300-K300)</x:f>
      </x:c>
      <x:c r="M300" s="30"/>
      <x:c r="N300" s="30"/>
      <x:c r="O300" s="30" t="str">
        <x:f>IF(OR(M300="",N300=""),"",IF(N300="WIN",M300*(J300-1),IF(N300="LOSS",-M300,0)))</x:f>
      </x:c>
      <x:c r="P300" s="30"/>
      <x:c r="Q300" s="30" t="str">
        <x:f>IF(OR(J300="",P300=""),"",J300/P300-1)</x:f>
      </x:c>
      <x:c r="R300" s="30" t="str">
        <x:f>IF(O300="","",SUM($O$2:O300))</x:f>
      </x:c>
    </x:row>
    <x:row r="301">
      <x:c r="B301" s="28"/>
      <x:c r="I301" s="32"/>
      <x:c r="J301" s="30"/>
      <x:c r="K301" s="32" t="str">
        <x:f>IF(J301="","",1/J301)</x:f>
      </x:c>
      <x:c r="L301" s="32" t="str">
        <x:f>IF(OR(I301="",K301=""),"",I301-K301)</x:f>
      </x:c>
      <x:c r="M301" s="30"/>
      <x:c r="N301" s="30"/>
      <x:c r="O301" s="30" t="str">
        <x:f>IF(OR(M301="",N301=""),"",IF(N301="WIN",M301*(J301-1),IF(N301="LOSS",-M301,0)))</x:f>
      </x:c>
      <x:c r="P301" s="30"/>
      <x:c r="Q301" s="30" t="str">
        <x:f>IF(OR(J301="",P301=""),"",J301/P301-1)</x:f>
      </x:c>
      <x:c r="R301" s="30" t="str">
        <x:f>IF(O301="","",SUM($O$2:O301))</x:f>
      </x:c>
    </x:row>
    <x:row r="302">
      <x:c r="B302" s="28"/>
      <x:c r="I302" s="32"/>
      <x:c r="J302" s="30"/>
      <x:c r="K302" s="32" t="str">
        <x:f>IF(J302="","",1/J302)</x:f>
      </x:c>
      <x:c r="L302" s="32" t="str">
        <x:f>IF(OR(I302="",K302=""),"",I302-K302)</x:f>
      </x:c>
      <x:c r="M302" s="30"/>
      <x:c r="N302" s="30"/>
      <x:c r="O302" s="30" t="str">
        <x:f>IF(OR(M302="",N302=""),"",IF(N302="WIN",M302*(J302-1),IF(N302="LOSS",-M302,0)))</x:f>
      </x:c>
      <x:c r="P302" s="30"/>
      <x:c r="Q302" s="30" t="str">
        <x:f>IF(OR(J302="",P302=""),"",J302/P302-1)</x:f>
      </x:c>
      <x:c r="R302" s="30" t="str">
        <x:f>IF(O302="","",SUM($O$2:O302))</x:f>
      </x:c>
    </x:row>
    <x:row r="303">
      <x:c r="B303" s="28"/>
      <x:c r="I303" s="32"/>
      <x:c r="J303" s="30"/>
      <x:c r="K303" s="32" t="str">
        <x:f>IF(J303="","",1/J303)</x:f>
      </x:c>
      <x:c r="L303" s="32" t="str">
        <x:f>IF(OR(I303="",K303=""),"",I303-K303)</x:f>
      </x:c>
      <x:c r="M303" s="30"/>
      <x:c r="N303" s="30"/>
      <x:c r="O303" s="30" t="str">
        <x:f>IF(OR(M303="",N303=""),"",IF(N303="WIN",M303*(J303-1),IF(N303="LOSS",-M303,0)))</x:f>
      </x:c>
      <x:c r="P303" s="30"/>
      <x:c r="Q303" s="30" t="str">
        <x:f>IF(OR(J303="",P303=""),"",J303/P303-1)</x:f>
      </x:c>
      <x:c r="R303" s="30" t="str">
        <x:f>IF(O303="","",SUM($O$2:O303))</x:f>
      </x:c>
    </x:row>
    <x:row r="304">
      <x:c r="B304" s="28"/>
      <x:c r="I304" s="32"/>
      <x:c r="J304" s="30"/>
      <x:c r="K304" s="32" t="str">
        <x:f>IF(J304="","",1/J304)</x:f>
      </x:c>
      <x:c r="L304" s="32" t="str">
        <x:f>IF(OR(I304="",K304=""),"",I304-K304)</x:f>
      </x:c>
      <x:c r="M304" s="30"/>
      <x:c r="N304" s="30"/>
      <x:c r="O304" s="30" t="str">
        <x:f>IF(OR(M304="",N304=""),"",IF(N304="WIN",M304*(J304-1),IF(N304="LOSS",-M304,0)))</x:f>
      </x:c>
      <x:c r="P304" s="30"/>
      <x:c r="Q304" s="30" t="str">
        <x:f>IF(OR(J304="",P304=""),"",J304/P304-1)</x:f>
      </x:c>
      <x:c r="R304" s="30" t="str">
        <x:f>IF(O304="","",SUM($O$2:O304))</x:f>
      </x:c>
    </x:row>
    <x:row r="305">
      <x:c r="B305" s="28"/>
      <x:c r="I305" s="32"/>
      <x:c r="J305" s="30"/>
      <x:c r="K305" s="32" t="str">
        <x:f>IF(J305="","",1/J305)</x:f>
      </x:c>
      <x:c r="L305" s="32" t="str">
        <x:f>IF(OR(I305="",K305=""),"",I305-K305)</x:f>
      </x:c>
      <x:c r="M305" s="30"/>
      <x:c r="N305" s="30"/>
      <x:c r="O305" s="30" t="str">
        <x:f>IF(OR(M305="",N305=""),"",IF(N305="WIN",M305*(J305-1),IF(N305="LOSS",-M305,0)))</x:f>
      </x:c>
      <x:c r="P305" s="30"/>
      <x:c r="Q305" s="30" t="str">
        <x:f>IF(OR(J305="",P305=""),"",J305/P305-1)</x:f>
      </x:c>
      <x:c r="R305" s="30" t="str">
        <x:f>IF(O305="","",SUM($O$2:O305))</x:f>
      </x:c>
    </x:row>
    <x:row r="306">
      <x:c r="B306" s="28"/>
      <x:c r="I306" s="32"/>
      <x:c r="J306" s="30"/>
      <x:c r="K306" s="32" t="str">
        <x:f>IF(J306="","",1/J306)</x:f>
      </x:c>
      <x:c r="L306" s="32" t="str">
        <x:f>IF(OR(I306="",K306=""),"",I306-K306)</x:f>
      </x:c>
      <x:c r="M306" s="30"/>
      <x:c r="N306" s="30"/>
      <x:c r="O306" s="30" t="str">
        <x:f>IF(OR(M306="",N306=""),"",IF(N306="WIN",M306*(J306-1),IF(N306="LOSS",-M306,0)))</x:f>
      </x:c>
      <x:c r="P306" s="30"/>
      <x:c r="Q306" s="30" t="str">
        <x:f>IF(OR(J306="",P306=""),"",J306/P306-1)</x:f>
      </x:c>
      <x:c r="R306" s="30" t="str">
        <x:f>IF(O306="","",SUM($O$2:O306))</x:f>
      </x:c>
    </x:row>
    <x:row r="307">
      <x:c r="B307" s="28"/>
      <x:c r="I307" s="32"/>
      <x:c r="J307" s="30"/>
      <x:c r="K307" s="32" t="str">
        <x:f>IF(J307="","",1/J307)</x:f>
      </x:c>
      <x:c r="L307" s="32" t="str">
        <x:f>IF(OR(I307="",K307=""),"",I307-K307)</x:f>
      </x:c>
      <x:c r="M307" s="30"/>
      <x:c r="N307" s="30"/>
      <x:c r="O307" s="30" t="str">
        <x:f>IF(OR(M307="",N307=""),"",IF(N307="WIN",M307*(J307-1),IF(N307="LOSS",-M307,0)))</x:f>
      </x:c>
      <x:c r="P307" s="30"/>
      <x:c r="Q307" s="30" t="str">
        <x:f>IF(OR(J307="",P307=""),"",J307/P307-1)</x:f>
      </x:c>
      <x:c r="R307" s="30" t="str">
        <x:f>IF(O307="","",SUM($O$2:O307))</x:f>
      </x:c>
    </x:row>
    <x:row r="308">
      <x:c r="B308" s="28"/>
      <x:c r="I308" s="32"/>
      <x:c r="J308" s="30"/>
      <x:c r="K308" s="32" t="str">
        <x:f>IF(J308="","",1/J308)</x:f>
      </x:c>
      <x:c r="L308" s="32" t="str">
        <x:f>IF(OR(I308="",K308=""),"",I308-K308)</x:f>
      </x:c>
      <x:c r="M308" s="30"/>
      <x:c r="N308" s="30"/>
      <x:c r="O308" s="30" t="str">
        <x:f>IF(OR(M308="",N308=""),"",IF(N308="WIN",M308*(J308-1),IF(N308="LOSS",-M308,0)))</x:f>
      </x:c>
      <x:c r="P308" s="30"/>
      <x:c r="Q308" s="30" t="str">
        <x:f>IF(OR(J308="",P308=""),"",J308/P308-1)</x:f>
      </x:c>
      <x:c r="R308" s="30" t="str">
        <x:f>IF(O308="","",SUM($O$2:O308))</x:f>
      </x:c>
    </x:row>
    <x:row r="309">
      <x:c r="B309" s="28"/>
      <x:c r="I309" s="32"/>
      <x:c r="J309" s="30"/>
      <x:c r="K309" s="32" t="str">
        <x:f>IF(J309="","",1/J309)</x:f>
      </x:c>
      <x:c r="L309" s="32" t="str">
        <x:f>IF(OR(I309="",K309=""),"",I309-K309)</x:f>
      </x:c>
      <x:c r="M309" s="30"/>
      <x:c r="N309" s="30"/>
      <x:c r="O309" s="30" t="str">
        <x:f>IF(OR(M309="",N309=""),"",IF(N309="WIN",M309*(J309-1),IF(N309="LOSS",-M309,0)))</x:f>
      </x:c>
      <x:c r="P309" s="30"/>
      <x:c r="Q309" s="30" t="str">
        <x:f>IF(OR(J309="",P309=""),"",J309/P309-1)</x:f>
      </x:c>
      <x:c r="R309" s="30" t="str">
        <x:f>IF(O309="","",SUM($O$2:O309))</x:f>
      </x:c>
    </x:row>
    <x:row r="310">
      <x:c r="B310" s="28"/>
      <x:c r="I310" s="32"/>
      <x:c r="J310" s="30"/>
      <x:c r="K310" s="32" t="str">
        <x:f>IF(J310="","",1/J310)</x:f>
      </x:c>
      <x:c r="L310" s="32" t="str">
        <x:f>IF(OR(I310="",K310=""),"",I310-K310)</x:f>
      </x:c>
      <x:c r="M310" s="30"/>
      <x:c r="N310" s="30"/>
      <x:c r="O310" s="30" t="str">
        <x:f>IF(OR(M310="",N310=""),"",IF(N310="WIN",M310*(J310-1),IF(N310="LOSS",-M310,0)))</x:f>
      </x:c>
      <x:c r="P310" s="30"/>
      <x:c r="Q310" s="30" t="str">
        <x:f>IF(OR(J310="",P310=""),"",J310/P310-1)</x:f>
      </x:c>
      <x:c r="R310" s="30" t="str">
        <x:f>IF(O310="","",SUM($O$2:O310))</x:f>
      </x:c>
    </x:row>
    <x:row r="311">
      <x:c r="B311" s="28"/>
      <x:c r="I311" s="32"/>
      <x:c r="J311" s="30"/>
      <x:c r="K311" s="32" t="str">
        <x:f>IF(J311="","",1/J311)</x:f>
      </x:c>
      <x:c r="L311" s="32" t="str">
        <x:f>IF(OR(I311="",K311=""),"",I311-K311)</x:f>
      </x:c>
      <x:c r="M311" s="30"/>
      <x:c r="N311" s="30"/>
      <x:c r="O311" s="30" t="str">
        <x:f>IF(OR(M311="",N311=""),"",IF(N311="WIN",M311*(J311-1),IF(N311="LOSS",-M311,0)))</x:f>
      </x:c>
      <x:c r="P311" s="30"/>
      <x:c r="Q311" s="30" t="str">
        <x:f>IF(OR(J311="",P311=""),"",J311/P311-1)</x:f>
      </x:c>
      <x:c r="R311" s="30" t="str">
        <x:f>IF(O311="","",SUM($O$2:O311))</x:f>
      </x:c>
    </x:row>
    <x:row r="312">
      <x:c r="B312" s="28"/>
      <x:c r="I312" s="32"/>
      <x:c r="J312" s="30"/>
      <x:c r="K312" s="32" t="str">
        <x:f>IF(J312="","",1/J312)</x:f>
      </x:c>
      <x:c r="L312" s="32" t="str">
        <x:f>IF(OR(I312="",K312=""),"",I312-K312)</x:f>
      </x:c>
      <x:c r="M312" s="30"/>
      <x:c r="N312" s="30"/>
      <x:c r="O312" s="30" t="str">
        <x:f>IF(OR(M312="",N312=""),"",IF(N312="WIN",M312*(J312-1),IF(N312="LOSS",-M312,0)))</x:f>
      </x:c>
      <x:c r="P312" s="30"/>
      <x:c r="Q312" s="30" t="str">
        <x:f>IF(OR(J312="",P312=""),"",J312/P312-1)</x:f>
      </x:c>
      <x:c r="R312" s="30" t="str">
        <x:f>IF(O312="","",SUM($O$2:O312))</x:f>
      </x:c>
    </x:row>
    <x:row r="313">
      <x:c r="B313" s="28"/>
      <x:c r="I313" s="32"/>
      <x:c r="J313" s="30"/>
      <x:c r="K313" s="32" t="str">
        <x:f>IF(J313="","",1/J313)</x:f>
      </x:c>
      <x:c r="L313" s="32" t="str">
        <x:f>IF(OR(I313="",K313=""),"",I313-K313)</x:f>
      </x:c>
      <x:c r="M313" s="30"/>
      <x:c r="N313" s="30"/>
      <x:c r="O313" s="30" t="str">
        <x:f>IF(OR(M313="",N313=""),"",IF(N313="WIN",M313*(J313-1),IF(N313="LOSS",-M313,0)))</x:f>
      </x:c>
      <x:c r="P313" s="30"/>
      <x:c r="Q313" s="30" t="str">
        <x:f>IF(OR(J313="",P313=""),"",J313/P313-1)</x:f>
      </x:c>
      <x:c r="R313" s="30" t="str">
        <x:f>IF(O313="","",SUM($O$2:O313))</x:f>
      </x:c>
    </x:row>
    <x:row r="314">
      <x:c r="B314" s="28"/>
      <x:c r="I314" s="32"/>
      <x:c r="J314" s="30"/>
      <x:c r="K314" s="32" t="str">
        <x:f>IF(J314="","",1/J314)</x:f>
      </x:c>
      <x:c r="L314" s="32" t="str">
        <x:f>IF(OR(I314="",K314=""),"",I314-K314)</x:f>
      </x:c>
      <x:c r="M314" s="30"/>
      <x:c r="N314" s="30"/>
      <x:c r="O314" s="30" t="str">
        <x:f>IF(OR(M314="",N314=""),"",IF(N314="WIN",M314*(J314-1),IF(N314="LOSS",-M314,0)))</x:f>
      </x:c>
      <x:c r="P314" s="30"/>
      <x:c r="Q314" s="30" t="str">
        <x:f>IF(OR(J314="",P314=""),"",J314/P314-1)</x:f>
      </x:c>
      <x:c r="R314" s="30" t="str">
        <x:f>IF(O314="","",SUM($O$2:O314))</x:f>
      </x:c>
    </x:row>
    <x:row r="315">
      <x:c r="B315" s="28"/>
      <x:c r="I315" s="32"/>
      <x:c r="J315" s="30"/>
      <x:c r="K315" s="32" t="str">
        <x:f>IF(J315="","",1/J315)</x:f>
      </x:c>
      <x:c r="L315" s="32" t="str">
        <x:f>IF(OR(I315="",K315=""),"",I315-K315)</x:f>
      </x:c>
      <x:c r="M315" s="30"/>
      <x:c r="N315" s="30"/>
      <x:c r="O315" s="30" t="str">
        <x:f>IF(OR(M315="",N315=""),"",IF(N315="WIN",M315*(J315-1),IF(N315="LOSS",-M315,0)))</x:f>
      </x:c>
      <x:c r="P315" s="30"/>
      <x:c r="Q315" s="30" t="str">
        <x:f>IF(OR(J315="",P315=""),"",J315/P315-1)</x:f>
      </x:c>
      <x:c r="R315" s="30" t="str">
        <x:f>IF(O315="","",SUM($O$2:O315))</x:f>
      </x:c>
    </x:row>
    <x:row r="316">
      <x:c r="B316" s="28"/>
      <x:c r="I316" s="32"/>
      <x:c r="J316" s="30"/>
      <x:c r="K316" s="32" t="str">
        <x:f>IF(J316="","",1/J316)</x:f>
      </x:c>
      <x:c r="L316" s="32" t="str">
        <x:f>IF(OR(I316="",K316=""),"",I316-K316)</x:f>
      </x:c>
      <x:c r="M316" s="30"/>
      <x:c r="N316" s="30"/>
      <x:c r="O316" s="30" t="str">
        <x:f>IF(OR(M316="",N316=""),"",IF(N316="WIN",M316*(J316-1),IF(N316="LOSS",-M316,0)))</x:f>
      </x:c>
      <x:c r="P316" s="30"/>
      <x:c r="Q316" s="30" t="str">
        <x:f>IF(OR(J316="",P316=""),"",J316/P316-1)</x:f>
      </x:c>
      <x:c r="R316" s="30" t="str">
        <x:f>IF(O316="","",SUM($O$2:O316))</x:f>
      </x:c>
    </x:row>
    <x:row r="317">
      <x:c r="B317" s="28"/>
      <x:c r="I317" s="32"/>
      <x:c r="J317" s="30"/>
      <x:c r="K317" s="32" t="str">
        <x:f>IF(J317="","",1/J317)</x:f>
      </x:c>
      <x:c r="L317" s="32" t="str">
        <x:f>IF(OR(I317="",K317=""),"",I317-K317)</x:f>
      </x:c>
      <x:c r="M317" s="30"/>
      <x:c r="N317" s="30"/>
      <x:c r="O317" s="30" t="str">
        <x:f>IF(OR(M317="",N317=""),"",IF(N317="WIN",M317*(J317-1),IF(N317="LOSS",-M317,0)))</x:f>
      </x:c>
      <x:c r="P317" s="30"/>
      <x:c r="Q317" s="30" t="str">
        <x:f>IF(OR(J317="",P317=""),"",J317/P317-1)</x:f>
      </x:c>
      <x:c r="R317" s="30" t="str">
        <x:f>IF(O317="","",SUM($O$2:O317))</x:f>
      </x:c>
    </x:row>
    <x:row r="318">
      <x:c r="B318" s="28"/>
      <x:c r="I318" s="32"/>
      <x:c r="J318" s="30"/>
      <x:c r="K318" s="32" t="str">
        <x:f>IF(J318="","",1/J318)</x:f>
      </x:c>
      <x:c r="L318" s="32" t="str">
        <x:f>IF(OR(I318="",K318=""),"",I318-K318)</x:f>
      </x:c>
      <x:c r="M318" s="30"/>
      <x:c r="N318" s="30"/>
      <x:c r="O318" s="30" t="str">
        <x:f>IF(OR(M318="",N318=""),"",IF(N318="WIN",M318*(J318-1),IF(N318="LOSS",-M318,0)))</x:f>
      </x:c>
      <x:c r="P318" s="30"/>
      <x:c r="Q318" s="30" t="str">
        <x:f>IF(OR(J318="",P318=""),"",J318/P318-1)</x:f>
      </x:c>
      <x:c r="R318" s="30" t="str">
        <x:f>IF(O318="","",SUM($O$2:O318))</x:f>
      </x:c>
    </x:row>
    <x:row r="319">
      <x:c r="B319" s="28"/>
      <x:c r="I319" s="32"/>
      <x:c r="J319" s="30"/>
      <x:c r="K319" s="32" t="str">
        <x:f>IF(J319="","",1/J319)</x:f>
      </x:c>
      <x:c r="L319" s="32" t="str">
        <x:f>IF(OR(I319="",K319=""),"",I319-K319)</x:f>
      </x:c>
      <x:c r="M319" s="30"/>
      <x:c r="N319" s="30"/>
      <x:c r="O319" s="30" t="str">
        <x:f>IF(OR(M319="",N319=""),"",IF(N319="WIN",M319*(J319-1),IF(N319="LOSS",-M319,0)))</x:f>
      </x:c>
      <x:c r="P319" s="30"/>
      <x:c r="Q319" s="30" t="str">
        <x:f>IF(OR(J319="",P319=""),"",J319/P319-1)</x:f>
      </x:c>
      <x:c r="R319" s="30" t="str">
        <x:f>IF(O319="","",SUM($O$2:O319))</x:f>
      </x:c>
    </x:row>
    <x:row r="320">
      <x:c r="B320" s="28"/>
      <x:c r="I320" s="32"/>
      <x:c r="J320" s="30"/>
      <x:c r="K320" s="32" t="str">
        <x:f>IF(J320="","",1/J320)</x:f>
      </x:c>
      <x:c r="L320" s="32" t="str">
        <x:f>IF(OR(I320="",K320=""),"",I320-K320)</x:f>
      </x:c>
      <x:c r="M320" s="30"/>
      <x:c r="N320" s="30"/>
      <x:c r="O320" s="30" t="str">
        <x:f>IF(OR(M320="",N320=""),"",IF(N320="WIN",M320*(J320-1),IF(N320="LOSS",-M320,0)))</x:f>
      </x:c>
      <x:c r="P320" s="30"/>
      <x:c r="Q320" s="30" t="str">
        <x:f>IF(OR(J320="",P320=""),"",J320/P320-1)</x:f>
      </x:c>
      <x:c r="R320" s="30" t="str">
        <x:f>IF(O320="","",SUM($O$2:O320))</x:f>
      </x:c>
    </x:row>
    <x:row r="321">
      <x:c r="B321" s="28"/>
      <x:c r="I321" s="32"/>
      <x:c r="J321" s="30"/>
      <x:c r="K321" s="32" t="str">
        <x:f>IF(J321="","",1/J321)</x:f>
      </x:c>
      <x:c r="L321" s="32" t="str">
        <x:f>IF(OR(I321="",K321=""),"",I321-K321)</x:f>
      </x:c>
      <x:c r="M321" s="30"/>
      <x:c r="N321" s="30"/>
      <x:c r="O321" s="30" t="str">
        <x:f>IF(OR(M321="",N321=""),"",IF(N321="WIN",M321*(J321-1),IF(N321="LOSS",-M321,0)))</x:f>
      </x:c>
      <x:c r="P321" s="30"/>
      <x:c r="Q321" s="30" t="str">
        <x:f>IF(OR(J321="",P321=""),"",J321/P321-1)</x:f>
      </x:c>
      <x:c r="R321" s="30" t="str">
        <x:f>IF(O321="","",SUM($O$2:O321))</x:f>
      </x:c>
    </x:row>
    <x:row r="322">
      <x:c r="B322" s="28"/>
      <x:c r="I322" s="32"/>
      <x:c r="J322" s="30"/>
      <x:c r="K322" s="32" t="str">
        <x:f>IF(J322="","",1/J322)</x:f>
      </x:c>
      <x:c r="L322" s="32" t="str">
        <x:f>IF(OR(I322="",K322=""),"",I322-K322)</x:f>
      </x:c>
      <x:c r="M322" s="30"/>
      <x:c r="N322" s="30"/>
      <x:c r="O322" s="30" t="str">
        <x:f>IF(OR(M322="",N322=""),"",IF(N322="WIN",M322*(J322-1),IF(N322="LOSS",-M322,0)))</x:f>
      </x:c>
      <x:c r="P322" s="30"/>
      <x:c r="Q322" s="30" t="str">
        <x:f>IF(OR(J322="",P322=""),"",J322/P322-1)</x:f>
      </x:c>
      <x:c r="R322" s="30" t="str">
        <x:f>IF(O322="","",SUM($O$2:O322))</x:f>
      </x:c>
    </x:row>
    <x:row r="323">
      <x:c r="B323" s="28"/>
      <x:c r="I323" s="32"/>
      <x:c r="J323" s="30"/>
      <x:c r="K323" s="32" t="str">
        <x:f>IF(J323="","",1/J323)</x:f>
      </x:c>
      <x:c r="L323" s="32" t="str">
        <x:f>IF(OR(I323="",K323=""),"",I323-K323)</x:f>
      </x:c>
      <x:c r="M323" s="30"/>
      <x:c r="N323" s="30"/>
      <x:c r="O323" s="30" t="str">
        <x:f>IF(OR(M323="",N323=""),"",IF(N323="WIN",M323*(J323-1),IF(N323="LOSS",-M323,0)))</x:f>
      </x:c>
      <x:c r="P323" s="30"/>
      <x:c r="Q323" s="30" t="str">
        <x:f>IF(OR(J323="",P323=""),"",J323/P323-1)</x:f>
      </x:c>
      <x:c r="R323" s="30" t="str">
        <x:f>IF(O323="","",SUM($O$2:O323))</x:f>
      </x:c>
    </x:row>
    <x:row r="324">
      <x:c r="B324" s="28"/>
      <x:c r="I324" s="32"/>
      <x:c r="J324" s="30"/>
      <x:c r="K324" s="32" t="str">
        <x:f>IF(J324="","",1/J324)</x:f>
      </x:c>
      <x:c r="L324" s="32" t="str">
        <x:f>IF(OR(I324="",K324=""),"",I324-K324)</x:f>
      </x:c>
      <x:c r="M324" s="30"/>
      <x:c r="N324" s="30"/>
      <x:c r="O324" s="30" t="str">
        <x:f>IF(OR(M324="",N324=""),"",IF(N324="WIN",M324*(J324-1),IF(N324="LOSS",-M324,0)))</x:f>
      </x:c>
      <x:c r="P324" s="30"/>
      <x:c r="Q324" s="30" t="str">
        <x:f>IF(OR(J324="",P324=""),"",J324/P324-1)</x:f>
      </x:c>
      <x:c r="R324" s="30" t="str">
        <x:f>IF(O324="","",SUM($O$2:O324))</x:f>
      </x:c>
    </x:row>
    <x:row r="325">
      <x:c r="B325" s="28"/>
      <x:c r="I325" s="32"/>
      <x:c r="J325" s="30"/>
      <x:c r="K325" s="32" t="str">
        <x:f>IF(J325="","",1/J325)</x:f>
      </x:c>
      <x:c r="L325" s="32" t="str">
        <x:f>IF(OR(I325="",K325=""),"",I325-K325)</x:f>
      </x:c>
      <x:c r="M325" s="30"/>
      <x:c r="N325" s="30"/>
      <x:c r="O325" s="30" t="str">
        <x:f>IF(OR(M325="",N325=""),"",IF(N325="WIN",M325*(J325-1),IF(N325="LOSS",-M325,0)))</x:f>
      </x:c>
      <x:c r="P325" s="30"/>
      <x:c r="Q325" s="30" t="str">
        <x:f>IF(OR(J325="",P325=""),"",J325/P325-1)</x:f>
      </x:c>
      <x:c r="R325" s="30" t="str">
        <x:f>IF(O325="","",SUM($O$2:O325))</x:f>
      </x:c>
    </x:row>
    <x:row r="326">
      <x:c r="B326" s="28"/>
      <x:c r="I326" s="32"/>
      <x:c r="J326" s="30"/>
      <x:c r="K326" s="32" t="str">
        <x:f>IF(J326="","",1/J326)</x:f>
      </x:c>
      <x:c r="L326" s="32" t="str">
        <x:f>IF(OR(I326="",K326=""),"",I326-K326)</x:f>
      </x:c>
      <x:c r="M326" s="30"/>
      <x:c r="N326" s="30"/>
      <x:c r="O326" s="30" t="str">
        <x:f>IF(OR(M326="",N326=""),"",IF(N326="WIN",M326*(J326-1),IF(N326="LOSS",-M326,0)))</x:f>
      </x:c>
      <x:c r="P326" s="30"/>
      <x:c r="Q326" s="30" t="str">
        <x:f>IF(OR(J326="",P326=""),"",J326/P326-1)</x:f>
      </x:c>
      <x:c r="R326" s="30" t="str">
        <x:f>IF(O326="","",SUM($O$2:O326))</x:f>
      </x:c>
    </x:row>
    <x:row r="327">
      <x:c r="B327" s="28"/>
      <x:c r="I327" s="32"/>
      <x:c r="J327" s="30"/>
      <x:c r="K327" s="32" t="str">
        <x:f>IF(J327="","",1/J327)</x:f>
      </x:c>
      <x:c r="L327" s="32" t="str">
        <x:f>IF(OR(I327="",K327=""),"",I327-K327)</x:f>
      </x:c>
      <x:c r="M327" s="30"/>
      <x:c r="N327" s="30"/>
      <x:c r="O327" s="30" t="str">
        <x:f>IF(OR(M327="",N327=""),"",IF(N327="WIN",M327*(J327-1),IF(N327="LOSS",-M327,0)))</x:f>
      </x:c>
      <x:c r="P327" s="30"/>
      <x:c r="Q327" s="30" t="str">
        <x:f>IF(OR(J327="",P327=""),"",J327/P327-1)</x:f>
      </x:c>
      <x:c r="R327" s="30" t="str">
        <x:f>IF(O327="","",SUM($O$2:O327))</x:f>
      </x:c>
    </x:row>
    <x:row r="328">
      <x:c r="B328" s="28"/>
      <x:c r="I328" s="32"/>
      <x:c r="J328" s="30"/>
      <x:c r="K328" s="32" t="str">
        <x:f>IF(J328="","",1/J328)</x:f>
      </x:c>
      <x:c r="L328" s="32" t="str">
        <x:f>IF(OR(I328="",K328=""),"",I328-K328)</x:f>
      </x:c>
      <x:c r="M328" s="30"/>
      <x:c r="N328" s="30"/>
      <x:c r="O328" s="30" t="str">
        <x:f>IF(OR(M328="",N328=""),"",IF(N328="WIN",M328*(J328-1),IF(N328="LOSS",-M328,0)))</x:f>
      </x:c>
      <x:c r="P328" s="30"/>
      <x:c r="Q328" s="30" t="str">
        <x:f>IF(OR(J328="",P328=""),"",J328/P328-1)</x:f>
      </x:c>
      <x:c r="R328" s="30" t="str">
        <x:f>IF(O328="","",SUM($O$2:O328))</x:f>
      </x:c>
    </x:row>
    <x:row r="329">
      <x:c r="B329" s="28"/>
      <x:c r="I329" s="32"/>
      <x:c r="J329" s="30"/>
      <x:c r="K329" s="32" t="str">
        <x:f>IF(J329="","",1/J329)</x:f>
      </x:c>
      <x:c r="L329" s="32" t="str">
        <x:f>IF(OR(I329="",K329=""),"",I329-K329)</x:f>
      </x:c>
      <x:c r="M329" s="30"/>
      <x:c r="N329" s="30"/>
      <x:c r="O329" s="30" t="str">
        <x:f>IF(OR(M329="",N329=""),"",IF(N329="WIN",M329*(J329-1),IF(N329="LOSS",-M329,0)))</x:f>
      </x:c>
      <x:c r="P329" s="30"/>
      <x:c r="Q329" s="30" t="str">
        <x:f>IF(OR(J329="",P329=""),"",J329/P329-1)</x:f>
      </x:c>
      <x:c r="R329" s="30" t="str">
        <x:f>IF(O329="","",SUM($O$2:O329))</x:f>
      </x:c>
    </x:row>
    <x:row r="330">
      <x:c r="B330" s="28"/>
      <x:c r="I330" s="32"/>
      <x:c r="J330" s="30"/>
      <x:c r="K330" s="32" t="str">
        <x:f>IF(J330="","",1/J330)</x:f>
      </x:c>
      <x:c r="L330" s="32" t="str">
        <x:f>IF(OR(I330="",K330=""),"",I330-K330)</x:f>
      </x:c>
      <x:c r="M330" s="30"/>
      <x:c r="N330" s="30"/>
      <x:c r="O330" s="30" t="str">
        <x:f>IF(OR(M330="",N330=""),"",IF(N330="WIN",M330*(J330-1),IF(N330="LOSS",-M330,0)))</x:f>
      </x:c>
      <x:c r="P330" s="30"/>
      <x:c r="Q330" s="30" t="str">
        <x:f>IF(OR(J330="",P330=""),"",J330/P330-1)</x:f>
      </x:c>
      <x:c r="R330" s="30" t="str">
        <x:f>IF(O330="","",SUM($O$2:O330))</x:f>
      </x:c>
    </x:row>
    <x:row r="331">
      <x:c r="B331" s="28"/>
      <x:c r="I331" s="32"/>
      <x:c r="J331" s="30"/>
      <x:c r="K331" s="32" t="str">
        <x:f>IF(J331="","",1/J331)</x:f>
      </x:c>
      <x:c r="L331" s="32" t="str">
        <x:f>IF(OR(I331="",K331=""),"",I331-K331)</x:f>
      </x:c>
      <x:c r="M331" s="30"/>
      <x:c r="N331" s="30"/>
      <x:c r="O331" s="30" t="str">
        <x:f>IF(OR(M331="",N331=""),"",IF(N331="WIN",M331*(J331-1),IF(N331="LOSS",-M331,0)))</x:f>
      </x:c>
      <x:c r="P331" s="30"/>
      <x:c r="Q331" s="30" t="str">
        <x:f>IF(OR(J331="",P331=""),"",J331/P331-1)</x:f>
      </x:c>
      <x:c r="R331" s="30" t="str">
        <x:f>IF(O331="","",SUM($O$2:O331))</x:f>
      </x:c>
    </x:row>
    <x:row r="332">
      <x:c r="B332" s="28"/>
      <x:c r="I332" s="32"/>
      <x:c r="J332" s="30"/>
      <x:c r="K332" s="32" t="str">
        <x:f>IF(J332="","",1/J332)</x:f>
      </x:c>
      <x:c r="L332" s="32" t="str">
        <x:f>IF(OR(I332="",K332=""),"",I332-K332)</x:f>
      </x:c>
      <x:c r="M332" s="30"/>
      <x:c r="N332" s="30"/>
      <x:c r="O332" s="30" t="str">
        <x:f>IF(OR(M332="",N332=""),"",IF(N332="WIN",M332*(J332-1),IF(N332="LOSS",-M332,0)))</x:f>
      </x:c>
      <x:c r="P332" s="30"/>
      <x:c r="Q332" s="30" t="str">
        <x:f>IF(OR(J332="",P332=""),"",J332/P332-1)</x:f>
      </x:c>
      <x:c r="R332" s="30" t="str">
        <x:f>IF(O332="","",SUM($O$2:O332))</x:f>
      </x:c>
    </x:row>
    <x:row r="333">
      <x:c r="B333" s="28"/>
      <x:c r="I333" s="32"/>
      <x:c r="J333" s="30"/>
      <x:c r="K333" s="32" t="str">
        <x:f>IF(J333="","",1/J333)</x:f>
      </x:c>
      <x:c r="L333" s="32" t="str">
        <x:f>IF(OR(I333="",K333=""),"",I333-K333)</x:f>
      </x:c>
      <x:c r="M333" s="30"/>
      <x:c r="N333" s="30"/>
      <x:c r="O333" s="30" t="str">
        <x:f>IF(OR(M333="",N333=""),"",IF(N333="WIN",M333*(J333-1),IF(N333="LOSS",-M333,0)))</x:f>
      </x:c>
      <x:c r="P333" s="30"/>
      <x:c r="Q333" s="30" t="str">
        <x:f>IF(OR(J333="",P333=""),"",J333/P333-1)</x:f>
      </x:c>
      <x:c r="R333" s="30" t="str">
        <x:f>IF(O333="","",SUM($O$2:O333))</x:f>
      </x:c>
    </x:row>
    <x:row r="334">
      <x:c r="B334" s="28"/>
      <x:c r="I334" s="32"/>
      <x:c r="J334" s="30"/>
      <x:c r="K334" s="32" t="str">
        <x:f>IF(J334="","",1/J334)</x:f>
      </x:c>
      <x:c r="L334" s="32" t="str">
        <x:f>IF(OR(I334="",K334=""),"",I334-K334)</x:f>
      </x:c>
      <x:c r="M334" s="30"/>
      <x:c r="N334" s="30"/>
      <x:c r="O334" s="30" t="str">
        <x:f>IF(OR(M334="",N334=""),"",IF(N334="WIN",M334*(J334-1),IF(N334="LOSS",-M334,0)))</x:f>
      </x:c>
      <x:c r="P334" s="30"/>
      <x:c r="Q334" s="30" t="str">
        <x:f>IF(OR(J334="",P334=""),"",J334/P334-1)</x:f>
      </x:c>
      <x:c r="R334" s="30" t="str">
        <x:f>IF(O334="","",SUM($O$2:O334))</x:f>
      </x:c>
    </x:row>
    <x:row r="335">
      <x:c r="B335" s="28"/>
      <x:c r="I335" s="32"/>
      <x:c r="J335" s="30"/>
      <x:c r="K335" s="32" t="str">
        <x:f>IF(J335="","",1/J335)</x:f>
      </x:c>
      <x:c r="L335" s="32" t="str">
        <x:f>IF(OR(I335="",K335=""),"",I335-K335)</x:f>
      </x:c>
      <x:c r="M335" s="30"/>
      <x:c r="N335" s="30"/>
      <x:c r="O335" s="30" t="str">
        <x:f>IF(OR(M335="",N335=""),"",IF(N335="WIN",M335*(J335-1),IF(N335="LOSS",-M335,0)))</x:f>
      </x:c>
      <x:c r="P335" s="30"/>
      <x:c r="Q335" s="30" t="str">
        <x:f>IF(OR(J335="",P335=""),"",J335/P335-1)</x:f>
      </x:c>
      <x:c r="R335" s="30" t="str">
        <x:f>IF(O335="","",SUM($O$2:O335))</x:f>
      </x:c>
    </x:row>
    <x:row r="336">
      <x:c r="B336" s="28"/>
      <x:c r="I336" s="32"/>
      <x:c r="J336" s="30"/>
      <x:c r="K336" s="32" t="str">
        <x:f>IF(J336="","",1/J336)</x:f>
      </x:c>
      <x:c r="L336" s="32" t="str">
        <x:f>IF(OR(I336="",K336=""),"",I336-K336)</x:f>
      </x:c>
      <x:c r="M336" s="30"/>
      <x:c r="N336" s="30"/>
      <x:c r="O336" s="30" t="str">
        <x:f>IF(OR(M336="",N336=""),"",IF(N336="WIN",M336*(J336-1),IF(N336="LOSS",-M336,0)))</x:f>
      </x:c>
      <x:c r="P336" s="30"/>
      <x:c r="Q336" s="30" t="str">
        <x:f>IF(OR(J336="",P336=""),"",J336/P336-1)</x:f>
      </x:c>
      <x:c r="R336" s="30" t="str">
        <x:f>IF(O336="","",SUM($O$2:O336))</x:f>
      </x:c>
    </x:row>
    <x:row r="337">
      <x:c r="B337" s="28"/>
      <x:c r="I337" s="32"/>
      <x:c r="J337" s="30"/>
      <x:c r="K337" s="32" t="str">
        <x:f>IF(J337="","",1/J337)</x:f>
      </x:c>
      <x:c r="L337" s="32" t="str">
        <x:f>IF(OR(I337="",K337=""),"",I337-K337)</x:f>
      </x:c>
      <x:c r="M337" s="30"/>
      <x:c r="N337" s="30"/>
      <x:c r="O337" s="30" t="str">
        <x:f>IF(OR(M337="",N337=""),"",IF(N337="WIN",M337*(J337-1),IF(N337="LOSS",-M337,0)))</x:f>
      </x:c>
      <x:c r="P337" s="30"/>
      <x:c r="Q337" s="30" t="str">
        <x:f>IF(OR(J337="",P337=""),"",J337/P337-1)</x:f>
      </x:c>
      <x:c r="R337" s="30" t="str">
        <x:f>IF(O337="","",SUM($O$2:O337))</x:f>
      </x:c>
    </x:row>
    <x:row r="338">
      <x:c r="B338" s="28"/>
      <x:c r="I338" s="32"/>
      <x:c r="J338" s="30"/>
      <x:c r="K338" s="32" t="str">
        <x:f>IF(J338="","",1/J338)</x:f>
      </x:c>
      <x:c r="L338" s="32" t="str">
        <x:f>IF(OR(I338="",K338=""),"",I338-K338)</x:f>
      </x:c>
      <x:c r="M338" s="30"/>
      <x:c r="N338" s="30"/>
      <x:c r="O338" s="30" t="str">
        <x:f>IF(OR(M338="",N338=""),"",IF(N338="WIN",M338*(J338-1),IF(N338="LOSS",-M338,0)))</x:f>
      </x:c>
      <x:c r="P338" s="30"/>
      <x:c r="Q338" s="30" t="str">
        <x:f>IF(OR(J338="",P338=""),"",J338/P338-1)</x:f>
      </x:c>
      <x:c r="R338" s="30" t="str">
        <x:f>IF(O338="","",SUM($O$2:O338))</x:f>
      </x:c>
    </x:row>
    <x:row r="339">
      <x:c r="B339" s="28"/>
      <x:c r="I339" s="32"/>
      <x:c r="J339" s="30"/>
      <x:c r="K339" s="32" t="str">
        <x:f>IF(J339="","",1/J339)</x:f>
      </x:c>
      <x:c r="L339" s="32" t="str">
        <x:f>IF(OR(I339="",K339=""),"",I339-K339)</x:f>
      </x:c>
      <x:c r="M339" s="30"/>
      <x:c r="N339" s="30"/>
      <x:c r="O339" s="30" t="str">
        <x:f>IF(OR(M339="",N339=""),"",IF(N339="WIN",M339*(J339-1),IF(N339="LOSS",-M339,0)))</x:f>
      </x:c>
      <x:c r="P339" s="30"/>
      <x:c r="Q339" s="30" t="str">
        <x:f>IF(OR(J339="",P339=""),"",J339/P339-1)</x:f>
      </x:c>
      <x:c r="R339" s="30" t="str">
        <x:f>IF(O339="","",SUM($O$2:O339))</x:f>
      </x:c>
    </x:row>
    <x:row r="340">
      <x:c r="B340" s="28"/>
      <x:c r="I340" s="32"/>
      <x:c r="J340" s="30"/>
      <x:c r="K340" s="32" t="str">
        <x:f>IF(J340="","",1/J340)</x:f>
      </x:c>
      <x:c r="L340" s="32" t="str">
        <x:f>IF(OR(I340="",K340=""),"",I340-K340)</x:f>
      </x:c>
      <x:c r="M340" s="30"/>
      <x:c r="N340" s="30"/>
      <x:c r="O340" s="30" t="str">
        <x:f>IF(OR(M340="",N340=""),"",IF(N340="WIN",M340*(J340-1),IF(N340="LOSS",-M340,0)))</x:f>
      </x:c>
      <x:c r="P340" s="30"/>
      <x:c r="Q340" s="30" t="str">
        <x:f>IF(OR(J340="",P340=""),"",J340/P340-1)</x:f>
      </x:c>
      <x:c r="R340" s="30" t="str">
        <x:f>IF(O340="","",SUM($O$2:O340))</x:f>
      </x:c>
    </x:row>
    <x:row r="341">
      <x:c r="B341" s="28"/>
      <x:c r="I341" s="32"/>
      <x:c r="J341" s="30"/>
      <x:c r="K341" s="32" t="str">
        <x:f>IF(J341="","",1/J341)</x:f>
      </x:c>
      <x:c r="L341" s="32" t="str">
        <x:f>IF(OR(I341="",K341=""),"",I341-K341)</x:f>
      </x:c>
      <x:c r="M341" s="30"/>
      <x:c r="N341" s="30"/>
      <x:c r="O341" s="30" t="str">
        <x:f>IF(OR(M341="",N341=""),"",IF(N341="WIN",M341*(J341-1),IF(N341="LOSS",-M341,0)))</x:f>
      </x:c>
      <x:c r="P341" s="30"/>
      <x:c r="Q341" s="30" t="str">
        <x:f>IF(OR(J341="",P341=""),"",J341/P341-1)</x:f>
      </x:c>
      <x:c r="R341" s="30" t="str">
        <x:f>IF(O341="","",SUM($O$2:O341))</x:f>
      </x:c>
    </x:row>
    <x:row r="342">
      <x:c r="B342" s="28"/>
      <x:c r="I342" s="32"/>
      <x:c r="J342" s="30"/>
      <x:c r="K342" s="32" t="str">
        <x:f>IF(J342="","",1/J342)</x:f>
      </x:c>
      <x:c r="L342" s="32" t="str">
        <x:f>IF(OR(I342="",K342=""),"",I342-K342)</x:f>
      </x:c>
      <x:c r="M342" s="30"/>
      <x:c r="N342" s="30"/>
      <x:c r="O342" s="30" t="str">
        <x:f>IF(OR(M342="",N342=""),"",IF(N342="WIN",M342*(J342-1),IF(N342="LOSS",-M342,0)))</x:f>
      </x:c>
      <x:c r="P342" s="30"/>
      <x:c r="Q342" s="30" t="str">
        <x:f>IF(OR(J342="",P342=""),"",J342/P342-1)</x:f>
      </x:c>
      <x:c r="R342" s="30" t="str">
        <x:f>IF(O342="","",SUM($O$2:O342))</x:f>
      </x:c>
    </x:row>
    <x:row r="343">
      <x:c r="B343" s="28"/>
      <x:c r="I343" s="32"/>
      <x:c r="J343" s="30"/>
      <x:c r="K343" s="32" t="str">
        <x:f>IF(J343="","",1/J343)</x:f>
      </x:c>
      <x:c r="L343" s="32" t="str">
        <x:f>IF(OR(I343="",K343=""),"",I343-K343)</x:f>
      </x:c>
      <x:c r="M343" s="30"/>
      <x:c r="N343" s="30"/>
      <x:c r="O343" s="30" t="str">
        <x:f>IF(OR(M343="",N343=""),"",IF(N343="WIN",M343*(J343-1),IF(N343="LOSS",-M343,0)))</x:f>
      </x:c>
      <x:c r="P343" s="30"/>
      <x:c r="Q343" s="30" t="str">
        <x:f>IF(OR(J343="",P343=""),"",J343/P343-1)</x:f>
      </x:c>
      <x:c r="R343" s="30" t="str">
        <x:f>IF(O343="","",SUM($O$2:O343))</x:f>
      </x:c>
    </x:row>
    <x:row r="344">
      <x:c r="B344" s="28"/>
      <x:c r="I344" s="32"/>
      <x:c r="J344" s="30"/>
      <x:c r="K344" s="32" t="str">
        <x:f>IF(J344="","",1/J344)</x:f>
      </x:c>
      <x:c r="L344" s="32" t="str">
        <x:f>IF(OR(I344="",K344=""),"",I344-K344)</x:f>
      </x:c>
      <x:c r="M344" s="30"/>
      <x:c r="N344" s="30"/>
      <x:c r="O344" s="30" t="str">
        <x:f>IF(OR(M344="",N344=""),"",IF(N344="WIN",M344*(J344-1),IF(N344="LOSS",-M344,0)))</x:f>
      </x:c>
      <x:c r="P344" s="30"/>
      <x:c r="Q344" s="30" t="str">
        <x:f>IF(OR(J344="",P344=""),"",J344/P344-1)</x:f>
      </x:c>
      <x:c r="R344" s="30" t="str">
        <x:f>IF(O344="","",SUM($O$2:O344))</x:f>
      </x:c>
    </x:row>
    <x:row r="345">
      <x:c r="B345" s="28"/>
      <x:c r="I345" s="32"/>
      <x:c r="J345" s="30"/>
      <x:c r="K345" s="32" t="str">
        <x:f>IF(J345="","",1/J345)</x:f>
      </x:c>
      <x:c r="L345" s="32" t="str">
        <x:f>IF(OR(I345="",K345=""),"",I345-K345)</x:f>
      </x:c>
      <x:c r="M345" s="30"/>
      <x:c r="N345" s="30"/>
      <x:c r="O345" s="30" t="str">
        <x:f>IF(OR(M345="",N345=""),"",IF(N345="WIN",M345*(J345-1),IF(N345="LOSS",-M345,0)))</x:f>
      </x:c>
      <x:c r="P345" s="30"/>
      <x:c r="Q345" s="30" t="str">
        <x:f>IF(OR(J345="",P345=""),"",J345/P345-1)</x:f>
      </x:c>
      <x:c r="R345" s="30" t="str">
        <x:f>IF(O345="","",SUM($O$2:O345))</x:f>
      </x:c>
    </x:row>
    <x:row r="346">
      <x:c r="B346" s="28"/>
      <x:c r="I346" s="32"/>
      <x:c r="J346" s="30"/>
      <x:c r="K346" s="32" t="str">
        <x:f>IF(J346="","",1/J346)</x:f>
      </x:c>
      <x:c r="L346" s="32" t="str">
        <x:f>IF(OR(I346="",K346=""),"",I346-K346)</x:f>
      </x:c>
      <x:c r="M346" s="30"/>
      <x:c r="N346" s="30"/>
      <x:c r="O346" s="30" t="str">
        <x:f>IF(OR(M346="",N346=""),"",IF(N346="WIN",M346*(J346-1),IF(N346="LOSS",-M346,0)))</x:f>
      </x:c>
      <x:c r="P346" s="30"/>
      <x:c r="Q346" s="30" t="str">
        <x:f>IF(OR(J346="",P346=""),"",J346/P346-1)</x:f>
      </x:c>
      <x:c r="R346" s="30" t="str">
        <x:f>IF(O346="","",SUM($O$2:O346))</x:f>
      </x:c>
    </x:row>
    <x:row r="347">
      <x:c r="B347" s="28"/>
      <x:c r="I347" s="32"/>
      <x:c r="J347" s="30"/>
      <x:c r="K347" s="32" t="str">
        <x:f>IF(J347="","",1/J347)</x:f>
      </x:c>
      <x:c r="L347" s="32" t="str">
        <x:f>IF(OR(I347="",K347=""),"",I347-K347)</x:f>
      </x:c>
      <x:c r="M347" s="30"/>
      <x:c r="N347" s="30"/>
      <x:c r="O347" s="30" t="str">
        <x:f>IF(OR(M347="",N347=""),"",IF(N347="WIN",M347*(J347-1),IF(N347="LOSS",-M347,0)))</x:f>
      </x:c>
      <x:c r="P347" s="30"/>
      <x:c r="Q347" s="30" t="str">
        <x:f>IF(OR(J347="",P347=""),"",J347/P347-1)</x:f>
      </x:c>
      <x:c r="R347" s="30" t="str">
        <x:f>IF(O347="","",SUM($O$2:O347))</x:f>
      </x:c>
    </x:row>
    <x:row r="348">
      <x:c r="B348" s="28"/>
      <x:c r="I348" s="32"/>
      <x:c r="J348" s="30"/>
      <x:c r="K348" s="32" t="str">
        <x:f>IF(J348="","",1/J348)</x:f>
      </x:c>
      <x:c r="L348" s="32" t="str">
        <x:f>IF(OR(I348="",K348=""),"",I348-K348)</x:f>
      </x:c>
      <x:c r="M348" s="30"/>
      <x:c r="N348" s="30"/>
      <x:c r="O348" s="30" t="str">
        <x:f>IF(OR(M348="",N348=""),"",IF(N348="WIN",M348*(J348-1),IF(N348="LOSS",-M348,0)))</x:f>
      </x:c>
      <x:c r="P348" s="30"/>
      <x:c r="Q348" s="30" t="str">
        <x:f>IF(OR(J348="",P348=""),"",J348/P348-1)</x:f>
      </x:c>
      <x:c r="R348" s="30" t="str">
        <x:f>IF(O348="","",SUM($O$2:O348))</x:f>
      </x:c>
    </x:row>
    <x:row r="349">
      <x:c r="B349" s="28"/>
      <x:c r="I349" s="32"/>
      <x:c r="J349" s="30"/>
      <x:c r="K349" s="32" t="str">
        <x:f>IF(J349="","",1/J349)</x:f>
      </x:c>
      <x:c r="L349" s="32" t="str">
        <x:f>IF(OR(I349="",K349=""),"",I349-K349)</x:f>
      </x:c>
      <x:c r="M349" s="30"/>
      <x:c r="N349" s="30"/>
      <x:c r="O349" s="30" t="str">
        <x:f>IF(OR(M349="",N349=""),"",IF(N349="WIN",M349*(J349-1),IF(N349="LOSS",-M349,0)))</x:f>
      </x:c>
      <x:c r="P349" s="30"/>
      <x:c r="Q349" s="30" t="str">
        <x:f>IF(OR(J349="",P349=""),"",J349/P349-1)</x:f>
      </x:c>
      <x:c r="R349" s="30" t="str">
        <x:f>IF(O349="","",SUM($O$2:O349))</x:f>
      </x:c>
    </x:row>
    <x:row r="350">
      <x:c r="B350" s="28"/>
      <x:c r="I350" s="32"/>
      <x:c r="J350" s="30"/>
      <x:c r="K350" s="32" t="str">
        <x:f>IF(J350="","",1/J350)</x:f>
      </x:c>
      <x:c r="L350" s="32" t="str">
        <x:f>IF(OR(I350="",K350=""),"",I350-K350)</x:f>
      </x:c>
      <x:c r="M350" s="30"/>
      <x:c r="N350" s="30"/>
      <x:c r="O350" s="30" t="str">
        <x:f>IF(OR(M350="",N350=""),"",IF(N350="WIN",M350*(J350-1),IF(N350="LOSS",-M350,0)))</x:f>
      </x:c>
      <x:c r="P350" s="30"/>
      <x:c r="Q350" s="30" t="str">
        <x:f>IF(OR(J350="",P350=""),"",J350/P350-1)</x:f>
      </x:c>
      <x:c r="R350" s="30" t="str">
        <x:f>IF(O350="","",SUM($O$2:O350))</x:f>
      </x:c>
    </x:row>
    <x:row r="351">
      <x:c r="B351" s="28"/>
      <x:c r="I351" s="32"/>
      <x:c r="J351" s="30"/>
      <x:c r="K351" s="32" t="str">
        <x:f>IF(J351="","",1/J351)</x:f>
      </x:c>
      <x:c r="L351" s="32" t="str">
        <x:f>IF(OR(I351="",K351=""),"",I351-K351)</x:f>
      </x:c>
      <x:c r="M351" s="30"/>
      <x:c r="N351" s="30"/>
      <x:c r="O351" s="30" t="str">
        <x:f>IF(OR(M351="",N351=""),"",IF(N351="WIN",M351*(J351-1),IF(N351="LOSS",-M351,0)))</x:f>
      </x:c>
      <x:c r="P351" s="30"/>
      <x:c r="Q351" s="30" t="str">
        <x:f>IF(OR(J351="",P351=""),"",J351/P351-1)</x:f>
      </x:c>
      <x:c r="R351" s="30" t="str">
        <x:f>IF(O351="","",SUM($O$2:O351))</x:f>
      </x:c>
    </x:row>
    <x:row r="352">
      <x:c r="B352" s="28"/>
      <x:c r="I352" s="32"/>
      <x:c r="J352" s="30"/>
      <x:c r="K352" s="32" t="str">
        <x:f>IF(J352="","",1/J352)</x:f>
      </x:c>
      <x:c r="L352" s="32" t="str">
        <x:f>IF(OR(I352="",K352=""),"",I352-K352)</x:f>
      </x:c>
      <x:c r="M352" s="30"/>
      <x:c r="N352" s="30"/>
      <x:c r="O352" s="30" t="str">
        <x:f>IF(OR(M352="",N352=""),"",IF(N352="WIN",M352*(J352-1),IF(N352="LOSS",-M352,0)))</x:f>
      </x:c>
      <x:c r="P352" s="30"/>
      <x:c r="Q352" s="30" t="str">
        <x:f>IF(OR(J352="",P352=""),"",J352/P352-1)</x:f>
      </x:c>
      <x:c r="R352" s="30" t="str">
        <x:f>IF(O352="","",SUM($O$2:O352))</x:f>
      </x:c>
    </x:row>
    <x:row r="353">
      <x:c r="B353" s="28"/>
      <x:c r="I353" s="32"/>
      <x:c r="J353" s="30"/>
      <x:c r="K353" s="32" t="str">
        <x:f>IF(J353="","",1/J353)</x:f>
      </x:c>
      <x:c r="L353" s="32" t="str">
        <x:f>IF(OR(I353="",K353=""),"",I353-K353)</x:f>
      </x:c>
      <x:c r="M353" s="30"/>
      <x:c r="N353" s="30"/>
      <x:c r="O353" s="30" t="str">
        <x:f>IF(OR(M353="",N353=""),"",IF(N353="WIN",M353*(J353-1),IF(N353="LOSS",-M353,0)))</x:f>
      </x:c>
      <x:c r="P353" s="30"/>
      <x:c r="Q353" s="30" t="str">
        <x:f>IF(OR(J353="",P353=""),"",J353/P353-1)</x:f>
      </x:c>
      <x:c r="R353" s="30" t="str">
        <x:f>IF(O353="","",SUM($O$2:O353))</x:f>
      </x:c>
    </x:row>
    <x:row r="354">
      <x:c r="B354" s="28"/>
      <x:c r="I354" s="32"/>
      <x:c r="J354" s="30"/>
      <x:c r="K354" s="32" t="str">
        <x:f>IF(J354="","",1/J354)</x:f>
      </x:c>
      <x:c r="L354" s="32" t="str">
        <x:f>IF(OR(I354="",K354=""),"",I354-K354)</x:f>
      </x:c>
      <x:c r="M354" s="30"/>
      <x:c r="N354" s="30"/>
      <x:c r="O354" s="30" t="str">
        <x:f>IF(OR(M354="",N354=""),"",IF(N354="WIN",M354*(J354-1),IF(N354="LOSS",-M354,0)))</x:f>
      </x:c>
      <x:c r="P354" s="30"/>
      <x:c r="Q354" s="30" t="str">
        <x:f>IF(OR(J354="",P354=""),"",J354/P354-1)</x:f>
      </x:c>
      <x:c r="R354" s="30" t="str">
        <x:f>IF(O354="","",SUM($O$2:O354))</x:f>
      </x:c>
    </x:row>
    <x:row r="355">
      <x:c r="B355" s="28"/>
      <x:c r="I355" s="32"/>
      <x:c r="J355" s="30"/>
      <x:c r="K355" s="32" t="str">
        <x:f>IF(J355="","",1/J355)</x:f>
      </x:c>
      <x:c r="L355" s="32" t="str">
        <x:f>IF(OR(I355="",K355=""),"",I355-K355)</x:f>
      </x:c>
      <x:c r="M355" s="30"/>
      <x:c r="N355" s="30"/>
      <x:c r="O355" s="30" t="str">
        <x:f>IF(OR(M355="",N355=""),"",IF(N355="WIN",M355*(J355-1),IF(N355="LOSS",-M355,0)))</x:f>
      </x:c>
      <x:c r="P355" s="30"/>
      <x:c r="Q355" s="30" t="str">
        <x:f>IF(OR(J355="",P355=""),"",J355/P355-1)</x:f>
      </x:c>
      <x:c r="R355" s="30" t="str">
        <x:f>IF(O355="","",SUM($O$2:O355))</x:f>
      </x:c>
    </x:row>
    <x:row r="356">
      <x:c r="B356" s="28"/>
      <x:c r="I356" s="32"/>
      <x:c r="J356" s="30"/>
      <x:c r="K356" s="32" t="str">
        <x:f>IF(J356="","",1/J356)</x:f>
      </x:c>
      <x:c r="L356" s="32" t="str">
        <x:f>IF(OR(I356="",K356=""),"",I356-K356)</x:f>
      </x:c>
      <x:c r="M356" s="30"/>
      <x:c r="N356" s="30"/>
      <x:c r="O356" s="30" t="str">
        <x:f>IF(OR(M356="",N356=""),"",IF(N356="WIN",M356*(J356-1),IF(N356="LOSS",-M356,0)))</x:f>
      </x:c>
      <x:c r="P356" s="30"/>
      <x:c r="Q356" s="30" t="str">
        <x:f>IF(OR(J356="",P356=""),"",J356/P356-1)</x:f>
      </x:c>
      <x:c r="R356" s="30" t="str">
        <x:f>IF(O356="","",SUM($O$2:O356))</x:f>
      </x:c>
    </x:row>
    <x:row r="357">
      <x:c r="B357" s="28"/>
      <x:c r="I357" s="32"/>
      <x:c r="J357" s="30"/>
      <x:c r="K357" s="32" t="str">
        <x:f>IF(J357="","",1/J357)</x:f>
      </x:c>
      <x:c r="L357" s="32" t="str">
        <x:f>IF(OR(I357="",K357=""),"",I357-K357)</x:f>
      </x:c>
      <x:c r="M357" s="30"/>
      <x:c r="N357" s="30"/>
      <x:c r="O357" s="30" t="str">
        <x:f>IF(OR(M357="",N357=""),"",IF(N357="WIN",M357*(J357-1),IF(N357="LOSS",-M357,0)))</x:f>
      </x:c>
      <x:c r="P357" s="30"/>
      <x:c r="Q357" s="30" t="str">
        <x:f>IF(OR(J357="",P357=""),"",J357/P357-1)</x:f>
      </x:c>
      <x:c r="R357" s="30" t="str">
        <x:f>IF(O357="","",SUM($O$2:O357))</x:f>
      </x:c>
    </x:row>
    <x:row r="358">
      <x:c r="B358" s="28"/>
      <x:c r="I358" s="32"/>
      <x:c r="J358" s="30"/>
      <x:c r="K358" s="32" t="str">
        <x:f>IF(J358="","",1/J358)</x:f>
      </x:c>
      <x:c r="L358" s="32" t="str">
        <x:f>IF(OR(I358="",K358=""),"",I358-K358)</x:f>
      </x:c>
      <x:c r="M358" s="30"/>
      <x:c r="N358" s="30"/>
      <x:c r="O358" s="30" t="str">
        <x:f>IF(OR(M358="",N358=""),"",IF(N358="WIN",M358*(J358-1),IF(N358="LOSS",-M358,0)))</x:f>
      </x:c>
      <x:c r="P358" s="30"/>
      <x:c r="Q358" s="30" t="str">
        <x:f>IF(OR(J358="",P358=""),"",J358/P358-1)</x:f>
      </x:c>
      <x:c r="R358" s="30" t="str">
        <x:f>IF(O358="","",SUM($O$2:O358))</x:f>
      </x:c>
    </x:row>
    <x:row r="359">
      <x:c r="B359" s="28"/>
      <x:c r="I359" s="32"/>
      <x:c r="J359" s="30"/>
      <x:c r="K359" s="32" t="str">
        <x:f>IF(J359="","",1/J359)</x:f>
      </x:c>
      <x:c r="L359" s="32" t="str">
        <x:f>IF(OR(I359="",K359=""),"",I359-K359)</x:f>
      </x:c>
      <x:c r="M359" s="30"/>
      <x:c r="N359" s="30"/>
      <x:c r="O359" s="30" t="str">
        <x:f>IF(OR(M359="",N359=""),"",IF(N359="WIN",M359*(J359-1),IF(N359="LOSS",-M359,0)))</x:f>
      </x:c>
      <x:c r="P359" s="30"/>
      <x:c r="Q359" s="30" t="str">
        <x:f>IF(OR(J359="",P359=""),"",J359/P359-1)</x:f>
      </x:c>
      <x:c r="R359" s="30" t="str">
        <x:f>IF(O359="","",SUM($O$2:O359))</x:f>
      </x:c>
    </x:row>
    <x:row r="360">
      <x:c r="B360" s="28"/>
      <x:c r="I360" s="32"/>
      <x:c r="J360" s="30"/>
      <x:c r="K360" s="32" t="str">
        <x:f>IF(J360="","",1/J360)</x:f>
      </x:c>
      <x:c r="L360" s="32" t="str">
        <x:f>IF(OR(I360="",K360=""),"",I360-K360)</x:f>
      </x:c>
      <x:c r="M360" s="30"/>
      <x:c r="N360" s="30"/>
      <x:c r="O360" s="30" t="str">
        <x:f>IF(OR(M360="",N360=""),"",IF(N360="WIN",M360*(J360-1),IF(N360="LOSS",-M360,0)))</x:f>
      </x:c>
      <x:c r="P360" s="30"/>
      <x:c r="Q360" s="30" t="str">
        <x:f>IF(OR(J360="",P360=""),"",J360/P360-1)</x:f>
      </x:c>
      <x:c r="R360" s="30" t="str">
        <x:f>IF(O360="","",SUM($O$2:O360))</x:f>
      </x:c>
    </x:row>
    <x:row r="361">
      <x:c r="B361" s="28"/>
      <x:c r="I361" s="32"/>
      <x:c r="J361" s="30"/>
      <x:c r="K361" s="32" t="str">
        <x:f>IF(J361="","",1/J361)</x:f>
      </x:c>
      <x:c r="L361" s="32" t="str">
        <x:f>IF(OR(I361="",K361=""),"",I361-K361)</x:f>
      </x:c>
      <x:c r="M361" s="30"/>
      <x:c r="N361" s="30"/>
      <x:c r="O361" s="30" t="str">
        <x:f>IF(OR(M361="",N361=""),"",IF(N361="WIN",M361*(J361-1),IF(N361="LOSS",-M361,0)))</x:f>
      </x:c>
      <x:c r="P361" s="30"/>
      <x:c r="Q361" s="30" t="str">
        <x:f>IF(OR(J361="",P361=""),"",J361/P361-1)</x:f>
      </x:c>
      <x:c r="R361" s="30" t="str">
        <x:f>IF(O361="","",SUM($O$2:O361))</x:f>
      </x:c>
    </x:row>
    <x:row r="362">
      <x:c r="B362" s="28"/>
      <x:c r="I362" s="32"/>
      <x:c r="J362" s="30"/>
      <x:c r="K362" s="32" t="str">
        <x:f>IF(J362="","",1/J362)</x:f>
      </x:c>
      <x:c r="L362" s="32" t="str">
        <x:f>IF(OR(I362="",K362=""),"",I362-K362)</x:f>
      </x:c>
      <x:c r="M362" s="30"/>
      <x:c r="N362" s="30"/>
      <x:c r="O362" s="30" t="str">
        <x:f>IF(OR(M362="",N362=""),"",IF(N362="WIN",M362*(J362-1),IF(N362="LOSS",-M362,0)))</x:f>
      </x:c>
      <x:c r="P362" s="30"/>
      <x:c r="Q362" s="30" t="str">
        <x:f>IF(OR(J362="",P362=""),"",J362/P362-1)</x:f>
      </x:c>
      <x:c r="R362" s="30" t="str">
        <x:f>IF(O362="","",SUM($O$2:O362))</x:f>
      </x:c>
    </x:row>
    <x:row r="363">
      <x:c r="B363" s="28"/>
      <x:c r="I363" s="32"/>
      <x:c r="J363" s="30"/>
      <x:c r="K363" s="32" t="str">
        <x:f>IF(J363="","",1/J363)</x:f>
      </x:c>
      <x:c r="L363" s="32" t="str">
        <x:f>IF(OR(I363="",K363=""),"",I363-K363)</x:f>
      </x:c>
      <x:c r="M363" s="30"/>
      <x:c r="N363" s="30"/>
      <x:c r="O363" s="30" t="str">
        <x:f>IF(OR(M363="",N363=""),"",IF(N363="WIN",M363*(J363-1),IF(N363="LOSS",-M363,0)))</x:f>
      </x:c>
      <x:c r="P363" s="30"/>
      <x:c r="Q363" s="30" t="str">
        <x:f>IF(OR(J363="",P363=""),"",J363/P363-1)</x:f>
      </x:c>
      <x:c r="R363" s="30" t="str">
        <x:f>IF(O363="","",SUM($O$2:O363))</x:f>
      </x:c>
    </x:row>
    <x:row r="364">
      <x:c r="B364" s="28"/>
      <x:c r="I364" s="32"/>
      <x:c r="J364" s="30"/>
      <x:c r="K364" s="32" t="str">
        <x:f>IF(J364="","",1/J364)</x:f>
      </x:c>
      <x:c r="L364" s="32" t="str">
        <x:f>IF(OR(I364="",K364=""),"",I364-K364)</x:f>
      </x:c>
      <x:c r="M364" s="30"/>
      <x:c r="N364" s="30"/>
      <x:c r="O364" s="30" t="str">
        <x:f>IF(OR(M364="",N364=""),"",IF(N364="WIN",M364*(J364-1),IF(N364="LOSS",-M364,0)))</x:f>
      </x:c>
      <x:c r="P364" s="30"/>
      <x:c r="Q364" s="30" t="str">
        <x:f>IF(OR(J364="",P364=""),"",J364/P364-1)</x:f>
      </x:c>
      <x:c r="R364" s="30" t="str">
        <x:f>IF(O364="","",SUM($O$2:O364))</x:f>
      </x:c>
    </x:row>
    <x:row r="365">
      <x:c r="B365" s="28"/>
      <x:c r="I365" s="32"/>
      <x:c r="J365" s="30"/>
      <x:c r="K365" s="32" t="str">
        <x:f>IF(J365="","",1/J365)</x:f>
      </x:c>
      <x:c r="L365" s="32" t="str">
        <x:f>IF(OR(I365="",K365=""),"",I365-K365)</x:f>
      </x:c>
      <x:c r="M365" s="30"/>
      <x:c r="N365" s="30"/>
      <x:c r="O365" s="30" t="str">
        <x:f>IF(OR(M365="",N365=""),"",IF(N365="WIN",M365*(J365-1),IF(N365="LOSS",-M365,0)))</x:f>
      </x:c>
      <x:c r="P365" s="30"/>
      <x:c r="Q365" s="30" t="str">
        <x:f>IF(OR(J365="",P365=""),"",J365/P365-1)</x:f>
      </x:c>
      <x:c r="R365" s="30" t="str">
        <x:f>IF(O365="","",SUM($O$2:O365))</x:f>
      </x:c>
    </x:row>
    <x:row r="366">
      <x:c r="B366" s="28"/>
      <x:c r="I366" s="32"/>
      <x:c r="J366" s="30"/>
      <x:c r="K366" s="32" t="str">
        <x:f>IF(J366="","",1/J366)</x:f>
      </x:c>
      <x:c r="L366" s="32" t="str">
        <x:f>IF(OR(I366="",K366=""),"",I366-K366)</x:f>
      </x:c>
      <x:c r="M366" s="30"/>
      <x:c r="N366" s="30"/>
      <x:c r="O366" s="30" t="str">
        <x:f>IF(OR(M366="",N366=""),"",IF(N366="WIN",M366*(J366-1),IF(N366="LOSS",-M366,0)))</x:f>
      </x:c>
      <x:c r="P366" s="30"/>
      <x:c r="Q366" s="30" t="str">
        <x:f>IF(OR(J366="",P366=""),"",J366/P366-1)</x:f>
      </x:c>
      <x:c r="R366" s="30" t="str">
        <x:f>IF(O366="","",SUM($O$2:O366))</x:f>
      </x:c>
    </x:row>
    <x:row r="367">
      <x:c r="B367" s="28"/>
      <x:c r="I367" s="32"/>
      <x:c r="J367" s="30"/>
      <x:c r="K367" s="32" t="str">
        <x:f>IF(J367="","",1/J367)</x:f>
      </x:c>
      <x:c r="L367" s="32" t="str">
        <x:f>IF(OR(I367="",K367=""),"",I367-K367)</x:f>
      </x:c>
      <x:c r="M367" s="30"/>
      <x:c r="N367" s="30"/>
      <x:c r="O367" s="30" t="str">
        <x:f>IF(OR(M367="",N367=""),"",IF(N367="WIN",M367*(J367-1),IF(N367="LOSS",-M367,0)))</x:f>
      </x:c>
      <x:c r="P367" s="30"/>
      <x:c r="Q367" s="30" t="str">
        <x:f>IF(OR(J367="",P367=""),"",J367/P367-1)</x:f>
      </x:c>
      <x:c r="R367" s="30" t="str">
        <x:f>IF(O367="","",SUM($O$2:O367))</x:f>
      </x:c>
    </x:row>
    <x:row r="368">
      <x:c r="B368" s="28"/>
      <x:c r="I368" s="32"/>
      <x:c r="J368" s="30"/>
      <x:c r="K368" s="32" t="str">
        <x:f>IF(J368="","",1/J368)</x:f>
      </x:c>
      <x:c r="L368" s="32" t="str">
        <x:f>IF(OR(I368="",K368=""),"",I368-K368)</x:f>
      </x:c>
      <x:c r="M368" s="30"/>
      <x:c r="N368" s="30"/>
      <x:c r="O368" s="30" t="str">
        <x:f>IF(OR(M368="",N368=""),"",IF(N368="WIN",M368*(J368-1),IF(N368="LOSS",-M368,0)))</x:f>
      </x:c>
      <x:c r="P368" s="30"/>
      <x:c r="Q368" s="30" t="str">
        <x:f>IF(OR(J368="",P368=""),"",J368/P368-1)</x:f>
      </x:c>
      <x:c r="R368" s="30" t="str">
        <x:f>IF(O368="","",SUM($O$2:O368))</x:f>
      </x:c>
    </x:row>
    <x:row r="369">
      <x:c r="B369" s="28"/>
      <x:c r="I369" s="32"/>
      <x:c r="J369" s="30"/>
      <x:c r="K369" s="32" t="str">
        <x:f>IF(J369="","",1/J369)</x:f>
      </x:c>
      <x:c r="L369" s="32" t="str">
        <x:f>IF(OR(I369="",K369=""),"",I369-K369)</x:f>
      </x:c>
      <x:c r="M369" s="30"/>
      <x:c r="N369" s="30"/>
      <x:c r="O369" s="30" t="str">
        <x:f>IF(OR(M369="",N369=""),"",IF(N369="WIN",M369*(J369-1),IF(N369="LOSS",-M369,0)))</x:f>
      </x:c>
      <x:c r="P369" s="30"/>
      <x:c r="Q369" s="30" t="str">
        <x:f>IF(OR(J369="",P369=""),"",J369/P369-1)</x:f>
      </x:c>
      <x:c r="R369" s="30" t="str">
        <x:f>IF(O369="","",SUM($O$2:O369))</x:f>
      </x:c>
    </x:row>
    <x:row r="370">
      <x:c r="B370" s="28"/>
      <x:c r="I370" s="32"/>
      <x:c r="J370" s="30"/>
      <x:c r="K370" s="32" t="str">
        <x:f>IF(J370="","",1/J370)</x:f>
      </x:c>
      <x:c r="L370" s="32" t="str">
        <x:f>IF(OR(I370="",K370=""),"",I370-K370)</x:f>
      </x:c>
      <x:c r="M370" s="30"/>
      <x:c r="N370" s="30"/>
      <x:c r="O370" s="30" t="str">
        <x:f>IF(OR(M370="",N370=""),"",IF(N370="WIN",M370*(J370-1),IF(N370="LOSS",-M370,0)))</x:f>
      </x:c>
      <x:c r="P370" s="30"/>
      <x:c r="Q370" s="30" t="str">
        <x:f>IF(OR(J370="",P370=""),"",J370/P370-1)</x:f>
      </x:c>
      <x:c r="R370" s="30" t="str">
        <x:f>IF(O370="","",SUM($O$2:O370))</x:f>
      </x:c>
    </x:row>
    <x:row r="371">
      <x:c r="B371" s="28"/>
      <x:c r="I371" s="32"/>
      <x:c r="J371" s="30"/>
      <x:c r="K371" s="32" t="str">
        <x:f>IF(J371="","",1/J371)</x:f>
      </x:c>
      <x:c r="L371" s="32" t="str">
        <x:f>IF(OR(I371="",K371=""),"",I371-K371)</x:f>
      </x:c>
      <x:c r="M371" s="30"/>
      <x:c r="N371" s="30"/>
      <x:c r="O371" s="30" t="str">
        <x:f>IF(OR(M371="",N371=""),"",IF(N371="WIN",M371*(J371-1),IF(N371="LOSS",-M371,0)))</x:f>
      </x:c>
      <x:c r="P371" s="30"/>
      <x:c r="Q371" s="30" t="str">
        <x:f>IF(OR(J371="",P371=""),"",J371/P371-1)</x:f>
      </x:c>
      <x:c r="R371" s="30" t="str">
        <x:f>IF(O371="","",SUM($O$2:O371))</x:f>
      </x:c>
    </x:row>
    <x:row r="372">
      <x:c r="B372" s="28"/>
      <x:c r="I372" s="32"/>
      <x:c r="J372" s="30"/>
      <x:c r="K372" s="32" t="str">
        <x:f>IF(J372="","",1/J372)</x:f>
      </x:c>
      <x:c r="L372" s="32" t="str">
        <x:f>IF(OR(I372="",K372=""),"",I372-K372)</x:f>
      </x:c>
      <x:c r="M372" s="30"/>
      <x:c r="N372" s="30"/>
      <x:c r="O372" s="30" t="str">
        <x:f>IF(OR(M372="",N372=""),"",IF(N372="WIN",M372*(J372-1),IF(N372="LOSS",-M372,0)))</x:f>
      </x:c>
      <x:c r="P372" s="30"/>
      <x:c r="Q372" s="30" t="str">
        <x:f>IF(OR(J372="",P372=""),"",J372/P372-1)</x:f>
      </x:c>
      <x:c r="R372" s="30" t="str">
        <x:f>IF(O372="","",SUM($O$2:O372))</x:f>
      </x:c>
    </x:row>
    <x:row r="373">
      <x:c r="B373" s="28"/>
      <x:c r="I373" s="32"/>
      <x:c r="J373" s="30"/>
      <x:c r="K373" s="32" t="str">
        <x:f>IF(J373="","",1/J373)</x:f>
      </x:c>
      <x:c r="L373" s="32" t="str">
        <x:f>IF(OR(I373="",K373=""),"",I373-K373)</x:f>
      </x:c>
      <x:c r="M373" s="30"/>
      <x:c r="N373" s="30"/>
      <x:c r="O373" s="30" t="str">
        <x:f>IF(OR(M373="",N373=""),"",IF(N373="WIN",M373*(J373-1),IF(N373="LOSS",-M373,0)))</x:f>
      </x:c>
      <x:c r="P373" s="30"/>
      <x:c r="Q373" s="30" t="str">
        <x:f>IF(OR(J373="",P373=""),"",J373/P373-1)</x:f>
      </x:c>
      <x:c r="R373" s="30" t="str">
        <x:f>IF(O373="","",SUM($O$2:O373))</x:f>
      </x:c>
    </x:row>
    <x:row r="374">
      <x:c r="B374" s="28"/>
      <x:c r="I374" s="32"/>
      <x:c r="J374" s="30"/>
      <x:c r="K374" s="32" t="str">
        <x:f>IF(J374="","",1/J374)</x:f>
      </x:c>
      <x:c r="L374" s="32" t="str">
        <x:f>IF(OR(I374="",K374=""),"",I374-K374)</x:f>
      </x:c>
      <x:c r="M374" s="30"/>
      <x:c r="N374" s="30"/>
      <x:c r="O374" s="30" t="str">
        <x:f>IF(OR(M374="",N374=""),"",IF(N374="WIN",M374*(J374-1),IF(N374="LOSS",-M374,0)))</x:f>
      </x:c>
      <x:c r="P374" s="30"/>
      <x:c r="Q374" s="30" t="str">
        <x:f>IF(OR(J374="",P374=""),"",J374/P374-1)</x:f>
      </x:c>
      <x:c r="R374" s="30" t="str">
        <x:f>IF(O374="","",SUM($O$2:O374))</x:f>
      </x:c>
    </x:row>
    <x:row r="375">
      <x:c r="B375" s="28"/>
      <x:c r="I375" s="32"/>
      <x:c r="J375" s="30"/>
      <x:c r="K375" s="32" t="str">
        <x:f>IF(J375="","",1/J375)</x:f>
      </x:c>
      <x:c r="L375" s="32" t="str">
        <x:f>IF(OR(I375="",K375=""),"",I375-K375)</x:f>
      </x:c>
      <x:c r="M375" s="30"/>
      <x:c r="N375" s="30"/>
      <x:c r="O375" s="30" t="str">
        <x:f>IF(OR(M375="",N375=""),"",IF(N375="WIN",M375*(J375-1),IF(N375="LOSS",-M375,0)))</x:f>
      </x:c>
      <x:c r="P375" s="30"/>
      <x:c r="Q375" s="30" t="str">
        <x:f>IF(OR(J375="",P375=""),"",J375/P375-1)</x:f>
      </x:c>
      <x:c r="R375" s="30" t="str">
        <x:f>IF(O375="","",SUM($O$2:O375))</x:f>
      </x:c>
    </x:row>
    <x:row r="376">
      <x:c r="B376" s="28"/>
      <x:c r="I376" s="32"/>
      <x:c r="J376" s="30"/>
      <x:c r="K376" s="32" t="str">
        <x:f>IF(J376="","",1/J376)</x:f>
      </x:c>
      <x:c r="L376" s="32" t="str">
        <x:f>IF(OR(I376="",K376=""),"",I376-K376)</x:f>
      </x:c>
      <x:c r="M376" s="30"/>
      <x:c r="N376" s="30"/>
      <x:c r="O376" s="30" t="str">
        <x:f>IF(OR(M376="",N376=""),"",IF(N376="WIN",M376*(J376-1),IF(N376="LOSS",-M376,0)))</x:f>
      </x:c>
      <x:c r="P376" s="30"/>
      <x:c r="Q376" s="30" t="str">
        <x:f>IF(OR(J376="",P376=""),"",J376/P376-1)</x:f>
      </x:c>
      <x:c r="R376" s="30" t="str">
        <x:f>IF(O376="","",SUM($O$2:O376))</x:f>
      </x:c>
    </x:row>
    <x:row r="377">
      <x:c r="B377" s="28"/>
      <x:c r="I377" s="32"/>
      <x:c r="J377" s="30"/>
      <x:c r="K377" s="32" t="str">
        <x:f>IF(J377="","",1/J377)</x:f>
      </x:c>
      <x:c r="L377" s="32" t="str">
        <x:f>IF(OR(I377="",K377=""),"",I377-K377)</x:f>
      </x:c>
      <x:c r="M377" s="30"/>
      <x:c r="N377" s="30"/>
      <x:c r="O377" s="30" t="str">
        <x:f>IF(OR(M377="",N377=""),"",IF(N377="WIN",M377*(J377-1),IF(N377="LOSS",-M377,0)))</x:f>
      </x:c>
      <x:c r="P377" s="30"/>
      <x:c r="Q377" s="30" t="str">
        <x:f>IF(OR(J377="",P377=""),"",J377/P377-1)</x:f>
      </x:c>
      <x:c r="R377" s="30" t="str">
        <x:f>IF(O377="","",SUM($O$2:O377))</x:f>
      </x:c>
    </x:row>
    <x:row r="378">
      <x:c r="B378" s="28"/>
      <x:c r="I378" s="32"/>
      <x:c r="J378" s="30"/>
      <x:c r="K378" s="32" t="str">
        <x:f>IF(J378="","",1/J378)</x:f>
      </x:c>
      <x:c r="L378" s="32" t="str">
        <x:f>IF(OR(I378="",K378=""),"",I378-K378)</x:f>
      </x:c>
      <x:c r="M378" s="30"/>
      <x:c r="N378" s="30"/>
      <x:c r="O378" s="30" t="str">
        <x:f>IF(OR(M378="",N378=""),"",IF(N378="WIN",M378*(J378-1),IF(N378="LOSS",-M378,0)))</x:f>
      </x:c>
      <x:c r="P378" s="30"/>
      <x:c r="Q378" s="30" t="str">
        <x:f>IF(OR(J378="",P378=""),"",J378/P378-1)</x:f>
      </x:c>
      <x:c r="R378" s="30" t="str">
        <x:f>IF(O378="","",SUM($O$2:O378))</x:f>
      </x:c>
    </x:row>
    <x:row r="379">
      <x:c r="B379" s="28"/>
      <x:c r="I379" s="32"/>
      <x:c r="J379" s="30"/>
      <x:c r="K379" s="32" t="str">
        <x:f>IF(J379="","",1/J379)</x:f>
      </x:c>
      <x:c r="L379" s="32" t="str">
        <x:f>IF(OR(I379="",K379=""),"",I379-K379)</x:f>
      </x:c>
      <x:c r="M379" s="30"/>
      <x:c r="N379" s="30"/>
      <x:c r="O379" s="30" t="str">
        <x:f>IF(OR(M379="",N379=""),"",IF(N379="WIN",M379*(J379-1),IF(N379="LOSS",-M379,0)))</x:f>
      </x:c>
      <x:c r="P379" s="30"/>
      <x:c r="Q379" s="30" t="str">
        <x:f>IF(OR(J379="",P379=""),"",J379/P379-1)</x:f>
      </x:c>
      <x:c r="R379" s="30" t="str">
        <x:f>IF(O379="","",SUM($O$2:O379))</x:f>
      </x:c>
    </x:row>
    <x:row r="380">
      <x:c r="B380" s="28"/>
      <x:c r="I380" s="32"/>
      <x:c r="J380" s="30"/>
      <x:c r="K380" s="32" t="str">
        <x:f>IF(J380="","",1/J380)</x:f>
      </x:c>
      <x:c r="L380" s="32" t="str">
        <x:f>IF(OR(I380="",K380=""),"",I380-K380)</x:f>
      </x:c>
      <x:c r="M380" s="30"/>
      <x:c r="N380" s="30"/>
      <x:c r="O380" s="30" t="str">
        <x:f>IF(OR(M380="",N380=""),"",IF(N380="WIN",M380*(J380-1),IF(N380="LOSS",-M380,0)))</x:f>
      </x:c>
      <x:c r="P380" s="30"/>
      <x:c r="Q380" s="30" t="str">
        <x:f>IF(OR(J380="",P380=""),"",J380/P380-1)</x:f>
      </x:c>
      <x:c r="R380" s="30" t="str">
        <x:f>IF(O380="","",SUM($O$2:O380))</x:f>
      </x:c>
    </x:row>
    <x:row r="381">
      <x:c r="B381" s="28"/>
      <x:c r="I381" s="32"/>
      <x:c r="J381" s="30"/>
      <x:c r="K381" s="32" t="str">
        <x:f>IF(J381="","",1/J381)</x:f>
      </x:c>
      <x:c r="L381" s="32" t="str">
        <x:f>IF(OR(I381="",K381=""),"",I381-K381)</x:f>
      </x:c>
      <x:c r="M381" s="30"/>
      <x:c r="N381" s="30"/>
      <x:c r="O381" s="30" t="str">
        <x:f>IF(OR(M381="",N381=""),"",IF(N381="WIN",M381*(J381-1),IF(N381="LOSS",-M381,0)))</x:f>
      </x:c>
      <x:c r="P381" s="30"/>
      <x:c r="Q381" s="30" t="str">
        <x:f>IF(OR(J381="",P381=""),"",J381/P381-1)</x:f>
      </x:c>
      <x:c r="R381" s="30" t="str">
        <x:f>IF(O381="","",SUM($O$2:O381))</x:f>
      </x:c>
    </x:row>
    <x:row r="382">
      <x:c r="B382" s="28"/>
      <x:c r="I382" s="32"/>
      <x:c r="J382" s="30"/>
      <x:c r="K382" s="32" t="str">
        <x:f>IF(J382="","",1/J382)</x:f>
      </x:c>
      <x:c r="L382" s="32" t="str">
        <x:f>IF(OR(I382="",K382=""),"",I382-K382)</x:f>
      </x:c>
      <x:c r="M382" s="30"/>
      <x:c r="N382" s="30"/>
      <x:c r="O382" s="30" t="str">
        <x:f>IF(OR(M382="",N382=""),"",IF(N382="WIN",M382*(J382-1),IF(N382="LOSS",-M382,0)))</x:f>
      </x:c>
      <x:c r="P382" s="30"/>
      <x:c r="Q382" s="30" t="str">
        <x:f>IF(OR(J382="",P382=""),"",J382/P382-1)</x:f>
      </x:c>
      <x:c r="R382" s="30" t="str">
        <x:f>IF(O382="","",SUM($O$2:O382))</x:f>
      </x:c>
    </x:row>
    <x:row r="383">
      <x:c r="B383" s="28"/>
      <x:c r="I383" s="32"/>
      <x:c r="J383" s="30"/>
      <x:c r="K383" s="32" t="str">
        <x:f>IF(J383="","",1/J383)</x:f>
      </x:c>
      <x:c r="L383" s="32" t="str">
        <x:f>IF(OR(I383="",K383=""),"",I383-K383)</x:f>
      </x:c>
      <x:c r="M383" s="30"/>
      <x:c r="N383" s="30"/>
      <x:c r="O383" s="30" t="str">
        <x:f>IF(OR(M383="",N383=""),"",IF(N383="WIN",M383*(J383-1),IF(N383="LOSS",-M383,0)))</x:f>
      </x:c>
      <x:c r="P383" s="30"/>
      <x:c r="Q383" s="30" t="str">
        <x:f>IF(OR(J383="",P383=""),"",J383/P383-1)</x:f>
      </x:c>
      <x:c r="R383" s="30" t="str">
        <x:f>IF(O383="","",SUM($O$2:O383))</x:f>
      </x:c>
    </x:row>
    <x:row r="384">
      <x:c r="B384" s="28"/>
      <x:c r="I384" s="32"/>
      <x:c r="J384" s="30"/>
      <x:c r="K384" s="32" t="str">
        <x:f>IF(J384="","",1/J384)</x:f>
      </x:c>
      <x:c r="L384" s="32" t="str">
        <x:f>IF(OR(I384="",K384=""),"",I384-K384)</x:f>
      </x:c>
      <x:c r="M384" s="30"/>
      <x:c r="N384" s="30"/>
      <x:c r="O384" s="30" t="str">
        <x:f>IF(OR(M384="",N384=""),"",IF(N384="WIN",M384*(J384-1),IF(N384="LOSS",-M384,0)))</x:f>
      </x:c>
      <x:c r="P384" s="30"/>
      <x:c r="Q384" s="30" t="str">
        <x:f>IF(OR(J384="",P384=""),"",J384/P384-1)</x:f>
      </x:c>
      <x:c r="R384" s="30" t="str">
        <x:f>IF(O384="","",SUM($O$2:O384))</x:f>
      </x:c>
    </x:row>
    <x:row r="385">
      <x:c r="B385" s="28"/>
      <x:c r="I385" s="32"/>
      <x:c r="J385" s="30"/>
      <x:c r="K385" s="32" t="str">
        <x:f>IF(J385="","",1/J385)</x:f>
      </x:c>
      <x:c r="L385" s="32" t="str">
        <x:f>IF(OR(I385="",K385=""),"",I385-K385)</x:f>
      </x:c>
      <x:c r="M385" s="30"/>
      <x:c r="N385" s="30"/>
      <x:c r="O385" s="30" t="str">
        <x:f>IF(OR(M385="",N385=""),"",IF(N385="WIN",M385*(J385-1),IF(N385="LOSS",-M385,0)))</x:f>
      </x:c>
      <x:c r="P385" s="30"/>
      <x:c r="Q385" s="30" t="str">
        <x:f>IF(OR(J385="",P385=""),"",J385/P385-1)</x:f>
      </x:c>
      <x:c r="R385" s="30" t="str">
        <x:f>IF(O385="","",SUM($O$2:O385))</x:f>
      </x:c>
    </x:row>
    <x:row r="386">
      <x:c r="B386" s="28"/>
      <x:c r="I386" s="32"/>
      <x:c r="J386" s="30"/>
      <x:c r="K386" s="32" t="str">
        <x:f>IF(J386="","",1/J386)</x:f>
      </x:c>
      <x:c r="L386" s="32" t="str">
        <x:f>IF(OR(I386="",K386=""),"",I386-K386)</x:f>
      </x:c>
      <x:c r="M386" s="30"/>
      <x:c r="N386" s="30"/>
      <x:c r="O386" s="30" t="str">
        <x:f>IF(OR(M386="",N386=""),"",IF(N386="WIN",M386*(J386-1),IF(N386="LOSS",-M386,0)))</x:f>
      </x:c>
      <x:c r="P386" s="30"/>
      <x:c r="Q386" s="30" t="str">
        <x:f>IF(OR(J386="",P386=""),"",J386/P386-1)</x:f>
      </x:c>
      <x:c r="R386" s="30" t="str">
        <x:f>IF(O386="","",SUM($O$2:O386))</x:f>
      </x:c>
    </x:row>
    <x:row r="387">
      <x:c r="B387" s="28"/>
      <x:c r="I387" s="32"/>
      <x:c r="J387" s="30"/>
      <x:c r="K387" s="32" t="str">
        <x:f>IF(J387="","",1/J387)</x:f>
      </x:c>
      <x:c r="L387" s="32" t="str">
        <x:f>IF(OR(I387="",K387=""),"",I387-K387)</x:f>
      </x:c>
      <x:c r="M387" s="30"/>
      <x:c r="N387" s="30"/>
      <x:c r="O387" s="30" t="str">
        <x:f>IF(OR(M387="",N387=""),"",IF(N387="WIN",M387*(J387-1),IF(N387="LOSS",-M387,0)))</x:f>
      </x:c>
      <x:c r="P387" s="30"/>
      <x:c r="Q387" s="30" t="str">
        <x:f>IF(OR(J387="",P387=""),"",J387/P387-1)</x:f>
      </x:c>
      <x:c r="R387" s="30" t="str">
        <x:f>IF(O387="","",SUM($O$2:O387))</x:f>
      </x:c>
    </x:row>
    <x:row r="388">
      <x:c r="B388" s="28"/>
      <x:c r="I388" s="32"/>
      <x:c r="J388" s="30"/>
      <x:c r="K388" s="32" t="str">
        <x:f>IF(J388="","",1/J388)</x:f>
      </x:c>
      <x:c r="L388" s="32" t="str">
        <x:f>IF(OR(I388="",K388=""),"",I388-K388)</x:f>
      </x:c>
      <x:c r="M388" s="30"/>
      <x:c r="N388" s="30"/>
      <x:c r="O388" s="30" t="str">
        <x:f>IF(OR(M388="",N388=""),"",IF(N388="WIN",M388*(J388-1),IF(N388="LOSS",-M388,0)))</x:f>
      </x:c>
      <x:c r="P388" s="30"/>
      <x:c r="Q388" s="30" t="str">
        <x:f>IF(OR(J388="",P388=""),"",J388/P388-1)</x:f>
      </x:c>
      <x:c r="R388" s="30" t="str">
        <x:f>IF(O388="","",SUM($O$2:O388))</x:f>
      </x:c>
    </x:row>
    <x:row r="389">
      <x:c r="B389" s="28"/>
      <x:c r="I389" s="32"/>
      <x:c r="J389" s="30"/>
      <x:c r="K389" s="32" t="str">
        <x:f>IF(J389="","",1/J389)</x:f>
      </x:c>
      <x:c r="L389" s="32" t="str">
        <x:f>IF(OR(I389="",K389=""),"",I389-K389)</x:f>
      </x:c>
      <x:c r="M389" s="30"/>
      <x:c r="N389" s="30"/>
      <x:c r="O389" s="30" t="str">
        <x:f>IF(OR(M389="",N389=""),"",IF(N389="WIN",M389*(J389-1),IF(N389="LOSS",-M389,0)))</x:f>
      </x:c>
      <x:c r="P389" s="30"/>
      <x:c r="Q389" s="30" t="str">
        <x:f>IF(OR(J389="",P389=""),"",J389/P389-1)</x:f>
      </x:c>
      <x:c r="R389" s="30" t="str">
        <x:f>IF(O389="","",SUM($O$2:O389))</x:f>
      </x:c>
    </x:row>
    <x:row r="390">
      <x:c r="B390" s="28"/>
      <x:c r="I390" s="32"/>
      <x:c r="J390" s="30"/>
      <x:c r="K390" s="32" t="str">
        <x:f>IF(J390="","",1/J390)</x:f>
      </x:c>
      <x:c r="L390" s="32" t="str">
        <x:f>IF(OR(I390="",K390=""),"",I390-K390)</x:f>
      </x:c>
      <x:c r="M390" s="30"/>
      <x:c r="N390" s="30"/>
      <x:c r="O390" s="30" t="str">
        <x:f>IF(OR(M390="",N390=""),"",IF(N390="WIN",M390*(J390-1),IF(N390="LOSS",-M390,0)))</x:f>
      </x:c>
      <x:c r="P390" s="30"/>
      <x:c r="Q390" s="30" t="str">
        <x:f>IF(OR(J390="",P390=""),"",J390/P390-1)</x:f>
      </x:c>
      <x:c r="R390" s="30" t="str">
        <x:f>IF(O390="","",SUM($O$2:O390))</x:f>
      </x:c>
    </x:row>
    <x:row r="391">
      <x:c r="B391" s="28"/>
      <x:c r="I391" s="32"/>
      <x:c r="J391" s="30"/>
      <x:c r="K391" s="32" t="str">
        <x:f>IF(J391="","",1/J391)</x:f>
      </x:c>
      <x:c r="L391" s="32" t="str">
        <x:f>IF(OR(I391="",K391=""),"",I391-K391)</x:f>
      </x:c>
      <x:c r="M391" s="30"/>
      <x:c r="N391" s="30"/>
      <x:c r="O391" s="30" t="str">
        <x:f>IF(OR(M391="",N391=""),"",IF(N391="WIN",M391*(J391-1),IF(N391="LOSS",-M391,0)))</x:f>
      </x:c>
      <x:c r="P391" s="30"/>
      <x:c r="Q391" s="30" t="str">
        <x:f>IF(OR(J391="",P391=""),"",J391/P391-1)</x:f>
      </x:c>
      <x:c r="R391" s="30" t="str">
        <x:f>IF(O391="","",SUM($O$2:O391))</x:f>
      </x:c>
    </x:row>
    <x:row r="392">
      <x:c r="B392" s="28"/>
      <x:c r="I392" s="32"/>
      <x:c r="J392" s="30"/>
      <x:c r="K392" s="32" t="str">
        <x:f>IF(J392="","",1/J392)</x:f>
      </x:c>
      <x:c r="L392" s="32" t="str">
        <x:f>IF(OR(I392="",K392=""),"",I392-K392)</x:f>
      </x:c>
      <x:c r="M392" s="30"/>
      <x:c r="N392" s="30"/>
      <x:c r="O392" s="30" t="str">
        <x:f>IF(OR(M392="",N392=""),"",IF(N392="WIN",M392*(J392-1),IF(N392="LOSS",-M392,0)))</x:f>
      </x:c>
      <x:c r="P392" s="30"/>
      <x:c r="Q392" s="30" t="str">
        <x:f>IF(OR(J392="",P392=""),"",J392/P392-1)</x:f>
      </x:c>
      <x:c r="R392" s="30" t="str">
        <x:f>IF(O392="","",SUM($O$2:O392))</x:f>
      </x:c>
    </x:row>
    <x:row r="393">
      <x:c r="B393" s="28"/>
      <x:c r="I393" s="32"/>
      <x:c r="J393" s="30"/>
      <x:c r="K393" s="32" t="str">
        <x:f>IF(J393="","",1/J393)</x:f>
      </x:c>
      <x:c r="L393" s="32" t="str">
        <x:f>IF(OR(I393="",K393=""),"",I393-K393)</x:f>
      </x:c>
      <x:c r="M393" s="30"/>
      <x:c r="N393" s="30"/>
      <x:c r="O393" s="30" t="str">
        <x:f>IF(OR(M393="",N393=""),"",IF(N393="WIN",M393*(J393-1),IF(N393="LOSS",-M393,0)))</x:f>
      </x:c>
      <x:c r="P393" s="30"/>
      <x:c r="Q393" s="30" t="str">
        <x:f>IF(OR(J393="",P393=""),"",J393/P393-1)</x:f>
      </x:c>
      <x:c r="R393" s="30" t="str">
        <x:f>IF(O393="","",SUM($O$2:O393))</x:f>
      </x:c>
    </x:row>
    <x:row r="394">
      <x:c r="B394" s="28"/>
      <x:c r="I394" s="32"/>
      <x:c r="J394" s="30"/>
      <x:c r="K394" s="32" t="str">
        <x:f>IF(J394="","",1/J394)</x:f>
      </x:c>
      <x:c r="L394" s="32" t="str">
        <x:f>IF(OR(I394="",K394=""),"",I394-K394)</x:f>
      </x:c>
      <x:c r="M394" s="30"/>
      <x:c r="N394" s="30"/>
      <x:c r="O394" s="30" t="str">
        <x:f>IF(OR(M394="",N394=""),"",IF(N394="WIN",M394*(J394-1),IF(N394="LOSS",-M394,0)))</x:f>
      </x:c>
      <x:c r="P394" s="30"/>
      <x:c r="Q394" s="30" t="str">
        <x:f>IF(OR(J394="",P394=""),"",J394/P394-1)</x:f>
      </x:c>
      <x:c r="R394" s="30" t="str">
        <x:f>IF(O394="","",SUM($O$2:O394))</x:f>
      </x:c>
    </x:row>
    <x:row r="395">
      <x:c r="B395" s="28"/>
      <x:c r="I395" s="32"/>
      <x:c r="J395" s="30"/>
      <x:c r="K395" s="32" t="str">
        <x:f>IF(J395="","",1/J395)</x:f>
      </x:c>
      <x:c r="L395" s="32" t="str">
        <x:f>IF(OR(I395="",K395=""),"",I395-K395)</x:f>
      </x:c>
      <x:c r="M395" s="30"/>
      <x:c r="N395" s="30"/>
      <x:c r="O395" s="30" t="str">
        <x:f>IF(OR(M395="",N395=""),"",IF(N395="WIN",M395*(J395-1),IF(N395="LOSS",-M395,0)))</x:f>
      </x:c>
      <x:c r="P395" s="30"/>
      <x:c r="Q395" s="30" t="str">
        <x:f>IF(OR(J395="",P395=""),"",J395/P395-1)</x:f>
      </x:c>
      <x:c r="R395" s="30" t="str">
        <x:f>IF(O395="","",SUM($O$2:O395))</x:f>
      </x:c>
    </x:row>
    <x:row r="396">
      <x:c r="B396" s="28"/>
      <x:c r="I396" s="32"/>
      <x:c r="J396" s="30"/>
      <x:c r="K396" s="32" t="str">
        <x:f>IF(J396="","",1/J396)</x:f>
      </x:c>
      <x:c r="L396" s="32" t="str">
        <x:f>IF(OR(I396="",K396=""),"",I396-K396)</x:f>
      </x:c>
      <x:c r="M396" s="30"/>
      <x:c r="N396" s="30"/>
      <x:c r="O396" s="30" t="str">
        <x:f>IF(OR(M396="",N396=""),"",IF(N396="WIN",M396*(J396-1),IF(N396="LOSS",-M396,0)))</x:f>
      </x:c>
      <x:c r="P396" s="30"/>
      <x:c r="Q396" s="30" t="str">
        <x:f>IF(OR(J396="",P396=""),"",J396/P396-1)</x:f>
      </x:c>
      <x:c r="R396" s="30" t="str">
        <x:f>IF(O396="","",SUM($O$2:O396))</x:f>
      </x:c>
    </x:row>
    <x:row r="397">
      <x:c r="B397" s="28"/>
      <x:c r="I397" s="32"/>
      <x:c r="J397" s="30"/>
      <x:c r="K397" s="32" t="str">
        <x:f>IF(J397="","",1/J397)</x:f>
      </x:c>
      <x:c r="L397" s="32" t="str">
        <x:f>IF(OR(I397="",K397=""),"",I397-K397)</x:f>
      </x:c>
      <x:c r="M397" s="30"/>
      <x:c r="N397" s="30"/>
      <x:c r="O397" s="30" t="str">
        <x:f>IF(OR(M397="",N397=""),"",IF(N397="WIN",M397*(J397-1),IF(N397="LOSS",-M397,0)))</x:f>
      </x:c>
      <x:c r="P397" s="30"/>
      <x:c r="Q397" s="30" t="str">
        <x:f>IF(OR(J397="",P397=""),"",J397/P397-1)</x:f>
      </x:c>
      <x:c r="R397" s="30" t="str">
        <x:f>IF(O397="","",SUM($O$2:O397))</x:f>
      </x:c>
    </x:row>
    <x:row r="398">
      <x:c r="B398" s="28"/>
      <x:c r="I398" s="32"/>
      <x:c r="J398" s="30"/>
      <x:c r="K398" s="32" t="str">
        <x:f>IF(J398="","",1/J398)</x:f>
      </x:c>
      <x:c r="L398" s="32" t="str">
        <x:f>IF(OR(I398="",K398=""),"",I398-K398)</x:f>
      </x:c>
      <x:c r="M398" s="30"/>
      <x:c r="N398" s="30"/>
      <x:c r="O398" s="30" t="str">
        <x:f>IF(OR(M398="",N398=""),"",IF(N398="WIN",M398*(J398-1),IF(N398="LOSS",-M398,0)))</x:f>
      </x:c>
      <x:c r="P398" s="30"/>
      <x:c r="Q398" s="30" t="str">
        <x:f>IF(OR(J398="",P398=""),"",J398/P398-1)</x:f>
      </x:c>
      <x:c r="R398" s="30" t="str">
        <x:f>IF(O398="","",SUM($O$2:O398))</x:f>
      </x:c>
    </x:row>
    <x:row r="399">
      <x:c r="B399" s="28"/>
      <x:c r="I399" s="32"/>
      <x:c r="J399" s="30"/>
      <x:c r="K399" s="32" t="str">
        <x:f>IF(J399="","",1/J399)</x:f>
      </x:c>
      <x:c r="L399" s="32" t="str">
        <x:f>IF(OR(I399="",K399=""),"",I399-K399)</x:f>
      </x:c>
      <x:c r="M399" s="30"/>
      <x:c r="N399" s="30"/>
      <x:c r="O399" s="30" t="str">
        <x:f>IF(OR(M399="",N399=""),"",IF(N399="WIN",M399*(J399-1),IF(N399="LOSS",-M399,0)))</x:f>
      </x:c>
      <x:c r="P399" s="30"/>
      <x:c r="Q399" s="30" t="str">
        <x:f>IF(OR(J399="",P399=""),"",J399/P399-1)</x:f>
      </x:c>
      <x:c r="R399" s="30" t="str">
        <x:f>IF(O399="","",SUM($O$2:O399))</x:f>
      </x:c>
    </x:row>
    <x:row r="400">
      <x:c r="B400" s="28"/>
      <x:c r="I400" s="32"/>
      <x:c r="J400" s="30"/>
      <x:c r="K400" s="32" t="str">
        <x:f>IF(J400="","",1/J400)</x:f>
      </x:c>
      <x:c r="L400" s="32" t="str">
        <x:f>IF(OR(I400="",K400=""),"",I400-K400)</x:f>
      </x:c>
      <x:c r="M400" s="30"/>
      <x:c r="N400" s="30"/>
      <x:c r="O400" s="30" t="str">
        <x:f>IF(OR(M400="",N400=""),"",IF(N400="WIN",M400*(J400-1),IF(N400="LOSS",-M400,0)))</x:f>
      </x:c>
      <x:c r="P400" s="30"/>
      <x:c r="Q400" s="30" t="str">
        <x:f>IF(OR(J400="",P400=""),"",J400/P400-1)</x:f>
      </x:c>
      <x:c r="R400" s="30" t="str">
        <x:f>IF(O400="","",SUM($O$2:O400))</x:f>
      </x:c>
    </x:row>
    <x:row r="401">
      <x:c r="B401" s="28"/>
      <x:c r="I401" s="32"/>
      <x:c r="J401" s="30"/>
      <x:c r="K401" s="32" t="str">
        <x:f>IF(J401="","",1/J401)</x:f>
      </x:c>
      <x:c r="L401" s="32" t="str">
        <x:f>IF(OR(I401="",K401=""),"",I401-K401)</x:f>
      </x:c>
      <x:c r="M401" s="30"/>
      <x:c r="N401" s="30"/>
      <x:c r="O401" s="30" t="str">
        <x:f>IF(OR(M401="",N401=""),"",IF(N401="WIN",M401*(J401-1),IF(N401="LOSS",-M401,0)))</x:f>
      </x:c>
      <x:c r="P401" s="30"/>
      <x:c r="Q401" s="30" t="str">
        <x:f>IF(OR(J401="",P401=""),"",J401/P401-1)</x:f>
      </x:c>
      <x:c r="R401" s="30" t="str">
        <x:f>IF(O401="","",SUM($O$2:O401))</x:f>
      </x:c>
    </x:row>
    <x:row r="402">
      <x:c r="B402" s="28"/>
      <x:c r="I402" s="32"/>
      <x:c r="J402" s="30"/>
      <x:c r="K402" s="32" t="str">
        <x:f>IF(J402="","",1/J402)</x:f>
      </x:c>
      <x:c r="L402" s="32" t="str">
        <x:f>IF(OR(I402="",K402=""),"",I402-K402)</x:f>
      </x:c>
      <x:c r="M402" s="30"/>
      <x:c r="N402" s="30"/>
      <x:c r="O402" s="30" t="str">
        <x:f>IF(OR(M402="",N402=""),"",IF(N402="WIN",M402*(J402-1),IF(N402="LOSS",-M402,0)))</x:f>
      </x:c>
      <x:c r="P402" s="30"/>
      <x:c r="Q402" s="30" t="str">
        <x:f>IF(OR(J402="",P402=""),"",J402/P402-1)</x:f>
      </x:c>
      <x:c r="R402" s="30" t="str">
        <x:f>IF(O402="","",SUM($O$2:O402))</x:f>
      </x:c>
    </x:row>
    <x:row r="403">
      <x:c r="B403" s="28"/>
      <x:c r="I403" s="32"/>
      <x:c r="J403" s="30"/>
      <x:c r="K403" s="32" t="str">
        <x:f>IF(J403="","",1/J403)</x:f>
      </x:c>
      <x:c r="L403" s="32" t="str">
        <x:f>IF(OR(I403="",K403=""),"",I403-K403)</x:f>
      </x:c>
      <x:c r="M403" s="30"/>
      <x:c r="N403" s="30"/>
      <x:c r="O403" s="30" t="str">
        <x:f>IF(OR(M403="",N403=""),"",IF(N403="WIN",M403*(J403-1),IF(N403="LOSS",-M403,0)))</x:f>
      </x:c>
      <x:c r="P403" s="30"/>
      <x:c r="Q403" s="30" t="str">
        <x:f>IF(OR(J403="",P403=""),"",J403/P403-1)</x:f>
      </x:c>
      <x:c r="R403" s="30" t="str">
        <x:f>IF(O403="","",SUM($O$2:O403))</x:f>
      </x:c>
    </x:row>
    <x:row r="404">
      <x:c r="B404" s="28"/>
      <x:c r="I404" s="32"/>
      <x:c r="J404" s="30"/>
      <x:c r="K404" s="32" t="str">
        <x:f>IF(J404="","",1/J404)</x:f>
      </x:c>
      <x:c r="L404" s="32" t="str">
        <x:f>IF(OR(I404="",K404=""),"",I404-K404)</x:f>
      </x:c>
      <x:c r="M404" s="30"/>
      <x:c r="N404" s="30"/>
      <x:c r="O404" s="30" t="str">
        <x:f>IF(OR(M404="",N404=""),"",IF(N404="WIN",M404*(J404-1),IF(N404="LOSS",-M404,0)))</x:f>
      </x:c>
      <x:c r="P404" s="30"/>
      <x:c r="Q404" s="30" t="str">
        <x:f>IF(OR(J404="",P404=""),"",J404/P404-1)</x:f>
      </x:c>
      <x:c r="R404" s="30" t="str">
        <x:f>IF(O404="","",SUM($O$2:O404))</x:f>
      </x:c>
    </x:row>
    <x:row r="405">
      <x:c r="B405" s="28"/>
      <x:c r="I405" s="32"/>
      <x:c r="J405" s="30"/>
      <x:c r="K405" s="32" t="str">
        <x:f>IF(J405="","",1/J405)</x:f>
      </x:c>
      <x:c r="L405" s="32" t="str">
        <x:f>IF(OR(I405="",K405=""),"",I405-K405)</x:f>
      </x:c>
      <x:c r="M405" s="30"/>
      <x:c r="N405" s="30"/>
      <x:c r="O405" s="30" t="str">
        <x:f>IF(OR(M405="",N405=""),"",IF(N405="WIN",M405*(J405-1),IF(N405="LOSS",-M405,0)))</x:f>
      </x:c>
      <x:c r="P405" s="30"/>
      <x:c r="Q405" s="30" t="str">
        <x:f>IF(OR(J405="",P405=""),"",J405/P405-1)</x:f>
      </x:c>
      <x:c r="R405" s="30" t="str">
        <x:f>IF(O405="","",SUM($O$2:O405))</x:f>
      </x:c>
    </x:row>
    <x:row r="406">
      <x:c r="B406" s="28"/>
      <x:c r="I406" s="32"/>
      <x:c r="J406" s="30"/>
      <x:c r="K406" s="32" t="str">
        <x:f>IF(J406="","",1/J406)</x:f>
      </x:c>
      <x:c r="L406" s="32" t="str">
        <x:f>IF(OR(I406="",K406=""),"",I406-K406)</x:f>
      </x:c>
      <x:c r="M406" s="30"/>
      <x:c r="N406" s="30"/>
      <x:c r="O406" s="30" t="str">
        <x:f>IF(OR(M406="",N406=""),"",IF(N406="WIN",M406*(J406-1),IF(N406="LOSS",-M406,0)))</x:f>
      </x:c>
      <x:c r="P406" s="30"/>
      <x:c r="Q406" s="30" t="str">
        <x:f>IF(OR(J406="",P406=""),"",J406/P406-1)</x:f>
      </x:c>
      <x:c r="R406" s="30" t="str">
        <x:f>IF(O406="","",SUM($O$2:O406))</x:f>
      </x:c>
    </x:row>
    <x:row r="407">
      <x:c r="B407" s="28"/>
      <x:c r="I407" s="32"/>
      <x:c r="J407" s="30"/>
      <x:c r="K407" s="32" t="str">
        <x:f>IF(J407="","",1/J407)</x:f>
      </x:c>
      <x:c r="L407" s="32" t="str">
        <x:f>IF(OR(I407="",K407=""),"",I407-K407)</x:f>
      </x:c>
      <x:c r="M407" s="30"/>
      <x:c r="N407" s="30"/>
      <x:c r="O407" s="30" t="str">
        <x:f>IF(OR(M407="",N407=""),"",IF(N407="WIN",M407*(J407-1),IF(N407="LOSS",-M407,0)))</x:f>
      </x:c>
      <x:c r="P407" s="30"/>
      <x:c r="Q407" s="30" t="str">
        <x:f>IF(OR(J407="",P407=""),"",J407/P407-1)</x:f>
      </x:c>
      <x:c r="R407" s="30" t="str">
        <x:f>IF(O407="","",SUM($O$2:O407))</x:f>
      </x:c>
    </x:row>
    <x:row r="408">
      <x:c r="B408" s="28"/>
      <x:c r="I408" s="32"/>
      <x:c r="J408" s="30"/>
      <x:c r="K408" s="32" t="str">
        <x:f>IF(J408="","",1/J408)</x:f>
      </x:c>
      <x:c r="L408" s="32" t="str">
        <x:f>IF(OR(I408="",K408=""),"",I408-K408)</x:f>
      </x:c>
      <x:c r="M408" s="30"/>
      <x:c r="N408" s="30"/>
      <x:c r="O408" s="30" t="str">
        <x:f>IF(OR(M408="",N408=""),"",IF(N408="WIN",M408*(J408-1),IF(N408="LOSS",-M408,0)))</x:f>
      </x:c>
      <x:c r="P408" s="30"/>
      <x:c r="Q408" s="30" t="str">
        <x:f>IF(OR(J408="",P408=""),"",J408/P408-1)</x:f>
      </x:c>
      <x:c r="R408" s="30" t="str">
        <x:f>IF(O408="","",SUM($O$2:O408))</x:f>
      </x:c>
    </x:row>
    <x:row r="409">
      <x:c r="B409" s="28"/>
      <x:c r="I409" s="32"/>
      <x:c r="J409" s="30"/>
      <x:c r="K409" s="32" t="str">
        <x:f>IF(J409="","",1/J409)</x:f>
      </x:c>
      <x:c r="L409" s="32" t="str">
        <x:f>IF(OR(I409="",K409=""),"",I409-K409)</x:f>
      </x:c>
      <x:c r="M409" s="30"/>
      <x:c r="N409" s="30"/>
      <x:c r="O409" s="30" t="str">
        <x:f>IF(OR(M409="",N409=""),"",IF(N409="WIN",M409*(J409-1),IF(N409="LOSS",-M409,0)))</x:f>
      </x:c>
      <x:c r="P409" s="30"/>
      <x:c r="Q409" s="30" t="str">
        <x:f>IF(OR(J409="",P409=""),"",J409/P409-1)</x:f>
      </x:c>
      <x:c r="R409" s="30" t="str">
        <x:f>IF(O409="","",SUM($O$2:O409))</x:f>
      </x:c>
    </x:row>
    <x:row r="410">
      <x:c r="B410" s="28"/>
      <x:c r="I410" s="32"/>
      <x:c r="J410" s="30"/>
      <x:c r="K410" s="32" t="str">
        <x:f>IF(J410="","",1/J410)</x:f>
      </x:c>
      <x:c r="L410" s="32" t="str">
        <x:f>IF(OR(I410="",K410=""),"",I410-K410)</x:f>
      </x:c>
      <x:c r="M410" s="30"/>
      <x:c r="N410" s="30"/>
      <x:c r="O410" s="30" t="str">
        <x:f>IF(OR(M410="",N410=""),"",IF(N410="WIN",M410*(J410-1),IF(N410="LOSS",-M410,0)))</x:f>
      </x:c>
      <x:c r="P410" s="30"/>
      <x:c r="Q410" s="30" t="str">
        <x:f>IF(OR(J410="",P410=""),"",J410/P410-1)</x:f>
      </x:c>
      <x:c r="R410" s="30" t="str">
        <x:f>IF(O410="","",SUM($O$2:O410))</x:f>
      </x:c>
    </x:row>
    <x:row r="411">
      <x:c r="B411" s="28"/>
      <x:c r="I411" s="32"/>
      <x:c r="J411" s="30"/>
      <x:c r="K411" s="32" t="str">
        <x:f>IF(J411="","",1/J411)</x:f>
      </x:c>
      <x:c r="L411" s="32" t="str">
        <x:f>IF(OR(I411="",K411=""),"",I411-K411)</x:f>
      </x:c>
      <x:c r="M411" s="30"/>
      <x:c r="N411" s="30"/>
      <x:c r="O411" s="30" t="str">
        <x:f>IF(OR(M411="",N411=""),"",IF(N411="WIN",M411*(J411-1),IF(N411="LOSS",-M411,0)))</x:f>
      </x:c>
      <x:c r="P411" s="30"/>
      <x:c r="Q411" s="30" t="str">
        <x:f>IF(OR(J411="",P411=""),"",J411/P411-1)</x:f>
      </x:c>
      <x:c r="R411" s="30" t="str">
        <x:f>IF(O411="","",SUM($O$2:O411))</x:f>
      </x:c>
    </x:row>
    <x:row r="412">
      <x:c r="B412" s="28"/>
      <x:c r="I412" s="32"/>
      <x:c r="J412" s="30"/>
      <x:c r="K412" s="32" t="str">
        <x:f>IF(J412="","",1/J412)</x:f>
      </x:c>
      <x:c r="L412" s="32" t="str">
        <x:f>IF(OR(I412="",K412=""),"",I412-K412)</x:f>
      </x:c>
      <x:c r="M412" s="30"/>
      <x:c r="N412" s="30"/>
      <x:c r="O412" s="30" t="str">
        <x:f>IF(OR(M412="",N412=""),"",IF(N412="WIN",M412*(J412-1),IF(N412="LOSS",-M412,0)))</x:f>
      </x:c>
      <x:c r="P412" s="30"/>
      <x:c r="Q412" s="30" t="str">
        <x:f>IF(OR(J412="",P412=""),"",J412/P412-1)</x:f>
      </x:c>
      <x:c r="R412" s="30" t="str">
        <x:f>IF(O412="","",SUM($O$2:O412))</x:f>
      </x:c>
    </x:row>
    <x:row r="413">
      <x:c r="B413" s="28"/>
      <x:c r="I413" s="32"/>
      <x:c r="J413" s="30"/>
      <x:c r="K413" s="32" t="str">
        <x:f>IF(J413="","",1/J413)</x:f>
      </x:c>
      <x:c r="L413" s="32" t="str">
        <x:f>IF(OR(I413="",K413=""),"",I413-K413)</x:f>
      </x:c>
      <x:c r="M413" s="30"/>
      <x:c r="N413" s="30"/>
      <x:c r="O413" s="30" t="str">
        <x:f>IF(OR(M413="",N413=""),"",IF(N413="WIN",M413*(J413-1),IF(N413="LOSS",-M413,0)))</x:f>
      </x:c>
      <x:c r="P413" s="30"/>
      <x:c r="Q413" s="30" t="str">
        <x:f>IF(OR(J413="",P413=""),"",J413/P413-1)</x:f>
      </x:c>
      <x:c r="R413" s="30" t="str">
        <x:f>IF(O413="","",SUM($O$2:O413))</x:f>
      </x:c>
    </x:row>
    <x:row r="414">
      <x:c r="B414" s="28"/>
      <x:c r="I414" s="32"/>
      <x:c r="J414" s="30"/>
      <x:c r="K414" s="32" t="str">
        <x:f>IF(J414="","",1/J414)</x:f>
      </x:c>
      <x:c r="L414" s="32" t="str">
        <x:f>IF(OR(I414="",K414=""),"",I414-K414)</x:f>
      </x:c>
      <x:c r="M414" s="30"/>
      <x:c r="N414" s="30"/>
      <x:c r="O414" s="30" t="str">
        <x:f>IF(OR(M414="",N414=""),"",IF(N414="WIN",M414*(J414-1),IF(N414="LOSS",-M414,0)))</x:f>
      </x:c>
      <x:c r="P414" s="30"/>
      <x:c r="Q414" s="30" t="str">
        <x:f>IF(OR(J414="",P414=""),"",J414/P414-1)</x:f>
      </x:c>
      <x:c r="R414" s="30" t="str">
        <x:f>IF(O414="","",SUM($O$2:O414))</x:f>
      </x:c>
    </x:row>
    <x:row r="415">
      <x:c r="B415" s="28"/>
      <x:c r="I415" s="32"/>
      <x:c r="J415" s="30"/>
      <x:c r="K415" s="32" t="str">
        <x:f>IF(J415="","",1/J415)</x:f>
      </x:c>
      <x:c r="L415" s="32" t="str">
        <x:f>IF(OR(I415="",K415=""),"",I415-K415)</x:f>
      </x:c>
      <x:c r="M415" s="30"/>
      <x:c r="N415" s="30"/>
      <x:c r="O415" s="30" t="str">
        <x:f>IF(OR(M415="",N415=""),"",IF(N415="WIN",M415*(J415-1),IF(N415="LOSS",-M415,0)))</x:f>
      </x:c>
      <x:c r="P415" s="30"/>
      <x:c r="Q415" s="30" t="str">
        <x:f>IF(OR(J415="",P415=""),"",J415/P415-1)</x:f>
      </x:c>
      <x:c r="R415" s="30" t="str">
        <x:f>IF(O415="","",SUM($O$2:O415))</x:f>
      </x:c>
    </x:row>
    <x:row r="416">
      <x:c r="B416" s="28"/>
      <x:c r="I416" s="32"/>
      <x:c r="J416" s="30"/>
      <x:c r="K416" s="32" t="str">
        <x:f>IF(J416="","",1/J416)</x:f>
      </x:c>
      <x:c r="L416" s="32" t="str">
        <x:f>IF(OR(I416="",K416=""),"",I416-K416)</x:f>
      </x:c>
      <x:c r="M416" s="30"/>
      <x:c r="N416" s="30"/>
      <x:c r="O416" s="30" t="str">
        <x:f>IF(OR(M416="",N416=""),"",IF(N416="WIN",M416*(J416-1),IF(N416="LOSS",-M416,0)))</x:f>
      </x:c>
      <x:c r="P416" s="30"/>
      <x:c r="Q416" s="30" t="str">
        <x:f>IF(OR(J416="",P416=""),"",J416/P416-1)</x:f>
      </x:c>
      <x:c r="R416" s="30" t="str">
        <x:f>IF(O416="","",SUM($O$2:O416))</x:f>
      </x:c>
    </x:row>
    <x:row r="417">
      <x:c r="B417" s="28"/>
      <x:c r="I417" s="32"/>
      <x:c r="J417" s="30"/>
      <x:c r="K417" s="32" t="str">
        <x:f>IF(J417="","",1/J417)</x:f>
      </x:c>
      <x:c r="L417" s="32" t="str">
        <x:f>IF(OR(I417="",K417=""),"",I417-K417)</x:f>
      </x:c>
      <x:c r="M417" s="30"/>
      <x:c r="N417" s="30"/>
      <x:c r="O417" s="30" t="str">
        <x:f>IF(OR(M417="",N417=""),"",IF(N417="WIN",M417*(J417-1),IF(N417="LOSS",-M417,0)))</x:f>
      </x:c>
      <x:c r="P417" s="30"/>
      <x:c r="Q417" s="30" t="str">
        <x:f>IF(OR(J417="",P417=""),"",J417/P417-1)</x:f>
      </x:c>
      <x:c r="R417" s="30" t="str">
        <x:f>IF(O417="","",SUM($O$2:O417))</x:f>
      </x:c>
    </x:row>
    <x:row r="418">
      <x:c r="B418" s="28"/>
      <x:c r="I418" s="32"/>
      <x:c r="J418" s="30"/>
      <x:c r="K418" s="32" t="str">
        <x:f>IF(J418="","",1/J418)</x:f>
      </x:c>
      <x:c r="L418" s="32" t="str">
        <x:f>IF(OR(I418="",K418=""),"",I418-K418)</x:f>
      </x:c>
      <x:c r="M418" s="30"/>
      <x:c r="N418" s="30"/>
      <x:c r="O418" s="30" t="str">
        <x:f>IF(OR(M418="",N418=""),"",IF(N418="WIN",M418*(J418-1),IF(N418="LOSS",-M418,0)))</x:f>
      </x:c>
      <x:c r="P418" s="30"/>
      <x:c r="Q418" s="30" t="str">
        <x:f>IF(OR(J418="",P418=""),"",J418/P418-1)</x:f>
      </x:c>
      <x:c r="R418" s="30" t="str">
        <x:f>IF(O418="","",SUM($O$2:O418))</x:f>
      </x:c>
    </x:row>
    <x:row r="419">
      <x:c r="B419" s="28"/>
      <x:c r="I419" s="32"/>
      <x:c r="J419" s="30"/>
      <x:c r="K419" s="32" t="str">
        <x:f>IF(J419="","",1/J419)</x:f>
      </x:c>
      <x:c r="L419" s="32" t="str">
        <x:f>IF(OR(I419="",K419=""),"",I419-K419)</x:f>
      </x:c>
      <x:c r="M419" s="30"/>
      <x:c r="N419" s="30"/>
      <x:c r="O419" s="30" t="str">
        <x:f>IF(OR(M419="",N419=""),"",IF(N419="WIN",M419*(J419-1),IF(N419="LOSS",-M419,0)))</x:f>
      </x:c>
      <x:c r="P419" s="30"/>
      <x:c r="Q419" s="30" t="str">
        <x:f>IF(OR(J419="",P419=""),"",J419/P419-1)</x:f>
      </x:c>
      <x:c r="R419" s="30" t="str">
        <x:f>IF(O419="","",SUM($O$2:O419))</x:f>
      </x:c>
    </x:row>
    <x:row r="420">
      <x:c r="B420" s="28"/>
      <x:c r="I420" s="32"/>
      <x:c r="J420" s="30"/>
      <x:c r="K420" s="32" t="str">
        <x:f>IF(J420="","",1/J420)</x:f>
      </x:c>
      <x:c r="L420" s="32" t="str">
        <x:f>IF(OR(I420="",K420=""),"",I420-K420)</x:f>
      </x:c>
      <x:c r="M420" s="30"/>
      <x:c r="N420" s="30"/>
      <x:c r="O420" s="30" t="str">
        <x:f>IF(OR(M420="",N420=""),"",IF(N420="WIN",M420*(J420-1),IF(N420="LOSS",-M420,0)))</x:f>
      </x:c>
      <x:c r="P420" s="30"/>
      <x:c r="Q420" s="30" t="str">
        <x:f>IF(OR(J420="",P420=""),"",J420/P420-1)</x:f>
      </x:c>
      <x:c r="R420" s="30" t="str">
        <x:f>IF(O420="","",SUM($O$2:O420))</x:f>
      </x:c>
    </x:row>
    <x:row r="421">
      <x:c r="B421" s="28"/>
      <x:c r="I421" s="32"/>
      <x:c r="J421" s="30"/>
      <x:c r="K421" s="32" t="str">
        <x:f>IF(J421="","",1/J421)</x:f>
      </x:c>
      <x:c r="L421" s="32" t="str">
        <x:f>IF(OR(I421="",K421=""),"",I421-K421)</x:f>
      </x:c>
      <x:c r="M421" s="30"/>
      <x:c r="N421" s="30"/>
      <x:c r="O421" s="30" t="str">
        <x:f>IF(OR(M421="",N421=""),"",IF(N421="WIN",M421*(J421-1),IF(N421="LOSS",-M421,0)))</x:f>
      </x:c>
      <x:c r="P421" s="30"/>
      <x:c r="Q421" s="30" t="str">
        <x:f>IF(OR(J421="",P421=""),"",J421/P421-1)</x:f>
      </x:c>
      <x:c r="R421" s="30" t="str">
        <x:f>IF(O421="","",SUM($O$2:O421))</x:f>
      </x:c>
    </x:row>
    <x:row r="422">
      <x:c r="B422" s="28"/>
      <x:c r="I422" s="32"/>
      <x:c r="J422" s="30"/>
      <x:c r="K422" s="32" t="str">
        <x:f>IF(J422="","",1/J422)</x:f>
      </x:c>
      <x:c r="L422" s="32" t="str">
        <x:f>IF(OR(I422="",K422=""),"",I422-K422)</x:f>
      </x:c>
      <x:c r="M422" s="30"/>
      <x:c r="N422" s="30"/>
      <x:c r="O422" s="30" t="str">
        <x:f>IF(OR(M422="",N422=""),"",IF(N422="WIN",M422*(J422-1),IF(N422="LOSS",-M422,0)))</x:f>
      </x:c>
      <x:c r="P422" s="30"/>
      <x:c r="Q422" s="30" t="str">
        <x:f>IF(OR(J422="",P422=""),"",J422/P422-1)</x:f>
      </x:c>
      <x:c r="R422" s="30" t="str">
        <x:f>IF(O422="","",SUM($O$2:O422))</x:f>
      </x:c>
    </x:row>
    <x:row r="423">
      <x:c r="B423" s="28"/>
      <x:c r="I423" s="32"/>
      <x:c r="J423" s="30"/>
      <x:c r="K423" s="32" t="str">
        <x:f>IF(J423="","",1/J423)</x:f>
      </x:c>
      <x:c r="L423" s="32" t="str">
        <x:f>IF(OR(I423="",K423=""),"",I423-K423)</x:f>
      </x:c>
      <x:c r="M423" s="30"/>
      <x:c r="N423" s="30"/>
      <x:c r="O423" s="30" t="str">
        <x:f>IF(OR(M423="",N423=""),"",IF(N423="WIN",M423*(J423-1),IF(N423="LOSS",-M423,0)))</x:f>
      </x:c>
      <x:c r="P423" s="30"/>
      <x:c r="Q423" s="30" t="str">
        <x:f>IF(OR(J423="",P423=""),"",J423/P423-1)</x:f>
      </x:c>
      <x:c r="R423" s="30" t="str">
        <x:f>IF(O423="","",SUM($O$2:O423))</x:f>
      </x:c>
    </x:row>
    <x:row r="424">
      <x:c r="B424" s="28"/>
      <x:c r="I424" s="32"/>
      <x:c r="J424" s="30"/>
      <x:c r="K424" s="32" t="str">
        <x:f>IF(J424="","",1/J424)</x:f>
      </x:c>
      <x:c r="L424" s="32" t="str">
        <x:f>IF(OR(I424="",K424=""),"",I424-K424)</x:f>
      </x:c>
      <x:c r="M424" s="30"/>
      <x:c r="N424" s="30"/>
      <x:c r="O424" s="30" t="str">
        <x:f>IF(OR(M424="",N424=""),"",IF(N424="WIN",M424*(J424-1),IF(N424="LOSS",-M424,0)))</x:f>
      </x:c>
      <x:c r="P424" s="30"/>
      <x:c r="Q424" s="30" t="str">
        <x:f>IF(OR(J424="",P424=""),"",J424/P424-1)</x:f>
      </x:c>
      <x:c r="R424" s="30" t="str">
        <x:f>IF(O424="","",SUM($O$2:O424))</x:f>
      </x:c>
    </x:row>
    <x:row r="425">
      <x:c r="B425" s="28"/>
      <x:c r="I425" s="32"/>
      <x:c r="J425" s="30"/>
      <x:c r="K425" s="32" t="str">
        <x:f>IF(J425="","",1/J425)</x:f>
      </x:c>
      <x:c r="L425" s="32" t="str">
        <x:f>IF(OR(I425="",K425=""),"",I425-K425)</x:f>
      </x:c>
      <x:c r="M425" s="30"/>
      <x:c r="N425" s="30"/>
      <x:c r="O425" s="30" t="str">
        <x:f>IF(OR(M425="",N425=""),"",IF(N425="WIN",M425*(J425-1),IF(N425="LOSS",-M425,0)))</x:f>
      </x:c>
      <x:c r="P425" s="30"/>
      <x:c r="Q425" s="30" t="str">
        <x:f>IF(OR(J425="",P425=""),"",J425/P425-1)</x:f>
      </x:c>
      <x:c r="R425" s="30" t="str">
        <x:f>IF(O425="","",SUM($O$2:O425))</x:f>
      </x:c>
    </x:row>
    <x:row r="426">
      <x:c r="B426" s="28"/>
      <x:c r="I426" s="32"/>
      <x:c r="J426" s="30"/>
      <x:c r="K426" s="32" t="str">
        <x:f>IF(J426="","",1/J426)</x:f>
      </x:c>
      <x:c r="L426" s="32" t="str">
        <x:f>IF(OR(I426="",K426=""),"",I426-K426)</x:f>
      </x:c>
      <x:c r="M426" s="30"/>
      <x:c r="N426" s="30"/>
      <x:c r="O426" s="30" t="str">
        <x:f>IF(OR(M426="",N426=""),"",IF(N426="WIN",M426*(J426-1),IF(N426="LOSS",-M426,0)))</x:f>
      </x:c>
      <x:c r="P426" s="30"/>
      <x:c r="Q426" s="30" t="str">
        <x:f>IF(OR(J426="",P426=""),"",J426/P426-1)</x:f>
      </x:c>
      <x:c r="R426" s="30" t="str">
        <x:f>IF(O426="","",SUM($O$2:O426))</x:f>
      </x:c>
    </x:row>
    <x:row r="427">
      <x:c r="B427" s="28"/>
      <x:c r="I427" s="32"/>
      <x:c r="J427" s="30"/>
      <x:c r="K427" s="32" t="str">
        <x:f>IF(J427="","",1/J427)</x:f>
      </x:c>
      <x:c r="L427" s="32" t="str">
        <x:f>IF(OR(I427="",K427=""),"",I427-K427)</x:f>
      </x:c>
      <x:c r="M427" s="30"/>
      <x:c r="N427" s="30"/>
      <x:c r="O427" s="30" t="str">
        <x:f>IF(OR(M427="",N427=""),"",IF(N427="WIN",M427*(J427-1),IF(N427="LOSS",-M427,0)))</x:f>
      </x:c>
      <x:c r="P427" s="30"/>
      <x:c r="Q427" s="30" t="str">
        <x:f>IF(OR(J427="",P427=""),"",J427/P427-1)</x:f>
      </x:c>
      <x:c r="R427" s="30" t="str">
        <x:f>IF(O427="","",SUM($O$2:O427))</x:f>
      </x:c>
    </x:row>
    <x:row r="428">
      <x:c r="B428" s="28"/>
      <x:c r="I428" s="32"/>
      <x:c r="J428" s="30"/>
      <x:c r="K428" s="32" t="str">
        <x:f>IF(J428="","",1/J428)</x:f>
      </x:c>
      <x:c r="L428" s="32" t="str">
        <x:f>IF(OR(I428="",K428=""),"",I428-K428)</x:f>
      </x:c>
      <x:c r="M428" s="30"/>
      <x:c r="N428" s="30"/>
      <x:c r="O428" s="30" t="str">
        <x:f>IF(OR(M428="",N428=""),"",IF(N428="WIN",M428*(J428-1),IF(N428="LOSS",-M428,0)))</x:f>
      </x:c>
      <x:c r="P428" s="30"/>
      <x:c r="Q428" s="30" t="str">
        <x:f>IF(OR(J428="",P428=""),"",J428/P428-1)</x:f>
      </x:c>
      <x:c r="R428" s="30" t="str">
        <x:f>IF(O428="","",SUM($O$2:O428))</x:f>
      </x:c>
    </x:row>
    <x:row r="429">
      <x:c r="B429" s="28"/>
      <x:c r="I429" s="32"/>
      <x:c r="J429" s="30"/>
      <x:c r="K429" s="32" t="str">
        <x:f>IF(J429="","",1/J429)</x:f>
      </x:c>
      <x:c r="L429" s="32" t="str">
        <x:f>IF(OR(I429="",K429=""),"",I429-K429)</x:f>
      </x:c>
      <x:c r="M429" s="30"/>
      <x:c r="N429" s="30"/>
      <x:c r="O429" s="30" t="str">
        <x:f>IF(OR(M429="",N429=""),"",IF(N429="WIN",M429*(J429-1),IF(N429="LOSS",-M429,0)))</x:f>
      </x:c>
      <x:c r="P429" s="30"/>
      <x:c r="Q429" s="30" t="str">
        <x:f>IF(OR(J429="",P429=""),"",J429/P429-1)</x:f>
      </x:c>
      <x:c r="R429" s="30" t="str">
        <x:f>IF(O429="","",SUM($O$2:O429))</x:f>
      </x:c>
    </x:row>
    <x:row r="430">
      <x:c r="B430" s="28"/>
      <x:c r="I430" s="32"/>
      <x:c r="J430" s="30"/>
      <x:c r="K430" s="32" t="str">
        <x:f>IF(J430="","",1/J430)</x:f>
      </x:c>
      <x:c r="L430" s="32" t="str">
        <x:f>IF(OR(I430="",K430=""),"",I430-K430)</x:f>
      </x:c>
      <x:c r="M430" s="30"/>
      <x:c r="N430" s="30"/>
      <x:c r="O430" s="30" t="str">
        <x:f>IF(OR(M430="",N430=""),"",IF(N430="WIN",M430*(J430-1),IF(N430="LOSS",-M430,0)))</x:f>
      </x:c>
      <x:c r="P430" s="30"/>
      <x:c r="Q430" s="30" t="str">
        <x:f>IF(OR(J430="",P430=""),"",J430/P430-1)</x:f>
      </x:c>
      <x:c r="R430" s="30" t="str">
        <x:f>IF(O430="","",SUM($O$2:O430))</x:f>
      </x:c>
    </x:row>
    <x:row r="431">
      <x:c r="B431" s="28"/>
      <x:c r="I431" s="32"/>
      <x:c r="J431" s="30"/>
      <x:c r="K431" s="32" t="str">
        <x:f>IF(J431="","",1/J431)</x:f>
      </x:c>
      <x:c r="L431" s="32" t="str">
        <x:f>IF(OR(I431="",K431=""),"",I431-K431)</x:f>
      </x:c>
      <x:c r="M431" s="30"/>
      <x:c r="N431" s="30"/>
      <x:c r="O431" s="30" t="str">
        <x:f>IF(OR(M431="",N431=""),"",IF(N431="WIN",M431*(J431-1),IF(N431="LOSS",-M431,0)))</x:f>
      </x:c>
      <x:c r="P431" s="30"/>
      <x:c r="Q431" s="30" t="str">
        <x:f>IF(OR(J431="",P431=""),"",J431/P431-1)</x:f>
      </x:c>
      <x:c r="R431" s="30" t="str">
        <x:f>IF(O431="","",SUM($O$2:O431))</x:f>
      </x:c>
    </x:row>
    <x:row r="432">
      <x:c r="B432" s="28"/>
      <x:c r="I432" s="32"/>
      <x:c r="J432" s="30"/>
      <x:c r="K432" s="32" t="str">
        <x:f>IF(J432="","",1/J432)</x:f>
      </x:c>
      <x:c r="L432" s="32" t="str">
        <x:f>IF(OR(I432="",K432=""),"",I432-K432)</x:f>
      </x:c>
      <x:c r="M432" s="30"/>
      <x:c r="N432" s="30"/>
      <x:c r="O432" s="30" t="str">
        <x:f>IF(OR(M432="",N432=""),"",IF(N432="WIN",M432*(J432-1),IF(N432="LOSS",-M432,0)))</x:f>
      </x:c>
      <x:c r="P432" s="30"/>
      <x:c r="Q432" s="30" t="str">
        <x:f>IF(OR(J432="",P432=""),"",J432/P432-1)</x:f>
      </x:c>
      <x:c r="R432" s="30" t="str">
        <x:f>IF(O432="","",SUM($O$2:O432))</x:f>
      </x:c>
    </x:row>
    <x:row r="433">
      <x:c r="B433" s="28"/>
      <x:c r="I433" s="32"/>
      <x:c r="J433" s="30"/>
      <x:c r="K433" s="32" t="str">
        <x:f>IF(J433="","",1/J433)</x:f>
      </x:c>
      <x:c r="L433" s="32" t="str">
        <x:f>IF(OR(I433="",K433=""),"",I433-K433)</x:f>
      </x:c>
      <x:c r="M433" s="30"/>
      <x:c r="N433" s="30"/>
      <x:c r="O433" s="30" t="str">
        <x:f>IF(OR(M433="",N433=""),"",IF(N433="WIN",M433*(J433-1),IF(N433="LOSS",-M433,0)))</x:f>
      </x:c>
      <x:c r="P433" s="30"/>
      <x:c r="Q433" s="30" t="str">
        <x:f>IF(OR(J433="",P433=""),"",J433/P433-1)</x:f>
      </x:c>
      <x:c r="R433" s="30" t="str">
        <x:f>IF(O433="","",SUM($O$2:O433))</x:f>
      </x:c>
    </x:row>
    <x:row r="434">
      <x:c r="B434" s="28"/>
      <x:c r="I434" s="32"/>
      <x:c r="J434" s="30"/>
      <x:c r="K434" s="32" t="str">
        <x:f>IF(J434="","",1/J434)</x:f>
      </x:c>
      <x:c r="L434" s="32" t="str">
        <x:f>IF(OR(I434="",K434=""),"",I434-K434)</x:f>
      </x:c>
      <x:c r="M434" s="30"/>
      <x:c r="N434" s="30"/>
      <x:c r="O434" s="30" t="str">
        <x:f>IF(OR(M434="",N434=""),"",IF(N434="WIN",M434*(J434-1),IF(N434="LOSS",-M434,0)))</x:f>
      </x:c>
      <x:c r="P434" s="30"/>
      <x:c r="Q434" s="30" t="str">
        <x:f>IF(OR(J434="",P434=""),"",J434/P434-1)</x:f>
      </x:c>
      <x:c r="R434" s="30" t="str">
        <x:f>IF(O434="","",SUM($O$2:O434))</x:f>
      </x:c>
    </x:row>
    <x:row r="435">
      <x:c r="B435" s="28"/>
      <x:c r="I435" s="32"/>
      <x:c r="J435" s="30"/>
      <x:c r="K435" s="32" t="str">
        <x:f>IF(J435="","",1/J435)</x:f>
      </x:c>
      <x:c r="L435" s="32" t="str">
        <x:f>IF(OR(I435="",K435=""),"",I435-K435)</x:f>
      </x:c>
      <x:c r="M435" s="30"/>
      <x:c r="N435" s="30"/>
      <x:c r="O435" s="30" t="str">
        <x:f>IF(OR(M435="",N435=""),"",IF(N435="WIN",M435*(J435-1),IF(N435="LOSS",-M435,0)))</x:f>
      </x:c>
      <x:c r="P435" s="30"/>
      <x:c r="Q435" s="30" t="str">
        <x:f>IF(OR(J435="",P435=""),"",J435/P435-1)</x:f>
      </x:c>
      <x:c r="R435" s="30" t="str">
        <x:f>IF(O435="","",SUM($O$2:O435))</x:f>
      </x:c>
    </x:row>
    <x:row r="436">
      <x:c r="B436" s="28"/>
      <x:c r="I436" s="32"/>
      <x:c r="J436" s="30"/>
      <x:c r="K436" s="32" t="str">
        <x:f>IF(J436="","",1/J436)</x:f>
      </x:c>
      <x:c r="L436" s="32" t="str">
        <x:f>IF(OR(I436="",K436=""),"",I436-K436)</x:f>
      </x:c>
      <x:c r="M436" s="30"/>
      <x:c r="N436" s="30"/>
      <x:c r="O436" s="30" t="str">
        <x:f>IF(OR(M436="",N436=""),"",IF(N436="WIN",M436*(J436-1),IF(N436="LOSS",-M436,0)))</x:f>
      </x:c>
      <x:c r="P436" s="30"/>
      <x:c r="Q436" s="30" t="str">
        <x:f>IF(OR(J436="",P436=""),"",J436/P436-1)</x:f>
      </x:c>
      <x:c r="R436" s="30" t="str">
        <x:f>IF(O436="","",SUM($O$2:O436))</x:f>
      </x:c>
    </x:row>
    <x:row r="437">
      <x:c r="B437" s="28"/>
      <x:c r="I437" s="32"/>
      <x:c r="J437" s="30"/>
      <x:c r="K437" s="32" t="str">
        <x:f>IF(J437="","",1/J437)</x:f>
      </x:c>
      <x:c r="L437" s="32" t="str">
        <x:f>IF(OR(I437="",K437=""),"",I437-K437)</x:f>
      </x:c>
      <x:c r="M437" s="30"/>
      <x:c r="N437" s="30"/>
      <x:c r="O437" s="30" t="str">
        <x:f>IF(OR(M437="",N437=""),"",IF(N437="WIN",M437*(J437-1),IF(N437="LOSS",-M437,0)))</x:f>
      </x:c>
      <x:c r="P437" s="30"/>
      <x:c r="Q437" s="30" t="str">
        <x:f>IF(OR(J437="",P437=""),"",J437/P437-1)</x:f>
      </x:c>
      <x:c r="R437" s="30" t="str">
        <x:f>IF(O437="","",SUM($O$2:O437))</x:f>
      </x:c>
    </x:row>
    <x:row r="438">
      <x:c r="B438" s="28"/>
      <x:c r="I438" s="32"/>
      <x:c r="J438" s="30"/>
      <x:c r="K438" s="32" t="str">
        <x:f>IF(J438="","",1/J438)</x:f>
      </x:c>
      <x:c r="L438" s="32" t="str">
        <x:f>IF(OR(I438="",K438=""),"",I438-K438)</x:f>
      </x:c>
      <x:c r="M438" s="30"/>
      <x:c r="N438" s="30"/>
      <x:c r="O438" s="30" t="str">
        <x:f>IF(OR(M438="",N438=""),"",IF(N438="WIN",M438*(J438-1),IF(N438="LOSS",-M438,0)))</x:f>
      </x:c>
      <x:c r="P438" s="30"/>
      <x:c r="Q438" s="30" t="str">
        <x:f>IF(OR(J438="",P438=""),"",J438/P438-1)</x:f>
      </x:c>
      <x:c r="R438" s="30" t="str">
        <x:f>IF(O438="","",SUM($O$2:O438))</x:f>
      </x:c>
    </x:row>
    <x:row r="439">
      <x:c r="B439" s="28"/>
      <x:c r="I439" s="32"/>
      <x:c r="J439" s="30"/>
      <x:c r="K439" s="32" t="str">
        <x:f>IF(J439="","",1/J439)</x:f>
      </x:c>
      <x:c r="L439" s="32" t="str">
        <x:f>IF(OR(I439="",K439=""),"",I439-K439)</x:f>
      </x:c>
      <x:c r="M439" s="30"/>
      <x:c r="N439" s="30"/>
      <x:c r="O439" s="30" t="str">
        <x:f>IF(OR(M439="",N439=""),"",IF(N439="WIN",M439*(J439-1),IF(N439="LOSS",-M439,0)))</x:f>
      </x:c>
      <x:c r="P439" s="30"/>
      <x:c r="Q439" s="30" t="str">
        <x:f>IF(OR(J439="",P439=""),"",J439/P439-1)</x:f>
      </x:c>
      <x:c r="R439" s="30" t="str">
        <x:f>IF(O439="","",SUM($O$2:O439))</x:f>
      </x:c>
    </x:row>
    <x:row r="440">
      <x:c r="B440" s="28"/>
      <x:c r="I440" s="32"/>
      <x:c r="J440" s="30"/>
      <x:c r="K440" s="32" t="str">
        <x:f>IF(J440="","",1/J440)</x:f>
      </x:c>
      <x:c r="L440" s="32" t="str">
        <x:f>IF(OR(I440="",K440=""),"",I440-K440)</x:f>
      </x:c>
      <x:c r="M440" s="30"/>
      <x:c r="N440" s="30"/>
      <x:c r="O440" s="30" t="str">
        <x:f>IF(OR(M440="",N440=""),"",IF(N440="WIN",M440*(J440-1),IF(N440="LOSS",-M440,0)))</x:f>
      </x:c>
      <x:c r="P440" s="30"/>
      <x:c r="Q440" s="30" t="str">
        <x:f>IF(OR(J440="",P440=""),"",J440/P440-1)</x:f>
      </x:c>
      <x:c r="R440" s="30" t="str">
        <x:f>IF(O440="","",SUM($O$2:O440))</x:f>
      </x:c>
    </x:row>
    <x:row r="441">
      <x:c r="B441" s="28"/>
      <x:c r="I441" s="32"/>
      <x:c r="J441" s="30"/>
      <x:c r="K441" s="32" t="str">
        <x:f>IF(J441="","",1/J441)</x:f>
      </x:c>
      <x:c r="L441" s="32" t="str">
        <x:f>IF(OR(I441="",K441=""),"",I441-K441)</x:f>
      </x:c>
      <x:c r="M441" s="30"/>
      <x:c r="N441" s="30"/>
      <x:c r="O441" s="30" t="str">
        <x:f>IF(OR(M441="",N441=""),"",IF(N441="WIN",M441*(J441-1),IF(N441="LOSS",-M441,0)))</x:f>
      </x:c>
      <x:c r="P441" s="30"/>
      <x:c r="Q441" s="30" t="str">
        <x:f>IF(OR(J441="",P441=""),"",J441/P441-1)</x:f>
      </x:c>
      <x:c r="R441" s="30" t="str">
        <x:f>IF(O441="","",SUM($O$2:O441))</x:f>
      </x:c>
    </x:row>
    <x:row r="442">
      <x:c r="B442" s="28"/>
      <x:c r="I442" s="32"/>
      <x:c r="J442" s="30"/>
      <x:c r="K442" s="32" t="str">
        <x:f>IF(J442="","",1/J442)</x:f>
      </x:c>
      <x:c r="L442" s="32" t="str">
        <x:f>IF(OR(I442="",K442=""),"",I442-K442)</x:f>
      </x:c>
      <x:c r="M442" s="30"/>
      <x:c r="N442" s="30"/>
      <x:c r="O442" s="30" t="str">
        <x:f>IF(OR(M442="",N442=""),"",IF(N442="WIN",M442*(J442-1),IF(N442="LOSS",-M442,0)))</x:f>
      </x:c>
      <x:c r="P442" s="30"/>
      <x:c r="Q442" s="30" t="str">
        <x:f>IF(OR(J442="",P442=""),"",J442/P442-1)</x:f>
      </x:c>
      <x:c r="R442" s="30" t="str">
        <x:f>IF(O442="","",SUM($O$2:O442))</x:f>
      </x:c>
    </x:row>
    <x:row r="443">
      <x:c r="B443" s="28"/>
      <x:c r="I443" s="32"/>
      <x:c r="J443" s="30"/>
      <x:c r="K443" s="32" t="str">
        <x:f>IF(J443="","",1/J443)</x:f>
      </x:c>
      <x:c r="L443" s="32" t="str">
        <x:f>IF(OR(I443="",K443=""),"",I443-K443)</x:f>
      </x:c>
      <x:c r="M443" s="30"/>
      <x:c r="N443" s="30"/>
      <x:c r="O443" s="30" t="str">
        <x:f>IF(OR(M443="",N443=""),"",IF(N443="WIN",M443*(J443-1),IF(N443="LOSS",-M443,0)))</x:f>
      </x:c>
      <x:c r="P443" s="30"/>
      <x:c r="Q443" s="30" t="str">
        <x:f>IF(OR(J443="",P443=""),"",J443/P443-1)</x:f>
      </x:c>
      <x:c r="R443" s="30" t="str">
        <x:f>IF(O443="","",SUM($O$2:O443))</x:f>
      </x:c>
    </x:row>
    <x:row r="444">
      <x:c r="B444" s="28"/>
      <x:c r="I444" s="32"/>
      <x:c r="J444" s="30"/>
      <x:c r="K444" s="32" t="str">
        <x:f>IF(J444="","",1/J444)</x:f>
      </x:c>
      <x:c r="L444" s="32" t="str">
        <x:f>IF(OR(I444="",K444=""),"",I444-K444)</x:f>
      </x:c>
      <x:c r="M444" s="30"/>
      <x:c r="N444" s="30"/>
      <x:c r="O444" s="30" t="str">
        <x:f>IF(OR(M444="",N444=""),"",IF(N444="WIN",M444*(J444-1),IF(N444="LOSS",-M444,0)))</x:f>
      </x:c>
      <x:c r="P444" s="30"/>
      <x:c r="Q444" s="30" t="str">
        <x:f>IF(OR(J444="",P444=""),"",J444/P444-1)</x:f>
      </x:c>
      <x:c r="R444" s="30" t="str">
        <x:f>IF(O444="","",SUM($O$2:O444))</x:f>
      </x:c>
    </x:row>
    <x:row r="445">
      <x:c r="B445" s="28"/>
      <x:c r="I445" s="32"/>
      <x:c r="J445" s="30"/>
      <x:c r="K445" s="32" t="str">
        <x:f>IF(J445="","",1/J445)</x:f>
      </x:c>
      <x:c r="L445" s="32" t="str">
        <x:f>IF(OR(I445="",K445=""),"",I445-K445)</x:f>
      </x:c>
      <x:c r="M445" s="30"/>
      <x:c r="N445" s="30"/>
      <x:c r="O445" s="30" t="str">
        <x:f>IF(OR(M445="",N445=""),"",IF(N445="WIN",M445*(J445-1),IF(N445="LOSS",-M445,0)))</x:f>
      </x:c>
      <x:c r="P445" s="30"/>
      <x:c r="Q445" s="30" t="str">
        <x:f>IF(OR(J445="",P445=""),"",J445/P445-1)</x:f>
      </x:c>
      <x:c r="R445" s="30" t="str">
        <x:f>IF(O445="","",SUM($O$2:O445))</x:f>
      </x:c>
    </x:row>
    <x:row r="446">
      <x:c r="B446" s="28"/>
      <x:c r="I446" s="32"/>
      <x:c r="J446" s="30"/>
      <x:c r="K446" s="32" t="str">
        <x:f>IF(J446="","",1/J446)</x:f>
      </x:c>
      <x:c r="L446" s="32" t="str">
        <x:f>IF(OR(I446="",K446=""),"",I446-K446)</x:f>
      </x:c>
      <x:c r="M446" s="30"/>
      <x:c r="N446" s="30"/>
      <x:c r="O446" s="30" t="str">
        <x:f>IF(OR(M446="",N446=""),"",IF(N446="WIN",M446*(J446-1),IF(N446="LOSS",-M446,0)))</x:f>
      </x:c>
      <x:c r="P446" s="30"/>
      <x:c r="Q446" s="30" t="str">
        <x:f>IF(OR(J446="",P446=""),"",J446/P446-1)</x:f>
      </x:c>
      <x:c r="R446" s="30" t="str">
        <x:f>IF(O446="","",SUM($O$2:O446))</x:f>
      </x:c>
    </x:row>
    <x:row r="447">
      <x:c r="B447" s="28"/>
      <x:c r="I447" s="32"/>
      <x:c r="J447" s="30"/>
      <x:c r="K447" s="32" t="str">
        <x:f>IF(J447="","",1/J447)</x:f>
      </x:c>
      <x:c r="L447" s="32" t="str">
        <x:f>IF(OR(I447="",K447=""),"",I447-K447)</x:f>
      </x:c>
      <x:c r="M447" s="30"/>
      <x:c r="N447" s="30"/>
      <x:c r="O447" s="30" t="str">
        <x:f>IF(OR(M447="",N447=""),"",IF(N447="WIN",M447*(J447-1),IF(N447="LOSS",-M447,0)))</x:f>
      </x:c>
      <x:c r="P447" s="30"/>
      <x:c r="Q447" s="30" t="str">
        <x:f>IF(OR(J447="",P447=""),"",J447/P447-1)</x:f>
      </x:c>
      <x:c r="R447" s="30" t="str">
        <x:f>IF(O447="","",SUM($O$2:O447))</x:f>
      </x:c>
    </x:row>
    <x:row r="448">
      <x:c r="B448" s="28"/>
      <x:c r="I448" s="32"/>
      <x:c r="J448" s="30"/>
      <x:c r="K448" s="32" t="str">
        <x:f>IF(J448="","",1/J448)</x:f>
      </x:c>
      <x:c r="L448" s="32" t="str">
        <x:f>IF(OR(I448="",K448=""),"",I448-K448)</x:f>
      </x:c>
      <x:c r="M448" s="30"/>
      <x:c r="N448" s="30"/>
      <x:c r="O448" s="30" t="str">
        <x:f>IF(OR(M448="",N448=""),"",IF(N448="WIN",M448*(J448-1),IF(N448="LOSS",-M448,0)))</x:f>
      </x:c>
      <x:c r="P448" s="30"/>
      <x:c r="Q448" s="30" t="str">
        <x:f>IF(OR(J448="",P448=""),"",J448/P448-1)</x:f>
      </x:c>
      <x:c r="R448" s="30" t="str">
        <x:f>IF(O448="","",SUM($O$2:O448))</x:f>
      </x:c>
    </x:row>
    <x:row r="449">
      <x:c r="B449" s="28"/>
      <x:c r="I449" s="32"/>
      <x:c r="J449" s="30"/>
      <x:c r="K449" s="32" t="str">
        <x:f>IF(J449="","",1/J449)</x:f>
      </x:c>
      <x:c r="L449" s="32" t="str">
        <x:f>IF(OR(I449="",K449=""),"",I449-K449)</x:f>
      </x:c>
      <x:c r="M449" s="30"/>
      <x:c r="N449" s="30"/>
      <x:c r="O449" s="30" t="str">
        <x:f>IF(OR(M449="",N449=""),"",IF(N449="WIN",M449*(J449-1),IF(N449="LOSS",-M449,0)))</x:f>
      </x:c>
      <x:c r="P449" s="30"/>
      <x:c r="Q449" s="30" t="str">
        <x:f>IF(OR(J449="",P449=""),"",J449/P449-1)</x:f>
      </x:c>
      <x:c r="R449" s="30" t="str">
        <x:f>IF(O449="","",SUM($O$2:O449))</x:f>
      </x:c>
    </x:row>
    <x:row r="450">
      <x:c r="B450" s="28"/>
      <x:c r="I450" s="32"/>
      <x:c r="J450" s="30"/>
      <x:c r="K450" s="32" t="str">
        <x:f>IF(J450="","",1/J450)</x:f>
      </x:c>
      <x:c r="L450" s="32" t="str">
        <x:f>IF(OR(I450="",K450=""),"",I450-K450)</x:f>
      </x:c>
      <x:c r="M450" s="30"/>
      <x:c r="N450" s="30"/>
      <x:c r="O450" s="30" t="str">
        <x:f>IF(OR(M450="",N450=""),"",IF(N450="WIN",M450*(J450-1),IF(N450="LOSS",-M450,0)))</x:f>
      </x:c>
      <x:c r="P450" s="30"/>
      <x:c r="Q450" s="30" t="str">
        <x:f>IF(OR(J450="",P450=""),"",J450/P450-1)</x:f>
      </x:c>
      <x:c r="R450" s="30" t="str">
        <x:f>IF(O450="","",SUM($O$2:O450))</x:f>
      </x:c>
    </x:row>
    <x:row r="451">
      <x:c r="B451" s="28"/>
      <x:c r="I451" s="32"/>
      <x:c r="J451" s="30"/>
      <x:c r="K451" s="32" t="str">
        <x:f>IF(J451="","",1/J451)</x:f>
      </x:c>
      <x:c r="L451" s="32" t="str">
        <x:f>IF(OR(I451="",K451=""),"",I451-K451)</x:f>
      </x:c>
      <x:c r="M451" s="30"/>
      <x:c r="N451" s="30"/>
      <x:c r="O451" s="30" t="str">
        <x:f>IF(OR(M451="",N451=""),"",IF(N451="WIN",M451*(J451-1),IF(N451="LOSS",-M451,0)))</x:f>
      </x:c>
      <x:c r="P451" s="30"/>
      <x:c r="Q451" s="30" t="str">
        <x:f>IF(OR(J451="",P451=""),"",J451/P451-1)</x:f>
      </x:c>
      <x:c r="R451" s="30" t="str">
        <x:f>IF(O451="","",SUM($O$2:O451))</x:f>
      </x:c>
    </x:row>
    <x:row r="452">
      <x:c r="B452" s="28"/>
      <x:c r="I452" s="32"/>
      <x:c r="J452" s="30"/>
      <x:c r="K452" s="32" t="str">
        <x:f>IF(J452="","",1/J452)</x:f>
      </x:c>
      <x:c r="L452" s="32" t="str">
        <x:f>IF(OR(I452="",K452=""),"",I452-K452)</x:f>
      </x:c>
      <x:c r="M452" s="30"/>
      <x:c r="N452" s="30"/>
      <x:c r="O452" s="30" t="str">
        <x:f>IF(OR(M452="",N452=""),"",IF(N452="WIN",M452*(J452-1),IF(N452="LOSS",-M452,0)))</x:f>
      </x:c>
      <x:c r="P452" s="30"/>
      <x:c r="Q452" s="30" t="str">
        <x:f>IF(OR(J452="",P452=""),"",J452/P452-1)</x:f>
      </x:c>
      <x:c r="R452" s="30" t="str">
        <x:f>IF(O452="","",SUM($O$2:O452))</x:f>
      </x:c>
    </x:row>
    <x:row r="453">
      <x:c r="B453" s="28"/>
      <x:c r="I453" s="32"/>
      <x:c r="J453" s="30"/>
      <x:c r="K453" s="32" t="str">
        <x:f>IF(J453="","",1/J453)</x:f>
      </x:c>
      <x:c r="L453" s="32" t="str">
        <x:f>IF(OR(I453="",K453=""),"",I453-K453)</x:f>
      </x:c>
      <x:c r="M453" s="30"/>
      <x:c r="N453" s="30"/>
      <x:c r="O453" s="30" t="str">
        <x:f>IF(OR(M453="",N453=""),"",IF(N453="WIN",M453*(J453-1),IF(N453="LOSS",-M453,0)))</x:f>
      </x:c>
      <x:c r="P453" s="30"/>
      <x:c r="Q453" s="30" t="str">
        <x:f>IF(OR(J453="",P453=""),"",J453/P453-1)</x:f>
      </x:c>
      <x:c r="R453" s="30" t="str">
        <x:f>IF(O453="","",SUM($O$2:O453))</x:f>
      </x:c>
    </x:row>
    <x:row r="454">
      <x:c r="B454" s="28"/>
      <x:c r="I454" s="32"/>
      <x:c r="J454" s="30"/>
      <x:c r="K454" s="32" t="str">
        <x:f>IF(J454="","",1/J454)</x:f>
      </x:c>
      <x:c r="L454" s="32" t="str">
        <x:f>IF(OR(I454="",K454=""),"",I454-K454)</x:f>
      </x:c>
      <x:c r="M454" s="30"/>
      <x:c r="N454" s="30"/>
      <x:c r="O454" s="30" t="str">
        <x:f>IF(OR(M454="",N454=""),"",IF(N454="WIN",M454*(J454-1),IF(N454="LOSS",-M454,0)))</x:f>
      </x:c>
      <x:c r="P454" s="30"/>
      <x:c r="Q454" s="30" t="str">
        <x:f>IF(OR(J454="",P454=""),"",J454/P454-1)</x:f>
      </x:c>
      <x:c r="R454" s="30" t="str">
        <x:f>IF(O454="","",SUM($O$2:O454))</x:f>
      </x:c>
    </x:row>
    <x:row r="455">
      <x:c r="B455" s="28"/>
      <x:c r="I455" s="32"/>
      <x:c r="J455" s="30"/>
      <x:c r="K455" s="32" t="str">
        <x:f>IF(J455="","",1/J455)</x:f>
      </x:c>
      <x:c r="L455" s="32" t="str">
        <x:f>IF(OR(I455="",K455=""),"",I455-K455)</x:f>
      </x:c>
      <x:c r="M455" s="30"/>
      <x:c r="N455" s="30"/>
      <x:c r="O455" s="30" t="str">
        <x:f>IF(OR(M455="",N455=""),"",IF(N455="WIN",M455*(J455-1),IF(N455="LOSS",-M455,0)))</x:f>
      </x:c>
      <x:c r="P455" s="30"/>
      <x:c r="Q455" s="30" t="str">
        <x:f>IF(OR(J455="",P455=""),"",J455/P455-1)</x:f>
      </x:c>
      <x:c r="R455" s="30" t="str">
        <x:f>IF(O455="","",SUM($O$2:O455))</x:f>
      </x:c>
    </x:row>
    <x:row r="456">
      <x:c r="B456" s="28"/>
      <x:c r="I456" s="32"/>
      <x:c r="J456" s="30"/>
      <x:c r="K456" s="32" t="str">
        <x:f>IF(J456="","",1/J456)</x:f>
      </x:c>
      <x:c r="L456" s="32" t="str">
        <x:f>IF(OR(I456="",K456=""),"",I456-K456)</x:f>
      </x:c>
      <x:c r="M456" s="30"/>
      <x:c r="N456" s="30"/>
      <x:c r="O456" s="30" t="str">
        <x:f>IF(OR(M456="",N456=""),"",IF(N456="WIN",M456*(J456-1),IF(N456="LOSS",-M456,0)))</x:f>
      </x:c>
      <x:c r="P456" s="30"/>
      <x:c r="Q456" s="30" t="str">
        <x:f>IF(OR(J456="",P456=""),"",J456/P456-1)</x:f>
      </x:c>
      <x:c r="R456" s="30" t="str">
        <x:f>IF(O456="","",SUM($O$2:O456))</x:f>
      </x:c>
    </x:row>
    <x:row r="457">
      <x:c r="B457" s="28"/>
      <x:c r="I457" s="32"/>
      <x:c r="J457" s="30"/>
      <x:c r="K457" s="32" t="str">
        <x:f>IF(J457="","",1/J457)</x:f>
      </x:c>
      <x:c r="L457" s="32" t="str">
        <x:f>IF(OR(I457="",K457=""),"",I457-K457)</x:f>
      </x:c>
      <x:c r="M457" s="30"/>
      <x:c r="N457" s="30"/>
      <x:c r="O457" s="30" t="str">
        <x:f>IF(OR(M457="",N457=""),"",IF(N457="WIN",M457*(J457-1),IF(N457="LOSS",-M457,0)))</x:f>
      </x:c>
      <x:c r="P457" s="30"/>
      <x:c r="Q457" s="30" t="str">
        <x:f>IF(OR(J457="",P457=""),"",J457/P457-1)</x:f>
      </x:c>
      <x:c r="R457" s="30" t="str">
        <x:f>IF(O457="","",SUM($O$2:O457))</x:f>
      </x:c>
    </x:row>
    <x:row r="458">
      <x:c r="B458" s="28"/>
      <x:c r="I458" s="32"/>
      <x:c r="J458" s="30"/>
      <x:c r="K458" s="32" t="str">
        <x:f>IF(J458="","",1/J458)</x:f>
      </x:c>
      <x:c r="L458" s="32" t="str">
        <x:f>IF(OR(I458="",K458=""),"",I458-K458)</x:f>
      </x:c>
      <x:c r="M458" s="30"/>
      <x:c r="N458" s="30"/>
      <x:c r="O458" s="30" t="str">
        <x:f>IF(OR(M458="",N458=""),"",IF(N458="WIN",M458*(J458-1),IF(N458="LOSS",-M458,0)))</x:f>
      </x:c>
      <x:c r="P458" s="30"/>
      <x:c r="Q458" s="30" t="str">
        <x:f>IF(OR(J458="",P458=""),"",J458/P458-1)</x:f>
      </x:c>
      <x:c r="R458" s="30" t="str">
        <x:f>IF(O458="","",SUM($O$2:O458))</x:f>
      </x:c>
    </x:row>
    <x:row r="459">
      <x:c r="B459" s="28"/>
      <x:c r="I459" s="32"/>
      <x:c r="J459" s="30"/>
      <x:c r="K459" s="32" t="str">
        <x:f>IF(J459="","",1/J459)</x:f>
      </x:c>
      <x:c r="L459" s="32" t="str">
        <x:f>IF(OR(I459="",K459=""),"",I459-K459)</x:f>
      </x:c>
      <x:c r="M459" s="30"/>
      <x:c r="N459" s="30"/>
      <x:c r="O459" s="30" t="str">
        <x:f>IF(OR(M459="",N459=""),"",IF(N459="WIN",M459*(J459-1),IF(N459="LOSS",-M459,0)))</x:f>
      </x:c>
      <x:c r="P459" s="30"/>
      <x:c r="Q459" s="30" t="str">
        <x:f>IF(OR(J459="",P459=""),"",J459/P459-1)</x:f>
      </x:c>
      <x:c r="R459" s="30" t="str">
        <x:f>IF(O459="","",SUM($O$2:O459))</x:f>
      </x:c>
    </x:row>
    <x:row r="460">
      <x:c r="B460" s="28"/>
      <x:c r="I460" s="32"/>
      <x:c r="J460" s="30"/>
      <x:c r="K460" s="32" t="str">
        <x:f>IF(J460="","",1/J460)</x:f>
      </x:c>
      <x:c r="L460" s="32" t="str">
        <x:f>IF(OR(I460="",K460=""),"",I460-K460)</x:f>
      </x:c>
      <x:c r="M460" s="30"/>
      <x:c r="N460" s="30"/>
      <x:c r="O460" s="30" t="str">
        <x:f>IF(OR(M460="",N460=""),"",IF(N460="WIN",M460*(J460-1),IF(N460="LOSS",-M460,0)))</x:f>
      </x:c>
      <x:c r="P460" s="30"/>
      <x:c r="Q460" s="30" t="str">
        <x:f>IF(OR(J460="",P460=""),"",J460/P460-1)</x:f>
      </x:c>
      <x:c r="R460" s="30" t="str">
        <x:f>IF(O460="","",SUM($O$2:O460))</x:f>
      </x:c>
    </x:row>
    <x:row r="461">
      <x:c r="B461" s="28"/>
      <x:c r="I461" s="32"/>
      <x:c r="J461" s="30"/>
      <x:c r="K461" s="32" t="str">
        <x:f>IF(J461="","",1/J461)</x:f>
      </x:c>
      <x:c r="L461" s="32" t="str">
        <x:f>IF(OR(I461="",K461=""),"",I461-K461)</x:f>
      </x:c>
      <x:c r="M461" s="30"/>
      <x:c r="N461" s="30"/>
      <x:c r="O461" s="30" t="str">
        <x:f>IF(OR(M461="",N461=""),"",IF(N461="WIN",M461*(J461-1),IF(N461="LOSS",-M461,0)))</x:f>
      </x:c>
      <x:c r="P461" s="30"/>
      <x:c r="Q461" s="30" t="str">
        <x:f>IF(OR(J461="",P461=""),"",J461/P461-1)</x:f>
      </x:c>
      <x:c r="R461" s="30" t="str">
        <x:f>IF(O461="","",SUM($O$2:O461))</x:f>
      </x:c>
    </x:row>
    <x:row r="462">
      <x:c r="B462" s="28"/>
      <x:c r="I462" s="32"/>
      <x:c r="J462" s="30"/>
      <x:c r="K462" s="32" t="str">
        <x:f>IF(J462="","",1/J462)</x:f>
      </x:c>
      <x:c r="L462" s="32" t="str">
        <x:f>IF(OR(I462="",K462=""),"",I462-K462)</x:f>
      </x:c>
      <x:c r="M462" s="30"/>
      <x:c r="N462" s="30"/>
      <x:c r="O462" s="30" t="str">
        <x:f>IF(OR(M462="",N462=""),"",IF(N462="WIN",M462*(J462-1),IF(N462="LOSS",-M462,0)))</x:f>
      </x:c>
      <x:c r="P462" s="30"/>
      <x:c r="Q462" s="30" t="str">
        <x:f>IF(OR(J462="",P462=""),"",J462/P462-1)</x:f>
      </x:c>
      <x:c r="R462" s="30" t="str">
        <x:f>IF(O462="","",SUM($O$2:O462))</x:f>
      </x:c>
    </x:row>
    <x:row r="463">
      <x:c r="B463" s="28"/>
      <x:c r="I463" s="32"/>
      <x:c r="J463" s="30"/>
      <x:c r="K463" s="32" t="str">
        <x:f>IF(J463="","",1/J463)</x:f>
      </x:c>
      <x:c r="L463" s="32" t="str">
        <x:f>IF(OR(I463="",K463=""),"",I463-K463)</x:f>
      </x:c>
      <x:c r="M463" s="30"/>
      <x:c r="N463" s="30"/>
      <x:c r="O463" s="30" t="str">
        <x:f>IF(OR(M463="",N463=""),"",IF(N463="WIN",M463*(J463-1),IF(N463="LOSS",-M463,0)))</x:f>
      </x:c>
      <x:c r="P463" s="30"/>
      <x:c r="Q463" s="30" t="str">
        <x:f>IF(OR(J463="",P463=""),"",J463/P463-1)</x:f>
      </x:c>
      <x:c r="R463" s="30" t="str">
        <x:f>IF(O463="","",SUM($O$2:O463))</x:f>
      </x:c>
    </x:row>
    <x:row r="464">
      <x:c r="B464" s="28"/>
      <x:c r="I464" s="32"/>
      <x:c r="J464" s="30"/>
      <x:c r="K464" s="32" t="str">
        <x:f>IF(J464="","",1/J464)</x:f>
      </x:c>
      <x:c r="L464" s="32" t="str">
        <x:f>IF(OR(I464="",K464=""),"",I464-K464)</x:f>
      </x:c>
      <x:c r="M464" s="30"/>
      <x:c r="N464" s="30"/>
      <x:c r="O464" s="30" t="str">
        <x:f>IF(OR(M464="",N464=""),"",IF(N464="WIN",M464*(J464-1),IF(N464="LOSS",-M464,0)))</x:f>
      </x:c>
      <x:c r="P464" s="30"/>
      <x:c r="Q464" s="30" t="str">
        <x:f>IF(OR(J464="",P464=""),"",J464/P464-1)</x:f>
      </x:c>
      <x:c r="R464" s="30" t="str">
        <x:f>IF(O464="","",SUM($O$2:O464))</x:f>
      </x:c>
    </x:row>
    <x:row r="465">
      <x:c r="B465" s="28"/>
      <x:c r="I465" s="32"/>
      <x:c r="J465" s="30"/>
      <x:c r="K465" s="32" t="str">
        <x:f>IF(J465="","",1/J465)</x:f>
      </x:c>
      <x:c r="L465" s="32" t="str">
        <x:f>IF(OR(I465="",K465=""),"",I465-K465)</x:f>
      </x:c>
      <x:c r="M465" s="30"/>
      <x:c r="N465" s="30"/>
      <x:c r="O465" s="30" t="str">
        <x:f>IF(OR(M465="",N465=""),"",IF(N465="WIN",M465*(J465-1),IF(N465="LOSS",-M465,0)))</x:f>
      </x:c>
      <x:c r="P465" s="30"/>
      <x:c r="Q465" s="30" t="str">
        <x:f>IF(OR(J465="",P465=""),"",J465/P465-1)</x:f>
      </x:c>
      <x:c r="R465" s="30" t="str">
        <x:f>IF(O465="","",SUM($O$2:O465))</x:f>
      </x:c>
    </x:row>
    <x:row r="466">
      <x:c r="B466" s="28"/>
      <x:c r="I466" s="32"/>
      <x:c r="J466" s="30"/>
      <x:c r="K466" s="32" t="str">
        <x:f>IF(J466="","",1/J466)</x:f>
      </x:c>
      <x:c r="L466" s="32" t="str">
        <x:f>IF(OR(I466="",K466=""),"",I466-K466)</x:f>
      </x:c>
      <x:c r="M466" s="30"/>
      <x:c r="N466" s="30"/>
      <x:c r="O466" s="30" t="str">
        <x:f>IF(OR(M466="",N466=""),"",IF(N466="WIN",M466*(J466-1),IF(N466="LOSS",-M466,0)))</x:f>
      </x:c>
      <x:c r="P466" s="30"/>
      <x:c r="Q466" s="30" t="str">
        <x:f>IF(OR(J466="",P466=""),"",J466/P466-1)</x:f>
      </x:c>
      <x:c r="R466" s="30" t="str">
        <x:f>IF(O466="","",SUM($O$2:O466))</x:f>
      </x:c>
    </x:row>
    <x:row r="467">
      <x:c r="B467" s="28"/>
      <x:c r="I467" s="32"/>
      <x:c r="J467" s="30"/>
      <x:c r="K467" s="32" t="str">
        <x:f>IF(J467="","",1/J467)</x:f>
      </x:c>
      <x:c r="L467" s="32" t="str">
        <x:f>IF(OR(I467="",K467=""),"",I467-K467)</x:f>
      </x:c>
      <x:c r="M467" s="30"/>
      <x:c r="N467" s="30"/>
      <x:c r="O467" s="30" t="str">
        <x:f>IF(OR(M467="",N467=""),"",IF(N467="WIN",M467*(J467-1),IF(N467="LOSS",-M467,0)))</x:f>
      </x:c>
      <x:c r="P467" s="30"/>
      <x:c r="Q467" s="30" t="str">
        <x:f>IF(OR(J467="",P467=""),"",J467/P467-1)</x:f>
      </x:c>
      <x:c r="R467" s="30" t="str">
        <x:f>IF(O467="","",SUM($O$2:O467))</x:f>
      </x:c>
    </x:row>
    <x:row r="468">
      <x:c r="B468" s="28"/>
      <x:c r="I468" s="32"/>
      <x:c r="J468" s="30"/>
      <x:c r="K468" s="32" t="str">
        <x:f>IF(J468="","",1/J468)</x:f>
      </x:c>
      <x:c r="L468" s="32" t="str">
        <x:f>IF(OR(I468="",K468=""),"",I468-K468)</x:f>
      </x:c>
      <x:c r="M468" s="30"/>
      <x:c r="N468" s="30"/>
      <x:c r="O468" s="30" t="str">
        <x:f>IF(OR(M468="",N468=""),"",IF(N468="WIN",M468*(J468-1),IF(N468="LOSS",-M468,0)))</x:f>
      </x:c>
      <x:c r="P468" s="30"/>
      <x:c r="Q468" s="30" t="str">
        <x:f>IF(OR(J468="",P468=""),"",J468/P468-1)</x:f>
      </x:c>
      <x:c r="R468" s="30" t="str">
        <x:f>IF(O468="","",SUM($O$2:O468))</x:f>
      </x:c>
    </x:row>
    <x:row r="469">
      <x:c r="B469" s="28"/>
      <x:c r="I469" s="32"/>
      <x:c r="J469" s="30"/>
      <x:c r="K469" s="32" t="str">
        <x:f>IF(J469="","",1/J469)</x:f>
      </x:c>
      <x:c r="L469" s="32" t="str">
        <x:f>IF(OR(I469="",K469=""),"",I469-K469)</x:f>
      </x:c>
      <x:c r="M469" s="30"/>
      <x:c r="N469" s="30"/>
      <x:c r="O469" s="30" t="str">
        <x:f>IF(OR(M469="",N469=""),"",IF(N469="WIN",M469*(J469-1),IF(N469="LOSS",-M469,0)))</x:f>
      </x:c>
      <x:c r="P469" s="30"/>
      <x:c r="Q469" s="30" t="str">
        <x:f>IF(OR(J469="",P469=""),"",J469/P469-1)</x:f>
      </x:c>
      <x:c r="R469" s="30" t="str">
        <x:f>IF(O469="","",SUM($O$2:O469))</x:f>
      </x:c>
    </x:row>
    <x:row r="470">
      <x:c r="B470" s="28"/>
      <x:c r="I470" s="32"/>
      <x:c r="J470" s="30"/>
      <x:c r="K470" s="32" t="str">
        <x:f>IF(J470="","",1/J470)</x:f>
      </x:c>
      <x:c r="L470" s="32" t="str">
        <x:f>IF(OR(I470="",K470=""),"",I470-K470)</x:f>
      </x:c>
      <x:c r="M470" s="30"/>
      <x:c r="N470" s="30"/>
      <x:c r="O470" s="30" t="str">
        <x:f>IF(OR(M470="",N470=""),"",IF(N470="WIN",M470*(J470-1),IF(N470="LOSS",-M470,0)))</x:f>
      </x:c>
      <x:c r="P470" s="30"/>
      <x:c r="Q470" s="30" t="str">
        <x:f>IF(OR(J470="",P470=""),"",J470/P470-1)</x:f>
      </x:c>
      <x:c r="R470" s="30" t="str">
        <x:f>IF(O470="","",SUM($O$2:O470))</x:f>
      </x:c>
    </x:row>
    <x:row r="471">
      <x:c r="B471" s="28"/>
      <x:c r="I471" s="32"/>
      <x:c r="J471" s="30"/>
      <x:c r="K471" s="32" t="str">
        <x:f>IF(J471="","",1/J471)</x:f>
      </x:c>
      <x:c r="L471" s="32" t="str">
        <x:f>IF(OR(I471="",K471=""),"",I471-K471)</x:f>
      </x:c>
      <x:c r="M471" s="30"/>
      <x:c r="N471" s="30"/>
      <x:c r="O471" s="30" t="str">
        <x:f>IF(OR(M471="",N471=""),"",IF(N471="WIN",M471*(J471-1),IF(N471="LOSS",-M471,0)))</x:f>
      </x:c>
      <x:c r="P471" s="30"/>
      <x:c r="Q471" s="30" t="str">
        <x:f>IF(OR(J471="",P471=""),"",J471/P471-1)</x:f>
      </x:c>
      <x:c r="R471" s="30" t="str">
        <x:f>IF(O471="","",SUM($O$2:O471))</x:f>
      </x:c>
    </x:row>
    <x:row r="472">
      <x:c r="B472" s="28"/>
      <x:c r="I472" s="32"/>
      <x:c r="J472" s="30"/>
      <x:c r="K472" s="32" t="str">
        <x:f>IF(J472="","",1/J472)</x:f>
      </x:c>
      <x:c r="L472" s="32" t="str">
        <x:f>IF(OR(I472="",K472=""),"",I472-K472)</x:f>
      </x:c>
      <x:c r="M472" s="30"/>
      <x:c r="N472" s="30"/>
      <x:c r="O472" s="30" t="str">
        <x:f>IF(OR(M472="",N472=""),"",IF(N472="WIN",M472*(J472-1),IF(N472="LOSS",-M472,0)))</x:f>
      </x:c>
      <x:c r="P472" s="30"/>
      <x:c r="Q472" s="30" t="str">
        <x:f>IF(OR(J472="",P472=""),"",J472/P472-1)</x:f>
      </x:c>
      <x:c r="R472" s="30" t="str">
        <x:f>IF(O472="","",SUM($O$2:O472))</x:f>
      </x:c>
    </x:row>
    <x:row r="473">
      <x:c r="B473" s="28"/>
      <x:c r="I473" s="32"/>
      <x:c r="J473" s="30"/>
      <x:c r="K473" s="32" t="str">
        <x:f>IF(J473="","",1/J473)</x:f>
      </x:c>
      <x:c r="L473" s="32" t="str">
        <x:f>IF(OR(I473="",K473=""),"",I473-K473)</x:f>
      </x:c>
      <x:c r="M473" s="30"/>
      <x:c r="N473" s="30"/>
      <x:c r="O473" s="30" t="str">
        <x:f>IF(OR(M473="",N473=""),"",IF(N473="WIN",M473*(J473-1),IF(N473="LOSS",-M473,0)))</x:f>
      </x:c>
      <x:c r="P473" s="30"/>
      <x:c r="Q473" s="30" t="str">
        <x:f>IF(OR(J473="",P473=""),"",J473/P473-1)</x:f>
      </x:c>
      <x:c r="R473" s="30" t="str">
        <x:f>IF(O473="","",SUM($O$2:O473))</x:f>
      </x:c>
    </x:row>
    <x:row r="474">
      <x:c r="B474" s="28"/>
      <x:c r="I474" s="32"/>
      <x:c r="J474" s="30"/>
      <x:c r="K474" s="32" t="str">
        <x:f>IF(J474="","",1/J474)</x:f>
      </x:c>
      <x:c r="L474" s="32" t="str">
        <x:f>IF(OR(I474="",K474=""),"",I474-K474)</x:f>
      </x:c>
      <x:c r="M474" s="30"/>
      <x:c r="N474" s="30"/>
      <x:c r="O474" s="30" t="str">
        <x:f>IF(OR(M474="",N474=""),"",IF(N474="WIN",M474*(J474-1),IF(N474="LOSS",-M474,0)))</x:f>
      </x:c>
      <x:c r="P474" s="30"/>
      <x:c r="Q474" s="30" t="str">
        <x:f>IF(OR(J474="",P474=""),"",J474/P474-1)</x:f>
      </x:c>
      <x:c r="R474" s="30" t="str">
        <x:f>IF(O474="","",SUM($O$2:O474))</x:f>
      </x:c>
    </x:row>
    <x:row r="475">
      <x:c r="B475" s="28"/>
      <x:c r="I475" s="32"/>
      <x:c r="J475" s="30"/>
      <x:c r="K475" s="32" t="str">
        <x:f>IF(J475="","",1/J475)</x:f>
      </x:c>
      <x:c r="L475" s="32" t="str">
        <x:f>IF(OR(I475="",K475=""),"",I475-K475)</x:f>
      </x:c>
      <x:c r="M475" s="30"/>
      <x:c r="N475" s="30"/>
      <x:c r="O475" s="30" t="str">
        <x:f>IF(OR(M475="",N475=""),"",IF(N475="WIN",M475*(J475-1),IF(N475="LOSS",-M475,0)))</x:f>
      </x:c>
      <x:c r="P475" s="30"/>
      <x:c r="Q475" s="30" t="str">
        <x:f>IF(OR(J475="",P475=""),"",J475/P475-1)</x:f>
      </x:c>
      <x:c r="R475" s="30" t="str">
        <x:f>IF(O475="","",SUM($O$2:O475))</x:f>
      </x:c>
    </x:row>
    <x:row r="476">
      <x:c r="B476" s="28"/>
      <x:c r="I476" s="32"/>
      <x:c r="J476" s="30"/>
      <x:c r="K476" s="32" t="str">
        <x:f>IF(J476="","",1/J476)</x:f>
      </x:c>
      <x:c r="L476" s="32" t="str">
        <x:f>IF(OR(I476="",K476=""),"",I476-K476)</x:f>
      </x:c>
      <x:c r="M476" s="30"/>
      <x:c r="N476" s="30"/>
      <x:c r="O476" s="30" t="str">
        <x:f>IF(OR(M476="",N476=""),"",IF(N476="WIN",M476*(J476-1),IF(N476="LOSS",-M476,0)))</x:f>
      </x:c>
      <x:c r="P476" s="30"/>
      <x:c r="Q476" s="30" t="str">
        <x:f>IF(OR(J476="",P476=""),"",J476/P476-1)</x:f>
      </x:c>
      <x:c r="R476" s="30" t="str">
        <x:f>IF(O476="","",SUM($O$2:O476))</x:f>
      </x:c>
    </x:row>
    <x:row r="477">
      <x:c r="B477" s="28"/>
      <x:c r="I477" s="32"/>
      <x:c r="J477" s="30"/>
      <x:c r="K477" s="32" t="str">
        <x:f>IF(J477="","",1/J477)</x:f>
      </x:c>
      <x:c r="L477" s="32" t="str">
        <x:f>IF(OR(I477="",K477=""),"",I477-K477)</x:f>
      </x:c>
      <x:c r="M477" s="30"/>
      <x:c r="N477" s="30"/>
      <x:c r="O477" s="30" t="str">
        <x:f>IF(OR(M477="",N477=""),"",IF(N477="WIN",M477*(J477-1),IF(N477="LOSS",-M477,0)))</x:f>
      </x:c>
      <x:c r="P477" s="30"/>
      <x:c r="Q477" s="30" t="str">
        <x:f>IF(OR(J477="",P477=""),"",J477/P477-1)</x:f>
      </x:c>
      <x:c r="R477" s="30" t="str">
        <x:f>IF(O477="","",SUM($O$2:O477))</x:f>
      </x:c>
    </x:row>
    <x:row r="478">
      <x:c r="B478" s="28"/>
      <x:c r="I478" s="32"/>
      <x:c r="J478" s="30"/>
      <x:c r="K478" s="32" t="str">
        <x:f>IF(J478="","",1/J478)</x:f>
      </x:c>
      <x:c r="L478" s="32" t="str">
        <x:f>IF(OR(I478="",K478=""),"",I478-K478)</x:f>
      </x:c>
      <x:c r="M478" s="30"/>
      <x:c r="N478" s="30"/>
      <x:c r="O478" s="30" t="str">
        <x:f>IF(OR(M478="",N478=""),"",IF(N478="WIN",M478*(J478-1),IF(N478="LOSS",-M478,0)))</x:f>
      </x:c>
      <x:c r="P478" s="30"/>
      <x:c r="Q478" s="30" t="str">
        <x:f>IF(OR(J478="",P478=""),"",J478/P478-1)</x:f>
      </x:c>
      <x:c r="R478" s="30" t="str">
        <x:f>IF(O478="","",SUM($O$2:O478))</x:f>
      </x:c>
    </x:row>
    <x:row r="479">
      <x:c r="B479" s="28"/>
      <x:c r="I479" s="32"/>
      <x:c r="J479" s="30"/>
      <x:c r="K479" s="32" t="str">
        <x:f>IF(J479="","",1/J479)</x:f>
      </x:c>
      <x:c r="L479" s="32" t="str">
        <x:f>IF(OR(I479="",K479=""),"",I479-K479)</x:f>
      </x:c>
      <x:c r="M479" s="30"/>
      <x:c r="N479" s="30"/>
      <x:c r="O479" s="30" t="str">
        <x:f>IF(OR(M479="",N479=""),"",IF(N479="WIN",M479*(J479-1),IF(N479="LOSS",-M479,0)))</x:f>
      </x:c>
      <x:c r="P479" s="30"/>
      <x:c r="Q479" s="30" t="str">
        <x:f>IF(OR(J479="",P479=""),"",J479/P479-1)</x:f>
      </x:c>
      <x:c r="R479" s="30" t="str">
        <x:f>IF(O479="","",SUM($O$2:O479))</x:f>
      </x:c>
    </x:row>
    <x:row r="480">
      <x:c r="B480" s="28"/>
      <x:c r="I480" s="32"/>
      <x:c r="J480" s="30"/>
      <x:c r="K480" s="32" t="str">
        <x:f>IF(J480="","",1/J480)</x:f>
      </x:c>
      <x:c r="L480" s="32" t="str">
        <x:f>IF(OR(I480="",K480=""),"",I480-K480)</x:f>
      </x:c>
      <x:c r="M480" s="30"/>
      <x:c r="N480" s="30"/>
      <x:c r="O480" s="30" t="str">
        <x:f>IF(OR(M480="",N480=""),"",IF(N480="WIN",M480*(J480-1),IF(N480="LOSS",-M480,0)))</x:f>
      </x:c>
      <x:c r="P480" s="30"/>
      <x:c r="Q480" s="30" t="str">
        <x:f>IF(OR(J480="",P480=""),"",J480/P480-1)</x:f>
      </x:c>
      <x:c r="R480" s="30" t="str">
        <x:f>IF(O480="","",SUM($O$2:O480))</x:f>
      </x:c>
    </x:row>
    <x:row r="481">
      <x:c r="B481" s="28"/>
      <x:c r="I481" s="32"/>
      <x:c r="J481" s="30"/>
      <x:c r="K481" s="32" t="str">
        <x:f>IF(J481="","",1/J481)</x:f>
      </x:c>
      <x:c r="L481" s="32" t="str">
        <x:f>IF(OR(I481="",K481=""),"",I481-K481)</x:f>
      </x:c>
      <x:c r="M481" s="30"/>
      <x:c r="N481" s="30"/>
      <x:c r="O481" s="30" t="str">
        <x:f>IF(OR(M481="",N481=""),"",IF(N481="WIN",M481*(J481-1),IF(N481="LOSS",-M481,0)))</x:f>
      </x:c>
      <x:c r="P481" s="30"/>
      <x:c r="Q481" s="30" t="str">
        <x:f>IF(OR(J481="",P481=""),"",J481/P481-1)</x:f>
      </x:c>
      <x:c r="R481" s="30" t="str">
        <x:f>IF(O481="","",SUM($O$2:O481))</x:f>
      </x:c>
    </x:row>
    <x:row r="482">
      <x:c r="B482" s="28"/>
      <x:c r="I482" s="32"/>
      <x:c r="J482" s="30"/>
      <x:c r="K482" s="32" t="str">
        <x:f>IF(J482="","",1/J482)</x:f>
      </x:c>
      <x:c r="L482" s="32" t="str">
        <x:f>IF(OR(I482="",K482=""),"",I482-K482)</x:f>
      </x:c>
      <x:c r="M482" s="30"/>
      <x:c r="N482" s="30"/>
      <x:c r="O482" s="30" t="str">
        <x:f>IF(OR(M482="",N482=""),"",IF(N482="WIN",M482*(J482-1),IF(N482="LOSS",-M482,0)))</x:f>
      </x:c>
      <x:c r="P482" s="30"/>
      <x:c r="Q482" s="30" t="str">
        <x:f>IF(OR(J482="",P482=""),"",J482/P482-1)</x:f>
      </x:c>
      <x:c r="R482" s="30" t="str">
        <x:f>IF(O482="","",SUM($O$2:O482))</x:f>
      </x:c>
    </x:row>
    <x:row r="483">
      <x:c r="B483" s="28"/>
      <x:c r="I483" s="32"/>
      <x:c r="J483" s="30"/>
      <x:c r="K483" s="32" t="str">
        <x:f>IF(J483="","",1/J483)</x:f>
      </x:c>
      <x:c r="L483" s="32" t="str">
        <x:f>IF(OR(I483="",K483=""),"",I483-K483)</x:f>
      </x:c>
      <x:c r="M483" s="30"/>
      <x:c r="N483" s="30"/>
      <x:c r="O483" s="30" t="str">
        <x:f>IF(OR(M483="",N483=""),"",IF(N483="WIN",M483*(J483-1),IF(N483="LOSS",-M483,0)))</x:f>
      </x:c>
      <x:c r="P483" s="30"/>
      <x:c r="Q483" s="30" t="str">
        <x:f>IF(OR(J483="",P483=""),"",J483/P483-1)</x:f>
      </x:c>
      <x:c r="R483" s="30" t="str">
        <x:f>IF(O483="","",SUM($O$2:O483))</x:f>
      </x:c>
    </x:row>
    <x:row r="484">
      <x:c r="B484" s="28"/>
      <x:c r="I484" s="32"/>
      <x:c r="J484" s="30"/>
      <x:c r="K484" s="32" t="str">
        <x:f>IF(J484="","",1/J484)</x:f>
      </x:c>
      <x:c r="L484" s="32" t="str">
        <x:f>IF(OR(I484="",K484=""),"",I484-K484)</x:f>
      </x:c>
      <x:c r="M484" s="30"/>
      <x:c r="N484" s="30"/>
      <x:c r="O484" s="30" t="str">
        <x:f>IF(OR(M484="",N484=""),"",IF(N484="WIN",M484*(J484-1),IF(N484="LOSS",-M484,0)))</x:f>
      </x:c>
      <x:c r="P484" s="30"/>
      <x:c r="Q484" s="30" t="str">
        <x:f>IF(OR(J484="",P484=""),"",J484/P484-1)</x:f>
      </x:c>
      <x:c r="R484" s="30" t="str">
        <x:f>IF(O484="","",SUM($O$2:O484))</x:f>
      </x:c>
    </x:row>
    <x:row r="485">
      <x:c r="B485" s="28"/>
      <x:c r="I485" s="32"/>
      <x:c r="J485" s="30"/>
      <x:c r="K485" s="32" t="str">
        <x:f>IF(J485="","",1/J485)</x:f>
      </x:c>
      <x:c r="L485" s="32" t="str">
        <x:f>IF(OR(I485="",K485=""),"",I485-K485)</x:f>
      </x:c>
      <x:c r="M485" s="30"/>
      <x:c r="N485" s="30"/>
      <x:c r="O485" s="30" t="str">
        <x:f>IF(OR(M485="",N485=""),"",IF(N485="WIN",M485*(J485-1),IF(N485="LOSS",-M485,0)))</x:f>
      </x:c>
      <x:c r="P485" s="30"/>
      <x:c r="Q485" s="30" t="str">
        <x:f>IF(OR(J485="",P485=""),"",J485/P485-1)</x:f>
      </x:c>
      <x:c r="R485" s="30" t="str">
        <x:f>IF(O485="","",SUM($O$2:O485))</x:f>
      </x:c>
    </x:row>
    <x:row r="486">
      <x:c r="B486" s="28"/>
      <x:c r="I486" s="32"/>
      <x:c r="J486" s="30"/>
      <x:c r="K486" s="32" t="str">
        <x:f>IF(J486="","",1/J486)</x:f>
      </x:c>
      <x:c r="L486" s="32" t="str">
        <x:f>IF(OR(I486="",K486=""),"",I486-K486)</x:f>
      </x:c>
      <x:c r="M486" s="30"/>
      <x:c r="N486" s="30"/>
      <x:c r="O486" s="30" t="str">
        <x:f>IF(OR(M486="",N486=""),"",IF(N486="WIN",M486*(J486-1),IF(N486="LOSS",-M486,0)))</x:f>
      </x:c>
      <x:c r="P486" s="30"/>
      <x:c r="Q486" s="30" t="str">
        <x:f>IF(OR(J486="",P486=""),"",J486/P486-1)</x:f>
      </x:c>
      <x:c r="R486" s="30" t="str">
        <x:f>IF(O486="","",SUM($O$2:O486))</x:f>
      </x:c>
    </x:row>
    <x:row r="487">
      <x:c r="B487" s="28"/>
      <x:c r="I487" s="32"/>
      <x:c r="J487" s="30"/>
      <x:c r="K487" s="32" t="str">
        <x:f>IF(J487="","",1/J487)</x:f>
      </x:c>
      <x:c r="L487" s="32" t="str">
        <x:f>IF(OR(I487="",K487=""),"",I487-K487)</x:f>
      </x:c>
      <x:c r="M487" s="30"/>
      <x:c r="N487" s="30"/>
      <x:c r="O487" s="30" t="str">
        <x:f>IF(OR(M487="",N487=""),"",IF(N487="WIN",M487*(J487-1),IF(N487="LOSS",-M487,0)))</x:f>
      </x:c>
      <x:c r="P487" s="30"/>
      <x:c r="Q487" s="30" t="str">
        <x:f>IF(OR(J487="",P487=""),"",J487/P487-1)</x:f>
      </x:c>
      <x:c r="R487" s="30" t="str">
        <x:f>IF(O487="","",SUM($O$2:O487))</x:f>
      </x:c>
    </x:row>
    <x:row r="488">
      <x:c r="B488" s="28"/>
      <x:c r="I488" s="32"/>
      <x:c r="J488" s="30"/>
      <x:c r="K488" s="32" t="str">
        <x:f>IF(J488="","",1/J488)</x:f>
      </x:c>
      <x:c r="L488" s="32" t="str">
        <x:f>IF(OR(I488="",K488=""),"",I488-K488)</x:f>
      </x:c>
      <x:c r="M488" s="30"/>
      <x:c r="N488" s="30"/>
      <x:c r="O488" s="30" t="str">
        <x:f>IF(OR(M488="",N488=""),"",IF(N488="WIN",M488*(J488-1),IF(N488="LOSS",-M488,0)))</x:f>
      </x:c>
      <x:c r="P488" s="30"/>
      <x:c r="Q488" s="30" t="str">
        <x:f>IF(OR(J488="",P488=""),"",J488/P488-1)</x:f>
      </x:c>
      <x:c r="R488" s="30" t="str">
        <x:f>IF(O488="","",SUM($O$2:O488))</x:f>
      </x:c>
    </x:row>
    <x:row r="489">
      <x:c r="B489" s="28"/>
      <x:c r="I489" s="32"/>
      <x:c r="J489" s="30"/>
      <x:c r="K489" s="32" t="str">
        <x:f>IF(J489="","",1/J489)</x:f>
      </x:c>
      <x:c r="L489" s="32" t="str">
        <x:f>IF(OR(I489="",K489=""),"",I489-K489)</x:f>
      </x:c>
      <x:c r="M489" s="30"/>
      <x:c r="N489" s="30"/>
      <x:c r="O489" s="30" t="str">
        <x:f>IF(OR(M489="",N489=""),"",IF(N489="WIN",M489*(J489-1),IF(N489="LOSS",-M489,0)))</x:f>
      </x:c>
      <x:c r="P489" s="30"/>
      <x:c r="Q489" s="30" t="str">
        <x:f>IF(OR(J489="",P489=""),"",J489/P489-1)</x:f>
      </x:c>
      <x:c r="R489" s="30" t="str">
        <x:f>IF(O489="","",SUM($O$2:O489))</x:f>
      </x:c>
    </x:row>
    <x:row r="490">
      <x:c r="B490" s="28"/>
      <x:c r="I490" s="32"/>
      <x:c r="J490" s="30"/>
      <x:c r="K490" s="32" t="str">
        <x:f>IF(J490="","",1/J490)</x:f>
      </x:c>
      <x:c r="L490" s="32" t="str">
        <x:f>IF(OR(I490="",K490=""),"",I490-K490)</x:f>
      </x:c>
      <x:c r="M490" s="30"/>
      <x:c r="N490" s="30"/>
      <x:c r="O490" s="30" t="str">
        <x:f>IF(OR(M490="",N490=""),"",IF(N490="WIN",M490*(J490-1),IF(N490="LOSS",-M490,0)))</x:f>
      </x:c>
      <x:c r="P490" s="30"/>
      <x:c r="Q490" s="30" t="str">
        <x:f>IF(OR(J490="",P490=""),"",J490/P490-1)</x:f>
      </x:c>
      <x:c r="R490" s="30" t="str">
        <x:f>IF(O490="","",SUM($O$2:O490))</x:f>
      </x:c>
    </x:row>
    <x:row r="491">
      <x:c r="B491" s="28"/>
      <x:c r="I491" s="32"/>
      <x:c r="J491" s="30"/>
      <x:c r="K491" s="32" t="str">
        <x:f>IF(J491="","",1/J491)</x:f>
      </x:c>
      <x:c r="L491" s="32" t="str">
        <x:f>IF(OR(I491="",K491=""),"",I491-K491)</x:f>
      </x:c>
      <x:c r="M491" s="30"/>
      <x:c r="N491" s="30"/>
      <x:c r="O491" s="30" t="str">
        <x:f>IF(OR(M491="",N491=""),"",IF(N491="WIN",M491*(J491-1),IF(N491="LOSS",-M491,0)))</x:f>
      </x:c>
      <x:c r="P491" s="30"/>
      <x:c r="Q491" s="30" t="str">
        <x:f>IF(OR(J491="",P491=""),"",J491/P491-1)</x:f>
      </x:c>
      <x:c r="R491" s="30" t="str">
        <x:f>IF(O491="","",SUM($O$2:O491))</x:f>
      </x:c>
    </x:row>
    <x:row r="492">
      <x:c r="B492" s="28"/>
      <x:c r="I492" s="32"/>
      <x:c r="J492" s="30"/>
      <x:c r="K492" s="32" t="str">
        <x:f>IF(J492="","",1/J492)</x:f>
      </x:c>
      <x:c r="L492" s="32" t="str">
        <x:f>IF(OR(I492="",K492=""),"",I492-K492)</x:f>
      </x:c>
      <x:c r="M492" s="30"/>
      <x:c r="N492" s="30"/>
      <x:c r="O492" s="30" t="str">
        <x:f>IF(OR(M492="",N492=""),"",IF(N492="WIN",M492*(J492-1),IF(N492="LOSS",-M492,0)))</x:f>
      </x:c>
      <x:c r="P492" s="30"/>
      <x:c r="Q492" s="30" t="str">
        <x:f>IF(OR(J492="",P492=""),"",J492/P492-1)</x:f>
      </x:c>
      <x:c r="R492" s="30" t="str">
        <x:f>IF(O492="","",SUM($O$2:O492))</x:f>
      </x:c>
    </x:row>
    <x:row r="493">
      <x:c r="B493" s="28"/>
      <x:c r="I493" s="32"/>
      <x:c r="J493" s="30"/>
      <x:c r="K493" s="32" t="str">
        <x:f>IF(J493="","",1/J493)</x:f>
      </x:c>
      <x:c r="L493" s="32" t="str">
        <x:f>IF(OR(I493="",K493=""),"",I493-K493)</x:f>
      </x:c>
      <x:c r="M493" s="30"/>
      <x:c r="N493" s="30"/>
      <x:c r="O493" s="30" t="str">
        <x:f>IF(OR(M493="",N493=""),"",IF(N493="WIN",M493*(J493-1),IF(N493="LOSS",-M493,0)))</x:f>
      </x:c>
      <x:c r="P493" s="30"/>
      <x:c r="Q493" s="30" t="str">
        <x:f>IF(OR(J493="",P493=""),"",J493/P493-1)</x:f>
      </x:c>
      <x:c r="R493" s="30" t="str">
        <x:f>IF(O493="","",SUM($O$2:O493))</x:f>
      </x:c>
    </x:row>
    <x:row r="494">
      <x:c r="B494" s="28"/>
      <x:c r="I494" s="32"/>
      <x:c r="J494" s="30"/>
      <x:c r="K494" s="32" t="str">
        <x:f>IF(J494="","",1/J494)</x:f>
      </x:c>
      <x:c r="L494" s="32" t="str">
        <x:f>IF(OR(I494="",K494=""),"",I494-K494)</x:f>
      </x:c>
      <x:c r="M494" s="30"/>
      <x:c r="N494" s="30"/>
      <x:c r="O494" s="30" t="str">
        <x:f>IF(OR(M494="",N494=""),"",IF(N494="WIN",M494*(J494-1),IF(N494="LOSS",-M494,0)))</x:f>
      </x:c>
      <x:c r="P494" s="30"/>
      <x:c r="Q494" s="30" t="str">
        <x:f>IF(OR(J494="",P494=""),"",J494/P494-1)</x:f>
      </x:c>
      <x:c r="R494" s="30" t="str">
        <x:f>IF(O494="","",SUM($O$2:O494))</x:f>
      </x:c>
    </x:row>
    <x:row r="495">
      <x:c r="B495" s="28"/>
      <x:c r="I495" s="32"/>
      <x:c r="J495" s="30"/>
      <x:c r="K495" s="32" t="str">
        <x:f>IF(J495="","",1/J495)</x:f>
      </x:c>
      <x:c r="L495" s="32" t="str">
        <x:f>IF(OR(I495="",K495=""),"",I495-K495)</x:f>
      </x:c>
      <x:c r="M495" s="30"/>
      <x:c r="N495" s="30"/>
      <x:c r="O495" s="30" t="str">
        <x:f>IF(OR(M495="",N495=""),"",IF(N495="WIN",M495*(J495-1),IF(N495="LOSS",-M495,0)))</x:f>
      </x:c>
      <x:c r="P495" s="30"/>
      <x:c r="Q495" s="30" t="str">
        <x:f>IF(OR(J495="",P495=""),"",J495/P495-1)</x:f>
      </x:c>
      <x:c r="R495" s="30" t="str">
        <x:f>IF(O495="","",SUM($O$2:O495))</x:f>
      </x:c>
    </x:row>
    <x:row r="496">
      <x:c r="B496" s="28"/>
      <x:c r="I496" s="32"/>
      <x:c r="J496" s="30"/>
      <x:c r="K496" s="32" t="str">
        <x:f>IF(J496="","",1/J496)</x:f>
      </x:c>
      <x:c r="L496" s="32" t="str">
        <x:f>IF(OR(I496="",K496=""),"",I496-K496)</x:f>
      </x:c>
      <x:c r="M496" s="30"/>
      <x:c r="N496" s="30"/>
      <x:c r="O496" s="30" t="str">
        <x:f>IF(OR(M496="",N496=""),"",IF(N496="WIN",M496*(J496-1),IF(N496="LOSS",-M496,0)))</x:f>
      </x:c>
      <x:c r="P496" s="30"/>
      <x:c r="Q496" s="30" t="str">
        <x:f>IF(OR(J496="",P496=""),"",J496/P496-1)</x:f>
      </x:c>
      <x:c r="R496" s="30" t="str">
        <x:f>IF(O496="","",SUM($O$2:O496))</x:f>
      </x:c>
    </x:row>
    <x:row r="497">
      <x:c r="B497" s="28"/>
      <x:c r="I497" s="32"/>
      <x:c r="J497" s="30"/>
      <x:c r="K497" s="32" t="str">
        <x:f>IF(J497="","",1/J497)</x:f>
      </x:c>
      <x:c r="L497" s="32" t="str">
        <x:f>IF(OR(I497="",K497=""),"",I497-K497)</x:f>
      </x:c>
      <x:c r="M497" s="30"/>
      <x:c r="N497" s="30"/>
      <x:c r="O497" s="30" t="str">
        <x:f>IF(OR(M497="",N497=""),"",IF(N497="WIN",M497*(J497-1),IF(N497="LOSS",-M497,0)))</x:f>
      </x:c>
      <x:c r="P497" s="30"/>
      <x:c r="Q497" s="30" t="str">
        <x:f>IF(OR(J497="",P497=""),"",J497/P497-1)</x:f>
      </x:c>
      <x:c r="R497" s="30" t="str">
        <x:f>IF(O497="","",SUM($O$2:O497))</x:f>
      </x:c>
    </x:row>
    <x:row r="498">
      <x:c r="B498" s="28"/>
      <x:c r="I498" s="32"/>
      <x:c r="J498" s="30"/>
      <x:c r="K498" s="32" t="str">
        <x:f>IF(J498="","",1/J498)</x:f>
      </x:c>
      <x:c r="L498" s="32" t="str">
        <x:f>IF(OR(I498="",K498=""),"",I498-K498)</x:f>
      </x:c>
      <x:c r="M498" s="30"/>
      <x:c r="N498" s="30"/>
      <x:c r="O498" s="30" t="str">
        <x:f>IF(OR(M498="",N498=""),"",IF(N498="WIN",M498*(J498-1),IF(N498="LOSS",-M498,0)))</x:f>
      </x:c>
      <x:c r="P498" s="30"/>
      <x:c r="Q498" s="30" t="str">
        <x:f>IF(OR(J498="",P498=""),"",J498/P498-1)</x:f>
      </x:c>
      <x:c r="R498" s="30" t="str">
        <x:f>IF(O498="","",SUM($O$2:O498))</x:f>
      </x:c>
    </x:row>
    <x:row r="499">
      <x:c r="B499" s="28"/>
      <x:c r="I499" s="32"/>
      <x:c r="J499" s="30"/>
      <x:c r="K499" s="32" t="str">
        <x:f>IF(J499="","",1/J499)</x:f>
      </x:c>
      <x:c r="L499" s="32" t="str">
        <x:f>IF(OR(I499="",K499=""),"",I499-K499)</x:f>
      </x:c>
      <x:c r="M499" s="30"/>
      <x:c r="N499" s="30"/>
      <x:c r="O499" s="30" t="str">
        <x:f>IF(OR(M499="",N499=""),"",IF(N499="WIN",M499*(J499-1),IF(N499="LOSS",-M499,0)))</x:f>
      </x:c>
      <x:c r="P499" s="30"/>
      <x:c r="Q499" s="30" t="str">
        <x:f>IF(OR(J499="",P499=""),"",J499/P499-1)</x:f>
      </x:c>
      <x:c r="R499" s="30" t="str">
        <x:f>IF(O499="","",SUM($O$2:O499))</x:f>
      </x:c>
    </x:row>
    <x:row r="500">
      <x:c r="B500" s="28"/>
      <x:c r="I500" s="32"/>
      <x:c r="J500" s="30"/>
      <x:c r="K500" s="32" t="str">
        <x:f>IF(J500="","",1/J500)</x:f>
      </x:c>
      <x:c r="L500" s="32" t="str">
        <x:f>IF(OR(I500="",K500=""),"",I500-K500)</x:f>
      </x:c>
      <x:c r="M500" s="30"/>
      <x:c r="N500" s="30"/>
      <x:c r="O500" s="30" t="str">
        <x:f>IF(OR(M500="",N500=""),"",IF(N500="WIN",M500*(J500-1),IF(N500="LOSS",-M500,0)))</x:f>
      </x:c>
      <x:c r="P500" s="30"/>
      <x:c r="Q500" s="30" t="str">
        <x:f>IF(OR(J500="",P500=""),"",J500/P500-1)</x:f>
      </x:c>
      <x:c r="R500" s="30" t="str">
        <x:f>IF(O500="","",SUM($O$2:O500))</x:f>
      </x:c>
    </x:row>
    <x:row r="501">
      <x:c r="B501" s="28"/>
      <x:c r="I501" s="32"/>
      <x:c r="J501" s="30"/>
      <x:c r="K501" s="32" t="str">
        <x:f>IF(J501="","",1/J501)</x:f>
      </x:c>
      <x:c r="L501" s="32" t="str">
        <x:f>IF(OR(I501="",K501=""),"",I501-K501)</x:f>
      </x:c>
      <x:c r="M501" s="30"/>
      <x:c r="N501" s="30"/>
      <x:c r="O501" s="30" t="str">
        <x:f>IF(OR(M501="",N501=""),"",IF(N501="WIN",M501*(J501-1),IF(N501="LOSS",-M501,0)))</x:f>
      </x:c>
      <x:c r="P501" s="30"/>
      <x:c r="Q501" s="30" t="str">
        <x:f>IF(OR(J501="",P501=""),"",J501/P501-1)</x:f>
      </x:c>
      <x:c r="R501" s="30" t="str">
        <x:f>IF(O501="","",SUM($O$2:O501))</x:f>
      </x:c>
    </x:row>
  </x:sheetData>
  <x:conditionalFormatting sqref="L2:L501">
    <x:cfRule type="expression" dxfId="0" priority="1">
      <x:formula>L2&gt;0</x:formula>
    </x:cfRule>
    <x:cfRule type="expression" dxfId="1" priority="2">
      <x:formula>L2&lt;0</x:formula>
    </x:cfRule>
  </x:conditionalFormatting>
  <x:conditionalFormatting sqref="O2:O501">
    <x:cfRule type="expression" dxfId="2" priority="3">
      <x:formula>O2&gt;0</x:formula>
    </x:cfRule>
    <x:cfRule type="expression" dxfId="3" priority="4">
      <x:formula>O2&lt;0</x:formula>
    </x:cfRule>
  </x:conditionalFormatting>
  <x:dataValidations count="2">
    <x:dataValidation type="list" sqref="H2:H501">
      <x:formula1>"Over 2.5,Under 2.5"</x:formula1>
    </x:dataValidation>
    <x:dataValidation type="list" sqref="N2:N501">
      <x:formula1>"WIN,LOSS,VOID,PENDING"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f65328440348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0" hidden="0" customWidth="1"/>
    <x:col min="5" max="5" width="45" hidden="0" customWidth="1"/>
  </x:cols>
  <x:sheetData>
    <x:row r="1">
      <x:c r="A1" s="62" t="str">
        <x:v>BETTING INTELLIGENCE v0.1 — DASHBOARD</x:v>
      </x:c>
      <x:c r="B1" s="62"/>
      <x:c r="C1" s="62"/>
      <x:c r="D1" s="62"/>
      <x:c r="E1" s="62"/>
      <x:c r="F1" s="5"/>
      <x:c r="G1" s="5"/>
      <x:c r="H1" s="5"/>
    </x:row>
    <x:row r="3">
      <x:c r="A3" s="22" t="str">
        <x:v>Metric</x:v>
      </x:c>
      <x:c r="B3" s="22" t="str">
        <x:v>Value</x:v>
      </x:c>
      <x:c r="D3" s="22" t="str">
        <x:v>Stage</x:v>
      </x:c>
      <x:c r="E3" s="22" t="str">
        <x:v>Rule</x:v>
      </x:c>
    </x:row>
    <x:row r="4">
      <x:c r="A4" s="55" t="str">
        <x:v>Total Paper Bets</x:v>
      </x:c>
      <x:c r="B4" t="n">
        <x:f>COUNTIF(Paper_Bets!H2:H501,"&lt;&gt;")</x:f>
        <x:v>1</x:v>
      </x:c>
      <x:c r="D4" s="59" t="str">
        <x:v>Discovery</x:v>
      </x:c>
      <x:c r="E4" t="str">
        <x:v>Find candidate patterns only.</x:v>
      </x:c>
    </x:row>
    <x:row r="5">
      <x:c r="A5" s="55" t="str">
        <x:v>Settled Bets</x:v>
      </x:c>
      <x:c r="B5" t="n">
        <x:f>COUNTIF(Paper_Bets!N2:N501,"WIN")+COUNTIF(Paper_Bets!N2:N501,"LOSS")</x:f>
        <x:v>0</x:v>
      </x:c>
      <x:c r="D5" s="59" t="str">
        <x:v>Validation</x:v>
      </x:c>
      <x:c r="E5" t="str">
        <x:v>Freeze the pattern before testing.</x:v>
      </x:c>
    </x:row>
    <x:row r="6">
      <x:c r="A6" s="55" t="str">
        <x:v>Wins</x:v>
      </x:c>
      <x:c r="B6" t="n">
        <x:f>COUNTIF(Paper_Bets!N2:N501,"WIN")</x:f>
        <x:v>0</x:v>
      </x:c>
      <x:c r="D6" s="59" t="str">
        <x:v>Forward Test</x:v>
      </x:c>
      <x:c r="E6" t="str">
        <x:v>Use newer unseen matches.</x:v>
      </x:c>
    </x:row>
    <x:row r="7">
      <x:c r="A7" s="55" t="str">
        <x:v>Hit Rate</x:v>
      </x:c>
      <x:c r="B7" s="32" t="str">
        <x:f>IF(B5=0,"",B6/B5)</x:f>
      </x:c>
      <x:c r="D7" s="59" t="str">
        <x:v>Live Paper</x:v>
      </x:c>
      <x:c r="E7" t="str">
        <x:v>Record prediction before kickoff.</x:v>
      </x:c>
    </x:row>
    <x:row r="8">
      <x:c r="A8" s="55" t="str">
        <x:v>Total Profit (units)</x:v>
      </x:c>
      <x:c r="B8" s="30" t="n">
        <x:f>SUM(Paper_Bets!O2:O501)</x:f>
        <x:v>0</x:v>
      </x:c>
      <x:c r="D8" s="59" t="str">
        <x:v>Promote</x:v>
      </x:c>
      <x:c r="E8" t="str">
        <x:v>Only stable patterns move forward.</x:v>
      </x:c>
    </x:row>
    <x:row r="9">
      <x:c r="A9" s="55" t="str">
        <x:v>ROI</x:v>
      </x:c>
      <x:c r="B9" s="32" t="n">
        <x:f>IF(SUM(Paper_Bets!M2:M501)=0,"",B8/SUM(Paper_Bets!M2:M501))</x:f>
        <x:v>0</x:v>
      </x:c>
      <x:c r="D9" s="59" t="str">
        <x:v>Reject</x:v>
      </x:c>
      <x:c r="E9" t="str">
        <x:v>Drop unstable or overfit patterns.</x:v>
      </x:c>
    </x:row>
    <x:row r="10">
      <x:c r="A10" s="55" t="str">
        <x:v>Average Edge</x:v>
      </x:c>
      <x:c r="B10" s="32" t="n">
        <x:f>IFERROR(AVERAGE(Paper_Bets!L2:L501),"")</x:f>
        <x:v>0.04586351227100782</x:v>
      </x:c>
    </x:row>
    <x:row r="11">
      <x:c r="D11" s="67" t="str">
        <x:v>Live Research</x:v>
      </x:c>
      <x:c r="E11" s="67" t="str">
        <x:v>Value</x:v>
      </x:c>
    </x:row>
    <x:row r="12">
      <x:c r="D12" s="77" t="str">
        <x:v>Live snapshots</x:v>
      </x:c>
      <x:c r="E12" s="15" t="n">
        <x:v>1</x:v>
      </x:c>
    </x:row>
    <x:row r="13">
      <x:c r="D13" s="77" t="str">
        <x:v>First live match</x:v>
      </x:c>
      <x:c r="E13" s="15" t="str">
        <x:v>SKC vs St. Louis CITY</x:v>
      </x:c>
    </x:row>
    <x:row r="14">
      <x:c r="D14" s="77" t="str">
        <x:v>Current status</x:v>
      </x:c>
      <x:c r="E14" s="15" t="str">
        <x:v>Baseline only</x:v>
      </x:c>
    </x:row>
    <x:row r="15">
      <x:c r="D15" s="77" t="str">
        <x:v>Model bet</x:v>
      </x:c>
      <x:c r="E15" s="15" t="str">
        <x:v>NO — not validated yet</x:v>
      </x:c>
    </x:row>
    <x:row r="17">
      <x:c r="D17" s="108" t="str">
        <x:v>PRE-BET GATE</x:v>
      </x:c>
      <x:c r="E17" s="108" t="str">
        <x:v>Current</x:v>
      </x:c>
    </x:row>
    <x:row r="18">
      <x:c r="D18" s="109" t="str">
        <x:v>Match</x:v>
      </x:c>
      <x:c r="E18" s="15" t="str">
        <x:v>SKC vs St. Louis CITY</x:v>
      </x:c>
    </x:row>
    <x:row r="19">
      <x:c r="D19" s="109" t="str">
        <x:v>Market tested</x:v>
      </x:c>
      <x:c r="E19" s="15" t="str">
        <x:v>Over 2.5</x:v>
      </x:c>
    </x:row>
    <x:row r="20">
      <x:c r="D20" s="109" t="str">
        <x:v>Ensemble estimate</x:v>
      </x:c>
      <x:c r="E20" s="15" t="str">
        <x:v>58.2%</x:v>
      </x:c>
    </x:row>
    <x:row r="21">
      <x:c r="D21" s="109" t="str">
        <x:v>Market fair estimate</x:v>
      </x:c>
      <x:c r="E21" s="15" t="str">
        <x:v>61.2%</x:v>
      </x:c>
    </x:row>
    <x:row r="22">
      <x:c r="D22" s="109" t="str">
        <x:v>Decision</x:v>
      </x:c>
      <x:c r="E22" s="15" t="str">
        <x:v>NO BET / PAPER ONLY</x:v>
      </x:c>
    </x:row>
    <x:row r="24">
      <x:c r="D24" s="141" t="str">
        <x:v>v0.1.3 FINAL-GATE STATUS</x:v>
      </x:c>
      <x:c r="E24" s="141" t="str">
        <x:v>Current</x:v>
      </x:c>
    </x:row>
    <x:row r="25">
      <x:c r="D25" s="142" t="str">
        <x:v>Current Over odds</x:v>
      </x:c>
      <x:c r="E25" s="15" t="str">
        <x:v>1.47</x:v>
      </x:c>
    </x:row>
    <x:row r="26">
      <x:c r="D26" s="142" t="str">
        <x:v>Model estimate</x:v>
      </x:c>
      <x:c r="E26" s="15" t="str">
        <x:v>58.2%</x:v>
      </x:c>
    </x:row>
    <x:row r="27">
      <x:c r="D27" s="142" t="str">
        <x:v>Market fair estimate</x:v>
      </x:c>
      <x:c r="E27" s="15" t="str">
        <x:v>63.9%</x:v>
      </x:c>
    </x:row>
    <x:row r="28">
      <x:c r="D28" s="142" t="str">
        <x:v>Break-even odds</x:v>
      </x:c>
      <x:c r="E28" s="15" t="str">
        <x:v>1.72</x:v>
      </x:c>
    </x:row>
    <x:row r="29">
      <x:c r="D29" s="142" t="str">
        <x:v>+5% EV target odds</x:v>
      </x:c>
      <x:c r="E29" s="15" t="str">
        <x:v>1.80</x:v>
      </x:c>
    </x:row>
    <x:row r="30">
      <x:c r="D30" s="142" t="str">
        <x:v>Lineup</x:v>
      </x:c>
      <x:c r="E30" s="15" t="str">
        <x:v>PENDING</x:v>
      </x:c>
    </x:row>
    <x:row r="31">
      <x:c r="D31" s="142" t="str">
        <x:v>Decision</x:v>
      </x:c>
      <x:c r="E31" s="15" t="str">
        <x:v>NO BET / PAPER ONLY</x:v>
      </x:c>
    </x:row>
    <x:row r="33">
      <x:c r="D33" s="178" t="str">
        <x:v>v0.1.4 CANDIDATE</x:v>
      </x:c>
      <x:c r="E33" s="178" t="str">
        <x:v>Current</x:v>
      </x:c>
    </x:row>
    <x:row r="34">
      <x:c r="D34" s="179" t="str">
        <x:v>Market</x:v>
      </x:c>
      <x:c r="E34" s="15" t="str">
        <x:v>Under 3.5 Goals</x:v>
      </x:c>
    </x:row>
    <x:row r="35">
      <x:c r="D35" s="179" t="str">
        <x:v>Weighted λ</x:v>
      </x:c>
      <x:c r="E35" s="15" t="str">
        <x:v>2.905</x:v>
      </x:c>
    </x:row>
    <x:row r="36">
      <x:c r="D36" s="179" t="str">
        <x:v>Model probability</x:v>
      </x:c>
      <x:c r="E36" s="15" t="str">
        <x:v>66.9%</x:v>
      </x:c>
    </x:row>
    <x:row r="37">
      <x:c r="D37" s="179" t="str">
        <x:v>Current odds</x:v>
      </x:c>
      <x:c r="E37" s="15" t="str">
        <x:v>~1.61</x:v>
      </x:c>
    </x:row>
    <x:row r="38">
      <x:c r="D38" s="179" t="str">
        <x:v>De-vig market probability</x:v>
      </x:c>
      <x:c r="E38" s="15" t="str">
        <x:v>59.9%</x:v>
      </x:c>
    </x:row>
    <x:row r="39">
      <x:c r="D39" s="179" t="str">
        <x:v>Model edge</x:v>
      </x:c>
      <x:c r="E39" s="15" t="str">
        <x:v>+7.0 pp</x:v>
      </x:c>
    </x:row>
    <x:row r="40">
      <x:c r="D40" s="179" t="str">
        <x:v>Model EV</x:v>
      </x:c>
      <x:c r="E40" s="15" t="str">
        <x:v>+7.4%</x:v>
      </x:c>
    </x:row>
    <x:row r="41">
      <x:c r="D41" s="179" t="str">
        <x:v>Status</x:v>
      </x:c>
      <x:c r="E41" s="15" t="str">
        <x:v>PAPER CANDIDATE — validation/lineup pending</x:v>
      </x:c>
    </x:row>
    <x:row r="43">
      <x:c r="D43" s="209" t="str">
        <x:v>v0.1.5 ROBUSTNESS</x:v>
      </x:c>
      <x:c r="E43" s="209" t="str">
        <x:v>Current</x:v>
      </x:c>
    </x:row>
    <x:row r="44">
      <x:c r="D44" s="210" t="str">
        <x:v>xG total λ</x:v>
      </x:c>
      <x:c r="E44" s="15" t="str">
        <x:v>2.945</x:v>
      </x:c>
    </x:row>
    <x:row r="45">
      <x:c r="D45" s="210" t="str">
        <x:v>Blended λ</x:v>
      </x:c>
      <x:c r="E45" s="15" t="str">
        <x:v>2.921</x:v>
      </x:c>
    </x:row>
    <x:row r="46">
      <x:c r="D46" s="210" t="str">
        <x:v>Under 3.5 base P</x:v>
      </x:c>
      <x:c r="E46" s="15" t="str">
        <x:v>66.5%</x:v>
      </x:c>
    </x:row>
    <x:row r="47">
      <x:c r="D47" s="210" t="str">
        <x:v>Low-goal stress P</x:v>
      </x:c>
      <x:c r="E47" s="15" t="str">
        <x:v>~73%</x:v>
      </x:c>
    </x:row>
    <x:row r="48">
      <x:c r="D48" s="210" t="str">
        <x:v>High-goal stress P</x:v>
      </x:c>
      <x:c r="E48" s="15" t="str">
        <x:v>~60%</x:v>
      </x:c>
    </x:row>
    <x:row r="49">
      <x:c r="D49" s="210" t="str">
        <x:v>Market fair P</x:v>
      </x:c>
      <x:c r="E49" s="15" t="str">
        <x:v>~59.9%</x:v>
      </x:c>
    </x:row>
    <x:row r="50">
      <x:c r="D50" s="210" t="str">
        <x:v>Edge quality</x:v>
      </x:c>
      <x:c r="E50" s="15" t="str">
        <x:v>FRAGILE at high-λ stress</x:v>
      </x:c>
    </x:row>
    <x:row r="51">
      <x:c r="D51" s="210" t="str">
        <x:v>Real-money gate</x:v>
      </x:c>
      <x:c r="E51" s="15" t="str">
        <x:v>NO — PAPER ONLY</x:v>
      </x:c>
    </x:row>
    <x:row r="53">
      <x:c r="D53" s="250" t="str">
        <x:v>v0.1.6 FINAL PRE-KICK</x:v>
      </x:c>
      <x:c r="E53" s="250" t="str">
        <x:v>Current</x:v>
      </x:c>
    </x:row>
    <x:row r="54">
      <x:c r="D54" s="251" t="str">
        <x:v>Lineups</x:v>
      </x:c>
      <x:c r="E54" s="15" t="str">
        <x:v>CONFIRMED</x:v>
      </x:c>
    </x:row>
    <x:row r="55">
      <x:c r="D55" s="251" t="str">
        <x:v>MLS U3.5 baseline</x:v>
      </x:c>
      <x:c r="E55" s="15" t="str">
        <x:v>60.9%</x:v>
      </x:c>
    </x:row>
    <x:row r="56">
      <x:c r="D56" s="251" t="str">
        <x:v>Post-lineup λ</x:v>
      </x:c>
      <x:c r="E56" s="15" t="str">
        <x:v>3.021</x:v>
      </x:c>
    </x:row>
    <x:row r="57">
      <x:c r="D57" s="251" t="str">
        <x:v>Raw model U3.5</x:v>
      </x:c>
      <x:c r="E57" s="15" t="str">
        <x:v>64.3%</x:v>
      </x:c>
    </x:row>
    <x:row r="58">
      <x:c r="D58" s="251" t="str">
        <x:v>Shrunk U3.5</x:v>
      </x:c>
      <x:c r="E58" s="15" t="str">
        <x:v>~62.6%</x:v>
      </x:c>
    </x:row>
    <x:row r="59">
      <x:c r="D59" s="251" t="str">
        <x:v>Observed U3.5 odds</x:v>
      </x:c>
      <x:c r="E59" s="15" t="str">
        <x:v>1.625</x:v>
      </x:c>
    </x:row>
    <x:row r="60">
      <x:c r="D60" s="251" t="str">
        <x:v>Break-even P</x:v>
      </x:c>
      <x:c r="E60" s="15" t="str">
        <x:v>61.5%</x:v>
      </x:c>
    </x:row>
    <x:row r="61">
      <x:c r="D61" s="251" t="str">
        <x:v>Conservative EV</x:v>
      </x:c>
      <x:c r="E61" s="15" t="str">
        <x:v>~+1.7%</x:v>
      </x:c>
    </x:row>
    <x:row r="62">
      <x:c r="D62" s="251" t="str">
        <x:v>+3% EV required odds</x:v>
      </x:c>
      <x:c r="E62" s="15" t="str">
        <x:v>~1.65</x:v>
      </x:c>
    </x:row>
    <x:row r="63">
      <x:c r="D63" s="251" t="str">
        <x:v>System decision</x:v>
      </x:c>
      <x:c r="E63" s="15" t="str">
        <x:v>PAPER ONLY</x:v>
      </x:c>
    </x:row>
    <x:row r="65">
      <x:c r="D65" s="283" t="str">
        <x:v>v0.1.7 VALIDATION BATCH 1</x:v>
      </x:c>
      <x:c r="E65" s="283" t="str">
        <x:v>Result</x:v>
      </x:c>
    </x:row>
    <x:row r="66">
      <x:c r="D66" s="284" t="str">
        <x:v>Historical matches checked</x:v>
      </x:c>
      <x:c r="E66" s="15" t="str">
        <x:v>25</x:v>
      </x:c>
    </x:row>
    <x:row r="67">
      <x:c r="D67" s="284" t="str">
        <x:v>Tight rule sample</x:v>
      </x:c>
      <x:c r="E67" s="15" t="str">
        <x:v>5</x:v>
      </x:c>
    </x:row>
    <x:row r="68">
      <x:c r="D68" s="284" t="str">
        <x:v>Tight rule hit rate</x:v>
      </x:c>
      <x:c r="E68" s="15" t="str">
        <x:v>100%</x:v>
      </x:c>
    </x:row>
    <x:row r="69">
      <x:c r="D69" s="284" t="str">
        <x:v>Tight rule ROI</x:v>
      </x:c>
      <x:c r="E69" s="15" t="str">
        <x:v>+69%</x:v>
      </x:c>
    </x:row>
    <x:row r="70">
      <x:c r="D70" s="284" t="str">
        <x:v>Near-neighbour hit rate</x:v>
      </x:c>
      <x:c r="E70" s="15" t="str">
        <x:v>60%</x:v>
      </x:c>
    </x:row>
    <x:row r="71">
      <x:c r="D71" s="284" t="str">
        <x:v>Near-neighbour ROI</x:v>
      </x:c>
      <x:c r="E71" s="15" t="str">
        <x:v>~0%</x:v>
      </x:c>
    </x:row>
    <x:row r="72">
      <x:c r="D72" s="284" t="str">
        <x:v>Threshold stability</x:v>
      </x:c>
      <x:c r="E72" s="15" t="str">
        <x:v>UNSTABLE / MIXED</x:v>
      </x:c>
    </x:row>
    <x:row r="73">
      <x:c r="D73" s="284" t="str">
        <x:v>Pattern #002</x:v>
      </x:c>
      <x:c r="E73" s="15" t="str">
        <x:v>NOT VALIDATED</x:v>
      </x:c>
    </x:row>
    <x:row r="74">
      <x:c r="D74" s="284" t="str">
        <x:v>Real-money gate</x:v>
      </x:c>
      <x:c r="E74" s="15" t="str">
        <x:v>NO</x:v>
      </x:c>
    </x:row>
    <x:row r="76">
      <x:c r="D76" s="304" t="str">
        <x:v>v0.1.8 ANTI-OVERFIT</x:v>
      </x:c>
      <x:c r="E76" s="304" t="str">
        <x:v>Result</x:v>
      </x:c>
    </x:row>
    <x:row r="77">
      <x:c r="D77" s="305" t="str">
        <x:v>Tight result</x:v>
      </x:c>
      <x:c r="E77" s="15" t="str">
        <x:v>5/5 (100%)</x:v>
      </x:c>
    </x:row>
    <x:row r="78">
      <x:c r="D78" s="305" t="str">
        <x:v>Tight 95% lower bound</x:v>
      </x:c>
      <x:c r="E78" s="15" t="str">
        <x:v>~56.6%</x:v>
      </x:c>
    </x:row>
    <x:row r="79">
      <x:c r="D79" s="305" t="str">
        <x:v>Near-threshold result</x:v>
      </x:c>
      <x:c r="E79" s="15" t="str">
        <x:v>6/10 (60%)</x:v>
      </x:c>
    </x:row>
    <x:row r="80">
      <x:c r="D80" s="305" t="str">
        <x:v>Threshold stability</x:v>
      </x:c>
      <x:c r="E80" s="15" t="str">
        <x:v>FAIL / MIXED</x:v>
      </x:c>
    </x:row>
    <x:row r="81">
      <x:c r="D81" s="305" t="str">
        <x:v>Discovery N required</x:v>
      </x:c>
      <x:c r="E81" s="15" t="str">
        <x:v>30+</x:v>
      </x:c>
    </x:row>
    <x:row r="82">
      <x:c r="D82" s="305" t="str">
        <x:v>Validation N required</x:v>
      </x:c>
      <x:c r="E82" s="15" t="str">
        <x:v>30+</x:v>
      </x:c>
    </x:row>
    <x:row r="83">
      <x:c r="D83" s="305" t="str">
        <x:v>Best U3.5 observed</x:v>
      </x:c>
      <x:c r="E83" s="15" t="str">
        <x:v>~1.65</x:v>
      </x:c>
    </x:row>
    <x:row r="84">
      <x:c r="D84" s="305" t="str">
        <x:v>Pattern #002</x:v>
      </x:c>
      <x:c r="E84" s="15" t="str">
        <x:v>CANDIDATE</x:v>
      </x:c>
    </x:row>
    <x:row r="85">
      <x:c r="D85" s="305" t="str">
        <x:v>Real-money gate</x:v>
      </x:c>
      <x:c r="E85" s="15" t="str">
        <x:v>NO</x:v>
      </x:c>
    </x:row>
    <x:row r="88">
      <x:c r="D88" s="313" t="str">
        <x:v>v0.1.9 PATTERN FREEZE</x:v>
      </x:c>
      <x:c r="E88" s="313" t="str">
        <x:v>Status</x:v>
      </x:c>
    </x:row>
    <x:row r="89">
      <x:c r="D89" s="334" t="str">
        <x:v>P002 definition</x:v>
      </x:c>
      <x:c r="E89" s="15" t="str">
        <x:v>LOCKED</x:v>
      </x:c>
    </x:row>
    <x:row r="90">
      <x:c r="D90" s="334" t="str">
        <x:v>2025 regular-season archive</x:v>
      </x:c>
      <x:c r="E90" s="15" t="str">
        <x:v>CONFIRMED</x:v>
      </x:c>
    </x:row>
    <x:row r="91">
      <x:c r="D91" s="334" t="str">
        <x:v>2025 independent qualifiers</x:v>
      </x:c>
      <x:c r="E91" s="15" t="str">
        <x:v>0 complete</x:v>
      </x:c>
    </x:row>
    <x:row r="92">
      <x:c r="D92" s="334" t="str">
        <x:v>Required independent N</x:v>
      </x:c>
      <x:c r="E92" s="15" t="str">
        <x:v>30+</x:v>
      </x:c>
    </x:row>
    <x:row r="93">
      <x:c r="D93" s="334" t="str">
        <x:v>Public bets Over 3.5</x:v>
      </x:c>
      <x:c r="E93" s="15" t="str">
        <x:v>92%</x:v>
      </x:c>
    </x:row>
    <x:row r="94">
      <x:c r="D94" s="334" t="str">
        <x:v>Public money Over 3.5</x:v>
      </x:c>
      <x:c r="E94" s="15" t="str">
        <x:v>92%</x:v>
      </x:c>
    </x:row>
    <x:row r="95">
      <x:c r="D95" s="334" t="str">
        <x:v>Crowding model weight</x:v>
      </x:c>
      <x:c r="E95" s="15" t="str">
        <x:v>0% — RECORD ONLY</x:v>
      </x:c>
    </x:row>
    <x:row r="96">
      <x:c r="D96" s="334" t="str">
        <x:v>Today's paper test</x:v>
      </x:c>
      <x:c r="E96" s="15" t="str">
        <x:v>YES</x:v>
      </x:c>
    </x:row>
    <x:row r="97">
      <x:c r="D97" s="334" t="str">
        <x:v>Real-money gate</x:v>
      </x:c>
      <x:c r="E97" s="15" t="str">
        <x:v>NO</x:v>
      </x:c>
    </x:row>
    <x:row r="98">
      <x:c r="D98" s="334" t="str">
        <x:v>Next promotion condition</x:v>
      </x:c>
      <x:c r="E98" s="15" t="str">
        <x:v>Independent validation + stability</x:v>
      </x:c>
    </x:row>
    <x:row r="100">
      <x:c r="D100" s="369" t="str">
        <x:v>v0.2.0 DATA INTEGRITY</x:v>
      </x:c>
      <x:c r="E100" s="369" t="str">
        <x:v>Status</x:v>
      </x:c>
    </x:row>
    <x:row r="101">
      <x:c r="D101" s="374" t="str">
        <x:v>Historical odds convention</x:v>
      </x:c>
      <x:c r="E101" s="15" t="str">
        <x:v>1xBet closing</x:v>
      </x:c>
    </x:row>
    <x:row r="102">
      <x:c r="D102" s="374" t="str">
        <x:v>Live market reference</x:v>
      </x:c>
      <x:c r="E102" s="15" t="str">
        <x:v>Consensus/reference snapshot</x:v>
      </x:c>
    </x:row>
    <x:row r="103">
      <x:c r="D103" s="374" t="str">
        <x:v>Execution odds</x:v>
      </x:c>
      <x:c r="E103" s="15" t="str">
        <x:v>SEPARATE FIELD</x:v>
      </x:c>
    </x:row>
    <x:row r="104">
      <x:c r="D104" s="374" t="str">
        <x:v>Actual user execution price</x:v>
      </x:c>
      <x:c r="E104" s="15" t="str">
        <x:v>MISSING</x:v>
      </x:c>
    </x:row>
    <x:row r="105">
      <x:c r="D105" s="374" t="str">
        <x:v>2025 early U3.5 baseline</x:v>
      </x:c>
      <x:c r="E105" s="15" t="str">
        <x:v>57%</x:v>
      </x:c>
    </x:row>
    <x:row r="106">
      <x:c r="D106" s="374" t="str">
        <x:v>2025 late U3.5 baseline</x:v>
      </x:c>
      <x:c r="E106" s="15" t="str">
        <x:v>67%</x:v>
      </x:c>
    </x:row>
    <x:row r="107">
      <x:c r="D107" s="374" t="str">
        <x:v>2026 current U3.5 baseline</x:v>
      </x:c>
      <x:c r="E107" s="15" t="str">
        <x:v>61%</x:v>
      </x:c>
    </x:row>
    <x:row r="108">
      <x:c r="D108" s="374" t="str">
        <x:v>Regime stability</x:v>
      </x:c>
      <x:c r="E108" s="15" t="str">
        <x:v>FAIL — material drift</x:v>
      </x:c>
    </x:row>
    <x:row r="109">
      <x:c r="D109" s="374" t="str">
        <x:v>Normalized exact qualifiers</x:v>
      </x:c>
      <x:c r="E109" s="15" t="str">
        <x:v>0</x:v>
      </x:c>
    </x:row>
    <x:row r="110">
      <x:c r="D110" s="374" t="str">
        <x:v>Pattern #002</x:v>
      </x:c>
      <x:c r="E110" s="15" t="str">
        <x:v>CANDIDATE</x:v>
      </x:c>
    </x:row>
    <x:row r="111">
      <x:c r="D111" s="374" t="str">
        <x:v>Paper-only gate</x:v>
      </x:c>
      <x:c r="E111" s="15" t="str">
        <x:v>YES</x:v>
      </x:c>
    </x:row>
    <x:row r="112">
      <x:c r="D112" s="374" t="str">
        <x:v>Real-money gate</x:v>
      </x:c>
      <x:c r="E112" s="15" t="str">
        <x:v>NO</x:v>
      </x:c>
    </x:row>
    <x:row r="114">
      <x:c r="D114" s="390" t="str">
        <x:v>v0.2.1 NORMALIZED EXTRACTOR</x:v>
      </x:c>
      <x:c r="E114" s="390" t="str">
        <x:v>Status</x:v>
      </x:c>
    </x:row>
    <x:row r="115">
      <x:c r="D115" s="406" t="str">
        <x:v>Historical source</x:v>
      </x:c>
      <x:c r="E115" s="15" t="str">
        <x:v>1xBet closing only</x:v>
      </x:c>
    </x:row>
    <x:row r="116">
      <x:c r="D116" s="406" t="str">
        <x:v>Seed rows normalized</x:v>
      </x:c>
      <x:c r="E116" s="15" t="str">
        <x:v>25</x:v>
      </x:c>
    </x:row>
    <x:row r="117">
      <x:c r="D117" s="406" t="str">
        <x:v>Price-only qualifiers</x:v>
      </x:c>
      <x:c r="E117" s="15" t="str">
        <x:v>5</x:v>
      </x:c>
    </x:row>
    <x:row r="118">
      <x:c r="D118" s="406" t="str">
        <x:v>Price-only wins</x:v>
      </x:c>
      <x:c r="E118" s="15" t="str">
        <x:v>5</x:v>
      </x:c>
    </x:row>
    <x:row r="119">
      <x:c r="D119" s="406" t="str">
        <x:v>Price-only status</x:v>
      </x:c>
      <x:c r="E119" s="15" t="str">
        <x:v>PROXY — NOT FULL P002</x:v>
      </x:c>
    </x:row>
    <x:row r="120">
      <x:c r="D120" s="406" t="str">
        <x:v>Live reference book</x:v>
      </x:c>
      <x:c r="E120" s="15" t="str">
        <x:v>FOX</x:v>
      </x:c>
    </x:row>
    <x:row r="121">
      <x:c r="D121" s="406" t="str">
        <x:v>FOX U3.5</x:v>
      </x:c>
      <x:c r="E121" s="15" t="str">
        <x:v>1.625</x:v>
      </x:c>
    </x:row>
    <x:row r="122">
      <x:c r="D122" s="406" t="str">
        <x:v>Model P U3.5</x:v>
      </x:c>
      <x:c r="E122" s="15" t="str">
        <x:v>62.6%</x:v>
      </x:c>
    </x:row>
    <x:row r="123">
      <x:c r="D123" s="406" t="str">
        <x:v>Fair market P U3.5</x:v>
      </x:c>
      <x:c r="E123" s="15" t="str">
        <x:v>~57.5%</x:v>
      </x:c>
    </x:row>
    <x:row r="124">
      <x:c r="D124" s="406" t="str">
        <x:v>Reference EV</x:v>
      </x:c>
      <x:c r="E124" s="15" t="str">
        <x:v>~+1.7%</x:v>
      </x:c>
    </x:row>
    <x:row r="125">
      <x:c r="D125" s="406" t="str">
        <x:v>+3% model-EV price</x:v>
      </x:c>
      <x:c r="E125" s="15" t="str">
        <x:v>~1.646</x:v>
      </x:c>
    </x:row>
    <x:row r="126">
      <x:c r="D126" s="406" t="str">
        <x:v>Real-money gate</x:v>
      </x:c>
      <x:c r="E126" s="15" t="str">
        <x:v>NO</x:v>
      </x:c>
    </x:row>
    <x:row r="128">
      <x:c r="D128" s="434" t="str">
        <x:v>v0.2.2 FEATURE BACKFILL</x:v>
      </x:c>
      <x:c r="E128" s="434" t="str">
        <x:v>Status</x:v>
      </x:c>
    </x:row>
    <x:row r="129">
      <x:c r="D129" s="435" t="str">
        <x:v>No-hindsight rolling engine</x:v>
      </x:c>
      <x:c r="E129" s="15" t="str">
        <x:v>BUILT</x:v>
      </x:c>
    </x:row>
    <x:row r="130">
      <x:c r="D130" s="435" t="str">
        <x:v>Minimum prior matches/team</x:v>
      </x:c>
      <x:c r="E130" s="15" t="str">
        <x:v>3</x:v>
      </x:c>
    </x:row>
    <x:row r="131">
      <x:c r="D131" s="435" t="str">
        <x:v>Seed matches</x:v>
      </x:c>
      <x:c r="E131" s="15" t="str">
        <x:v>25</x:v>
      </x:c>
    </x:row>
    <x:row r="132">
      <x:c r="D132" s="435" t="str">
        <x:v>Rows with research warmup N&gt;=1</x:v>
      </x:c>
      <x:c r="E132" s="15" t="n">
        <x:f>'Feature_Backfill_v0.2.2'!AL5</x:f>
        <x:v>10</x:v>
      </x:c>
    </x:row>
    <x:row r="133">
      <x:c r="D133" s="435" t="str">
        <x:v>Rows with validation warmup N&gt;=3</x:v>
      </x:c>
      <x:c r="E133" s="15" t="n">
        <x:f>'Feature_Backfill_v0.2.2'!AL6</x:f>
        <x:v>0</x:v>
      </x:c>
    </x:row>
    <x:row r="134">
      <x:c r="D134" s="435" t="str">
        <x:v>Full validation qualifiers</x:v>
      </x:c>
      <x:c r="E134" s="15" t="n">
        <x:f>'Feature_Backfill_v0.2.2'!AL9</x:f>
        <x:v>0</x:v>
      </x:c>
    </x:row>
    <x:row r="135">
      <x:c r="D135" s="435" t="str">
        <x:v>Future-data leakage</x:v>
      </x:c>
      <x:c r="E135" s="15" t="str">
        <x:v>BLOCKED</x:v>
      </x:c>
    </x:row>
    <x:row r="136">
      <x:c r="D136" s="435" t="str">
        <x:v>Historical model feature</x:v>
      </x:c>
      <x:c r="E136" s="15" t="str">
        <x:v>Rolling GF/GA proxy</x:v>
      </x:c>
    </x:row>
    <x:row r="137">
      <x:c r="D137" s="435" t="str">
        <x:v>Historical xG backfill</x:v>
      </x:c>
      <x:c r="E137" s="15" t="str">
        <x:v>STILL MISSING</x:v>
      </x:c>
    </x:row>
    <x:row r="138">
      <x:c r="D138" s="435" t="str">
        <x:v>P002 full validation</x:v>
      </x:c>
      <x:c r="E138" s="15" t="str">
        <x:v>NOT READY</x:v>
      </x:c>
    </x:row>
    <x:row r="139">
      <x:c r="D139" s="435" t="str">
        <x:v>Current paper test</x:v>
      </x:c>
      <x:c r="E139" s="15" t="str">
        <x:v>YES</x:v>
      </x:c>
    </x:row>
    <x:row r="140">
      <x:c r="D140" s="435" t="str">
        <x:v>Real-money gate</x:v>
      </x:c>
      <x:c r="E140" s="15" t="str">
        <x:v>NO</x:v>
      </x:c>
    </x:row>
    <x:row r="142">
      <x:c r="D142" s="470" t="str">
        <x:v>v0.3.0 INTELLIGENCE CORE</x:v>
      </x:c>
      <x:c r="E142" s="470" t="str">
        <x:v>Status</x:v>
      </x:c>
    </x:row>
    <x:row r="143">
      <x:c r="D143" s="471" t="str">
        <x:v>Grounded feature store</x:v>
      </x:c>
      <x:c r="E143" s="15" t="str">
        <x:v>ACTIVE</x:v>
      </x:c>
    </x:row>
    <x:row r="144">
      <x:c r="D144" s="471" t="str">
        <x:v>Data source registry</x:v>
      </x:c>
      <x:c r="E144" s="15" t="str">
        <x:v>ACTIVE</x:v>
      </x:c>
    </x:row>
    <x:row r="145">
      <x:c r="D145" s="471" t="str">
        <x:v>Football model weight</x:v>
      </x:c>
      <x:c r="E145" s="15" t="str">
        <x:v>35%</x:v>
      </x:c>
    </x:row>
    <x:row r="146">
      <x:c r="D146" s="471" t="str">
        <x:v>Market model weight</x:v>
      </x:c>
      <x:c r="E146" s="15" t="str">
        <x:v>65%</x:v>
      </x:c>
    </x:row>
    <x:row r="147">
      <x:c r="D147" s="471" t="str">
        <x:v>Market-implied λ</x:v>
      </x:c>
      <x:c r="E147" s="15" t="str">
        <x:v>3.148</x:v>
      </x:c>
    </x:row>
    <x:row r="148">
      <x:c r="D148" s="471" t="str">
        <x:v>Football λ</x:v>
      </x:c>
      <x:c r="E148" s="15" t="str">
        <x:v>3.021</x:v>
      </x:c>
    </x:row>
    <x:row r="149">
      <x:c r="D149" s="471" t="str">
        <x:v>Ensemble P U3.5</x:v>
      </x:c>
      <x:c r="E149" s="15" t="str">
        <x:v>~62.4%</x:v>
      </x:c>
    </x:row>
    <x:row r="150">
      <x:c r="D150" s="471" t="str">
        <x:v>Model disagreement</x:v>
      </x:c>
      <x:c r="E150" s="15" t="str">
        <x:v>~2.8 pp</x:v>
      </x:c>
    </x:row>
    <x:row r="151">
      <x:c r="D151" s="471" t="str">
        <x:v>FOX reference U3.5</x:v>
      </x:c>
      <x:c r="E151" s="15" t="str">
        <x:v>1.625</x:v>
      </x:c>
    </x:row>
    <x:row r="152">
      <x:c r="D152" s="471" t="str">
        <x:v>Ensemble reference EV</x:v>
      </x:c>
      <x:c r="E152" s="15" t="str">
        <x:v>~+1.4%</x:v>
      </x:c>
    </x:row>
    <x:row r="153">
      <x:c r="D153" s="471" t="str">
        <x:v>Historical validation N</x:v>
      </x:c>
      <x:c r="E153" s="15" t="str">
        <x:v>0 robust</x:v>
      </x:c>
    </x:row>
    <x:row r="154">
      <x:c r="D154" s="471" t="str">
        <x:v>xG model</x:v>
      </x:c>
      <x:c r="E154" s="15" t="str">
        <x:v>WEIGHT 0 until backfill</x:v>
      </x:c>
    </x:row>
    <x:row r="155">
      <x:c r="D155" s="471" t="str">
        <x:v>Lineup model</x:v>
      </x:c>
      <x:c r="E155" s="15" t="str">
        <x:v>WEIGHT 0 until trained</x:v>
      </x:c>
    </x:row>
    <x:row r="156">
      <x:c r="D156" s="471" t="str">
        <x:v>Microstructure model</x:v>
      </x:c>
      <x:c r="E156" s="15" t="str">
        <x:v>WEIGHT 0 until 5-min history</x:v>
      </x:c>
    </x:row>
    <x:row r="157">
      <x:c r="D157" s="471" t="str">
        <x:v>Real-money promotion</x:v>
      </x:c>
      <x:c r="E157" s="15" t="str">
        <x:v>NO</x:v>
      </x:c>
    </x:row>
    <x:row r="158">
      <x:c r="D158" s="471" t="str">
        <x:v>System mode</x:v>
      </x:c>
      <x:c r="E158" s="15" t="str">
        <x:v>PAPER / LEARNING</x:v>
      </x:c>
    </x:row>
    <x:row r="160">
      <x:c r="D160" s="515" t="str">
        <x:v>v0.3.1 TEMPORAL + SURFACE INTELLIGENCE</x:v>
      </x:c>
      <x:c r="E160" s="515" t="str">
        <x:v>Status</x:v>
      </x:c>
    </x:row>
    <x:row r="161">
      <x:c r="D161" s="516" t="str">
        <x:v>Final pre-kick snapshot</x:v>
      </x:c>
      <x:c r="E161" s="15" t="str">
        <x:v>LOCKED 03:20 EAT</x:v>
      </x:c>
    </x:row>
    <x:row r="162">
      <x:c r="D162" s="516" t="str">
        <x:v>Direct FOX fair P U3.5</x:v>
      </x:c>
      <x:c r="E162" s="15" t="str">
        <x:v>57.5%</x:v>
      </x:c>
    </x:row>
    <x:row r="163">
      <x:c r="D163" s="516" t="str">
        <x:v>Football P U3.5</x:v>
      </x:c>
      <x:c r="E163" s="15" t="str">
        <x:v>64.3%</x:v>
      </x:c>
    </x:row>
    <x:row r="164">
      <x:c r="D164" s="516" t="str">
        <x:v>Market surface λ @2.5</x:v>
      </x:c>
      <x:c r="E164" s="15" t="str">
        <x:v>3.148</x:v>
      </x:c>
    </x:row>
    <x:row r="165">
      <x:c r="D165" s="516" t="str">
        <x:v>Market surface λ @3.5</x:v>
      </x:c>
      <x:c r="E165" s="15" t="str">
        <x:v>3.323</x:v>
      </x:c>
    </x:row>
    <x:row r="166">
      <x:c r="D166" s="516" t="str">
        <x:v>Surface λ gap</x:v>
      </x:c>
      <x:c r="E166" s="15" t="str">
        <x:v>0.176 — WATCH</x:v>
      </x:c>
    </x:row>
    <x:row r="167">
      <x:c r="D167" s="516" t="str">
        <x:v>Reliability ensemble P U3.5</x:v>
      </x:c>
      <x:c r="E167" s="15" t="str">
        <x:v>~59.9%</x:v>
      </x:c>
    </x:row>
    <x:row r="168">
      <x:c r="D168" s="516" t="str">
        <x:v>EV @ FOX 1.625</x:v>
      </x:c>
      <x:c r="E168" s="15" t="str">
        <x:v>~-2.7%</x:v>
      </x:c>
    </x:row>
    <x:row r="169">
      <x:c r="D169" s="516" t="str">
        <x:v>Old v0.3.0 EV logic</x:v>
      </x:c>
      <x:c r="E169" s="15" t="str">
        <x:v>SUPERSEDED</x:v>
      </x:c>
    </x:row>
    <x:row r="170">
      <x:c r="D170" s="516" t="str">
        <x:v>Reason</x:v>
      </x:c>
      <x:c r="E170" s="15" t="str">
        <x:v>Direct same-market anchor is safer</x:v>
      </x:c>
    </x:row>
    <x:row r="171">
      <x:c r="D171" s="516" t="str">
        <x:v>Snapshot pipeline</x:v>
      </x:c>
      <x:c r="E171" s="15" t="str">
        <x:v>BUILT</x:v>
      </x:c>
    </x:row>
    <x:row r="172">
      <x:c r="D172" s="516" t="str">
        <x:v>Training engine</x:v>
      </x:c>
      <x:c r="E172" s="15" t="str">
        <x:v>BUILT</x:v>
      </x:c>
    </x:row>
    <x:row r="173">
      <x:c r="D173" s="516" t="str">
        <x:v>Calibration stacker</x:v>
      </x:c>
      <x:c r="E173" s="15" t="str">
        <x:v>SCHEMA READY</x:v>
      </x:c>
    </x:row>
    <x:row r="174">
      <x:c r="D174" s="516" t="str">
        <x:v>xG state-space</x:v>
      </x:c>
      <x:c r="E174" s="15" t="str">
        <x:v>WAIT DATA</x:v>
      </x:c>
    </x:row>
    <x:row r="175">
      <x:c r="D175" s="516" t="str">
        <x:v>Market microstructure</x:v>
      </x:c>
      <x:c r="E175" s="15" t="str">
        <x:v>WAIT 5-min HISTORY</x:v>
      </x:c>
    </x:row>
    <x:row r="176">
      <x:c r="D176" s="516" t="str">
        <x:v>Goal-distribution model</x:v>
      </x:c>
      <x:c r="E176" s="15" t="str">
        <x:v>NEW PRIORITY</x:v>
      </x:c>
    </x:row>
    <x:row r="177">
      <x:c r="D177" s="516" t="str">
        <x:v>Real-money promotion</x:v>
      </x:c>
      <x:c r="E177" s="15" t="str">
        <x:v>NO</x:v>
      </x:c>
    </x:row>
    <x:row r="178">
      <x:c r="D178" s="516" t="str">
        <x:v>System mode</x:v>
      </x:c>
      <x:c r="E178" s="15" t="str">
        <x:v>PAPER / LEARNING</x:v>
      </x:c>
    </x:row>
    <x:row r="180">
      <x:c r="D180" s="549" t="str">
        <x:v>v0.3.2 LIVE + LEARNING GOVERNANCE</x:v>
      </x:c>
      <x:c r="E180" s="549" t="str">
        <x:v>Status</x:v>
      </x:c>
    </x:row>
    <x:row r="181">
      <x:c r="D181" s="550" t="str">
        <x:v>Pre-match forecast</x:v>
      </x:c>
      <x:c r="E181" s="15" t="str">
        <x:v>IMMUTABLY LOCKED</x:v>
      </x:c>
    </x:row>
    <x:row r="182">
      <x:c r="D182" s="550" t="str">
        <x:v>Kickoff boundary</x:v>
      </x:c>
      <x:c r="E182" s="15" t="str">
        <x:v>PASSED</x:v>
      </x:c>
    </x:row>
    <x:row r="183">
      <x:c r="D183" s="550" t="str">
        <x:v>Live score verified?</x:v>
      </x:c>
      <x:c r="E183" s="15" t="str">
        <x:v>NO — DO NOT GUESS</x:v>
      </x:c>
    </x:row>
    <x:row r="184">
      <x:c r="D184" s="550" t="str">
        <x:v>Live model</x:v>
      </x:c>
      <x:c r="E184" s="15" t="str">
        <x:v>OFF / WEIGHT 0</x:v>
      </x:c>
    </x:row>
    <x:row r="185">
      <x:c r="D185" s="550" t="str">
        <x:v>Live data can alter pre-match?</x:v>
      </x:c>
      <x:c r="E185" s="15" t="str">
        <x:v>NO</x:v>
      </x:c>
    </x:row>
    <x:row r="186">
      <x:c r="D186" s="550" t="str">
        <x:v>Confidence budget</x:v>
      </x:c>
      <x:c r="E186" s="15" t="n">
        <x:f>'Confidence_Budget_v0.3.2'!B17</x:f>
        <x:v>0</x:v>
      </x:c>
    </x:row>
    <x:row r="187">
      <x:c r="D187" s="550" t="str">
        <x:v>Critical promotion blocks</x:v>
      </x:c>
      <x:c r="E187" s="15" t="n">
        <x:f>'Confidence_Budget_v0.3.2'!B19</x:f>
        <x:v>5</x:v>
      </x:c>
    </x:row>
    <x:row r="188">
      <x:c r="D188" s="550" t="str">
        <x:v>Champion model</x:v>
      </x:c>
      <x:c r="E188" s="15" t="str">
        <x:v>DIRECT MARKET ANCHOR</x:v>
      </x:c>
    </x:row>
    <x:row r="189">
      <x:c r="D189" s="550" t="str">
        <x:v>Primary challenger</x:v>
      </x:c>
      <x:c r="E189" s="15" t="str">
        <x:v>FOOTBALL-STATE</x:v>
      </x:c>
    </x:row>
    <x:row r="190">
      <x:c r="D190" s="550" t="str">
        <x:v>Goal distribution challenger</x:v>
      </x:c>
      <x:c r="E190" s="15" t="str">
        <x:v>PRIORITY</x:v>
      </x:c>
    </x:row>
    <x:row r="191">
      <x:c r="D191" s="550" t="str">
        <x:v>One-match tuning</x:v>
      </x:c>
      <x:c r="E191" s="15" t="str">
        <x:v>PROHIBITED</x:v>
      </x:c>
    </x:row>
    <x:row r="192">
      <x:c r="D192" s="550" t="str">
        <x:v>Settlement ledger</x:v>
      </x:c>
      <x:c r="E192" s="15" t="str">
        <x:v>READY</x:v>
      </x:c>
    </x:row>
    <x:row r="193">
      <x:c r="D193" s="550" t="str">
        <x:v>Brier / LogLoss</x:v>
      </x:c>
      <x:c r="E193" s="15" t="str">
        <x:v>READY AFTER FT</x:v>
      </x:c>
    </x:row>
    <x:row r="194">
      <x:c r="D194" s="550" t="str">
        <x:v>CLV</x:v>
      </x:c>
      <x:c r="E194" s="15" t="str">
        <x:v>READY AFTER CLOSE</x:v>
      </x:c>
    </x:row>
    <x:row r="195">
      <x:c r="D195" s="550" t="str">
        <x:v>Post-match attribution</x:v>
      </x:c>
      <x:c r="E195" s="15" t="str">
        <x:v>READY</x:v>
      </x:c>
    </x:row>
    <x:row r="196">
      <x:c r="D196" s="550" t="str">
        <x:v>Historical training contamination</x:v>
      </x:c>
      <x:c r="E196" s="15" t="str">
        <x:v>BLOCKED</x:v>
      </x:c>
    </x:row>
    <x:row r="197">
      <x:c r="D197" s="550" t="str">
        <x:v>Real-money system</x:v>
      </x:c>
      <x:c r="E197" s="15" t="str">
        <x:v>NOT PROMOTED</x:v>
      </x:c>
    </x:row>
    <x:row r="198">
      <x:c r="D198" s="550" t="str">
        <x:v>System mode</x:v>
      </x:c>
      <x:c r="E198" s="15" t="str">
        <x:v>OBSERVE → SETTLE → LEARN</x:v>
      </x:c>
    </x:row>
    <x:row r="200">
      <x:c r="D200" s="594" t="str">
        <x:v>v0.3.3 SOURCE + EVENT INTELLIGENCE</x:v>
      </x:c>
      <x:c r="E200" s="594" t="str">
        <x:v>Status</x:v>
      </x:c>
    </x:row>
    <x:row r="201">
      <x:c r="D201" s="595" t="str">
        <x:v>Current time context</x:v>
      </x:c>
      <x:c r="E201" s="15" t="str">
        <x:v>~03:33 EAT</x:v>
      </x:c>
    </x:row>
    <x:row r="202">
      <x:c r="D202" s="595" t="str">
        <x:v>Official kickoff boundary</x:v>
      </x:c>
      <x:c r="E202" s="15" t="str">
        <x:v>PASSED</x:v>
      </x:c>
    </x:row>
    <x:row r="203">
      <x:c r="D203" s="595" t="str">
        <x:v>AS title score</x:v>
      </x:c>
      <x:c r="E203" s="15" t="str">
        <x:v>0-0 CLAIM</x:v>
      </x:c>
    </x:row>
    <x:row r="204">
      <x:c r="D204" s="595" t="str">
        <x:v>AS body state</x:v>
      </x:c>
      <x:c r="E204" s="15" t="str">
        <x:v>WARMING UP CLAIM</x:v>
      </x:c>
    </x:row>
    <x:row r="205">
      <x:c r="D205" s="595" t="str">
        <x:v>ESPN parsed live score</x:v>
      </x:c>
      <x:c r="E205" s="15" t="str">
        <x:v>NOT EXPOSED</x:v>
      </x:c>
    </x:row>
    <x:row r="206">
      <x:c r="D206" s="595" t="str">
        <x:v>FOX parsed live score</x:v>
      </x:c>
      <x:c r="E206" s="15" t="str">
        <x:v>NOT EXPOSED</x:v>
      </x:c>
    </x:row>
    <x:row r="207">
      <x:c r="D207" s="595" t="str">
        <x:v>Source conflict</x:v>
      </x:c>
      <x:c r="E207" s="15" t="str">
        <x:v>YES</x:v>
      </x:c>
    </x:row>
    <x:row r="208">
      <x:c r="D208" s="595" t="str">
        <x:v>Verified live score</x:v>
      </x:c>
      <x:c r="E208" s="15" t="str">
        <x:v>NO</x:v>
      </x:c>
    </x:row>
    <x:row r="209">
      <x:c r="D209" s="595" t="str">
        <x:v>Verified live minute</x:v>
      </x:c>
      <x:c r="E209" s="15" t="str">
        <x:v>NO</x:v>
      </x:c>
    </x:row>
    <x:row r="210">
      <x:c r="D210" s="595" t="str">
        <x:v>Live-state model weight</x:v>
      </x:c>
      <x:c r="E210" s="15" t="str">
        <x:v>0%</x:v>
      </x:c>
    </x:row>
    <x:row r="211">
      <x:c r="D211" s="595" t="str">
        <x:v>Pre-match forecast mutable?</x:v>
      </x:c>
      <x:c r="E211" s="15" t="str">
        <x:v>NO</x:v>
      </x:c>
    </x:row>
    <x:row r="212">
      <x:c r="D212" s="595" t="str">
        <x:v>Source quorum engine</x:v>
      </x:c>
      <x:c r="E212" s="15" t="str">
        <x:v>ACTIVE</x:v>
      </x:c>
    </x:row>
    <x:row r="213">
      <x:c r="D213" s="595" t="str">
        <x:v>Adaptive weight allocator</x:v>
      </x:c>
      <x:c r="E213" s="15" t="str">
        <x:v>ACTIVE</x:v>
      </x:c>
    </x:row>
    <x:row r="214">
      <x:c r="D214" s="595" t="str">
        <x:v>Event-state schema</x:v>
      </x:c>
      <x:c r="E214" s="15" t="str">
        <x:v>BUILT</x:v>
      </x:c>
    </x:row>
    <x:row r="215">
      <x:c r="D215" s="595" t="str">
        <x:v>Error taxonomy</x:v>
      </x:c>
      <x:c r="E215" s="15" t="str">
        <x:v>BUILT</x:v>
      </x:c>
    </x:row>
    <x:row r="216">
      <x:c r="D216" s="595" t="str">
        <x:v>Goal-distribution model</x:v>
      </x:c>
      <x:c r="E216" s="15" t="str">
        <x:v>PRIORITY</x:v>
      </x:c>
    </x:row>
    <x:row r="217">
      <x:c r="D217" s="595" t="str">
        <x:v>Market remains champion</x:v>
      </x:c>
      <x:c r="E217" s="15" t="str">
        <x:v>YES</x:v>
      </x:c>
    </x:row>
    <x:row r="218">
      <x:c r="D218" s="595" t="str">
        <x:v>Real-money live model</x:v>
      </x:c>
      <x:c r="E218" s="15" t="str">
        <x:v>OFF</x:v>
      </x:c>
    </x:row>
    <x:row r="219">
      <x:c r="D219" s="595" t="str">
        <x:v>System mode</x:v>
      </x:c>
      <x:c r="E219" s="15" t="str">
        <x:v>OBSERVE / VERIFY / LEARN</x:v>
      </x:c>
    </x:row>
    <x:row r="221">
      <x:c r="D221" s="633" t="str">
        <x:v>v0.4.0 PROBABILISTIC BRAIN</x:v>
      </x:c>
      <x:c r="E221" s="633" t="str">
        <x:v>Status</x:v>
      </x:c>
    </x:row>
    <x:row r="222">
      <x:c r="D222" s="634" t="str">
        <x:v>Direct market P U3.5</x:v>
      </x:c>
      <x:c r="E222" s="15" t="str">
        <x:v>57.5%</x:v>
      </x:c>
    </x:row>
    <x:row r="223">
      <x:c r="D223" s="634" t="str">
        <x:v>Football P U3.5</x:v>
      </x:c>
      <x:c r="E223" s="15" t="str">
        <x:v>64.3%</x:v>
      </x:c>
    </x:row>
    <x:row r="224">
      <x:c r="D224" s="634" t="str">
        <x:v>Adaptive market weight</x:v>
      </x:c>
      <x:c r="E224" s="15" t="str">
        <x:v>93.4%</x:v>
      </x:c>
    </x:row>
    <x:row r="225">
      <x:c r="D225" s="634" t="str">
        <x:v>Adaptive football weight</x:v>
      </x:c>
      <x:c r="E225" s="15" t="str">
        <x:v>6.6%</x:v>
      </x:c>
    </x:row>
    <x:row r="226">
      <x:c r="D226" s="634" t="str">
        <x:v>Brain P U3.5</x:v>
      </x:c>
      <x:c r="E226" s="15" t="str">
        <x:v>~58.0%</x:v>
      </x:c>
    </x:row>
    <x:row r="227">
      <x:c r="D227" s="634" t="str">
        <x:v>Model envelope</x:v>
      </x:c>
      <x:c r="E227" s="15" t="str">
        <x:v>57.5%–64.3%</x:v>
      </x:c>
    </x:row>
    <x:row r="228">
      <x:c r="D228" s="634" t="str">
        <x:v>Model spread</x:v>
      </x:c>
      <x:c r="E228" s="15" t="str">
        <x:v>~6.7 pp</x:v>
      </x:c>
    </x:row>
    <x:row r="229">
      <x:c r="D229" s="634" t="str">
        <x:v>Reference U3.5 odds</x:v>
      </x:c>
      <x:c r="E229" s="15" t="str">
        <x:v>1.625</x:v>
      </x:c>
    </x:row>
    <x:row r="230">
      <x:c r="D230" s="634" t="str">
        <x:v>Break-even probability</x:v>
      </x:c>
      <x:c r="E230" s="15" t="str">
        <x:v>61.5%</x:v>
      </x:c>
    </x:row>
    <x:row r="231">
      <x:c r="D231" s="634" t="str">
        <x:v>Brain EV</x:v>
      </x:c>
      <x:c r="E231" s="15" t="str">
        <x:v>~-5.8%</x:v>
      </x:c>
    </x:row>
    <x:row r="232">
      <x:c r="D232" s="634" t="str">
        <x:v>Break-even odds from brain</x:v>
      </x:c>
      <x:c r="E232" s="15" t="str">
        <x:v>~1.73</x:v>
      </x:c>
    </x:row>
    <x:row r="233">
      <x:c r="D233" s="634" t="str">
        <x:v>+3% EV odds from brain</x:v>
      </x:c>
      <x:c r="E233" s="15" t="str">
        <x:v>~1.78</x:v>
      </x:c>
    </x:row>
    <x:row r="234">
      <x:c r="D234" s="634" t="str">
        <x:v>Maturity confidence</x:v>
      </x:c>
      <x:c r="E234" s="15" t="str">
        <x:v>0/100</x:v>
      </x:c>
    </x:row>
    <x:row r="235">
      <x:c r="D235" s="634" t="str">
        <x:v>Critical blocks</x:v>
      </x:c>
      <x:c r="E235" s="15" t="str">
        <x:v>5</x:v>
      </x:c>
    </x:row>
    <x:row r="236">
      <x:c r="D236" s="634" t="str">
        <x:v>Live state</x:v>
      </x:c>
      <x:c r="E236" s="15" t="str">
        <x:v>UNVERIFIED</x:v>
      </x:c>
    </x:row>
    <x:row r="237">
      <x:c r="D237" s="634" t="str">
        <x:v>Poisson adequacy</x:v>
      </x:c>
      <x:c r="E237" s="15" t="str">
        <x:v>WATCH</x:v>
      </x:c>
    </x:row>
    <x:row r="238">
      <x:c r="D238" s="634" t="str">
        <x:v>Negative Binomial</x:v>
      </x:c>
      <x:c r="E238" s="15" t="str">
        <x:v>SENSITIVITY ONLY</x:v>
      </x:c>
    </x:row>
    <x:row r="239">
      <x:c r="D239" s="634" t="str">
        <x:v>Market champion</x:v>
      </x:c>
      <x:c r="E239" s="15" t="str">
        <x:v>ACTIVE</x:v>
      </x:c>
    </x:row>
    <x:row r="240">
      <x:c r="D240" s="634" t="str">
        <x:v>Real-money status</x:v>
      </x:c>
      <x:c r="E240" s="15" t="str">
        <x:v>NO</x:v>
      </x:c>
    </x:row>
    <x:row r="241">
      <x:c r="D241" s="634" t="str">
        <x:v>System mode</x:v>
      </x:c>
      <x:c r="E241" s="15" t="str">
        <x:v>PAPER / LEARNING / SELF-EVALUATING</x:v>
      </x:c>
    </x:row>
    <x:row r="243">
      <x:c r="D243" s="647" t="str">
        <x:v>v0.4.0 LIVE EVIDENCE UPDATE</x:v>
      </x:c>
      <x:c r="E243" s="647" t="str">
        <x:v>Status</x:v>
      </x:c>
    </x:row>
    <x:row r="244">
      <x:c r="D244" s="648" t="str">
        <x:v>Observed at</x:v>
      </x:c>
      <x:c r="E244" s="15" t="str">
        <x:v>03:38 EAT</x:v>
      </x:c>
    </x:row>
    <x:row r="245">
      <x:c r="D245" s="648" t="str">
        <x:v>AiScore score claim</x:v>
      </x:c>
      <x:c r="E245" s="15" t="str">
        <x:v>0-0</x:v>
      </x:c>
    </x:row>
    <x:row r="246">
      <x:c r="D246" s="648" t="str">
        <x:v>AiScore match minute</x:v>
      </x:c>
      <x:c r="E246" s="15" t="str">
        <x:v>NOT EXPOSED</x:v>
      </x:c>
    </x:row>
    <x:row r="247">
      <x:c r="D247" s="648" t="str">
        <x:v>AiScore live stats</x:v>
      </x:c>
      <x:c r="E247" s="15" t="str">
        <x:v>ALL ZERO IN PARSED FEED</x:v>
      </x:c>
    </x:row>
    <x:row r="248">
      <x:c r="D248" s="648" t="str">
        <x:v>ESPN parsed score</x:v>
      </x:c>
      <x:c r="E248" s="15" t="str">
        <x:v>NOT EXPOSED</x:v>
      </x:c>
    </x:row>
    <x:row r="249">
      <x:c r="D249" s="648" t="str">
        <x:v>Independent score quorum</x:v>
      </x:c>
      <x:c r="E249" s="15" t="str">
        <x:v>NOT MET</x:v>
      </x:c>
    </x:row>
    <x:row r="250">
      <x:c r="D250" s="648" t="str">
        <x:v>Verified live score</x:v>
      </x:c>
      <x:c r="E250" s="15" t="str">
        <x:v>NO</x:v>
      </x:c>
    </x:row>
    <x:row r="251">
      <x:c r="D251" s="648" t="str">
        <x:v>Live model weight</x:v>
      </x:c>
      <x:c r="E251" s="15" t="str">
        <x:v>0%</x:v>
      </x:c>
    </x:row>
    <x:row r="252">
      <x:c r="D252" s="648" t="str">
        <x:v>Action</x:v>
      </x:c>
      <x:c r="E252" s="15" t="str">
        <x:v>KEEP LIVE STATE NULL</x:v>
      </x:c>
    </x:row>
    <x:row r="254">
      <x:c r="D254" s="692" t="str">
        <x:v>v0.4.1 BAYESIAN TEAM MEMORY</x:v>
      </x:c>
      <x:c r="E254" s="692" t="str">
        <x:v>Status</x:v>
      </x:c>
    </x:row>
    <x:row r="255">
      <x:c r="D255" s="693" t="str">
        <x:v>League prior goals/team</x:v>
      </x:c>
      <x:c r="E255" s="15" t="str">
        <x:v>~1.599</x:v>
      </x:c>
    </x:row>
    <x:row r="256">
      <x:c r="D256" s="693" t="str">
        <x:v>SKC overall attack posterior</x:v>
      </x:c>
      <x:c r="E256" s="15" t="str">
        <x:v>~1.083</x:v>
      </x:c>
    </x:row>
    <x:row r="257">
      <x:c r="D257" s="693" t="str">
        <x:v>SKC defense-concession posterior</x:v>
      </x:c>
      <x:c r="E257" s="15" t="str">
        <x:v>~2.333</x:v>
      </x:c>
    </x:row>
    <x:row r="258">
      <x:c r="D258" s="693" t="str">
        <x:v>STL overall attack posterior</x:v>
      </x:c>
      <x:c r="E258" s="15" t="str">
        <x:v>~1.458</x:v>
      </x:c>
    </x:row>
    <x:row r="259">
      <x:c r="D259" s="693" t="str">
        <x:v>STL defense-concession posterior</x:v>
      </x:c>
      <x:c r="E259" s="15" t="str">
        <x:v>~1.375</x:v>
      </x:c>
    </x:row>
    <x:row r="260">
      <x:c r="D260" s="693" t="str">
        <x:v>Slow-memory total λ</x:v>
      </x:c>
      <x:c r="E260" s="15" t="str">
        <x:v>~3.059</x:v>
      </x:c>
    </x:row>
    <x:row r="261">
      <x:c r="D261" s="693" t="str">
        <x:v>Slow-memory P U3.5</x:v>
      </x:c>
      <x:c r="E261" s="15" t="str">
        <x:v>~63.4%</x:v>
      </x:c>
    </x:row>
    <x:row r="262">
      <x:c r="D262" s="693" t="str">
        <x:v>Venue-memory total λ</x:v>
      </x:c>
      <x:c r="E262" s="15" t="str">
        <x:v>~2.604</x:v>
      </x:c>
    </x:row>
    <x:row r="263">
      <x:c r="D263" s="693" t="str">
        <x:v>Venue-memory P U3.5</x:v>
      </x:c>
      <x:c r="E263" s="15" t="str">
        <x:v>~73.5%</x:v>
      </x:c>
    </x:row>
    <x:row r="264">
      <x:c r="D264" s="693" t="str">
        <x:v>Venue 80% λ interval</x:v>
      </x:c>
      <x:c r="E264" s="15" t="str">
        <x:v>~1.83–3.38</x:v>
      </x:c>
    </x:row>
    <x:row r="265">
      <x:c r="D265" s="693" t="str">
        <x:v>Venue P(U3.5) interval</x:v>
      </x:c>
      <x:c r="E265" s="15" t="str">
        <x:v>~56.2%–88.7%</x:v>
      </x:c>
    </x:row>
    <x:row r="266">
      <x:c r="D266" s="693" t="str">
        <x:v>Direct market P U3.5</x:v>
      </x:c>
      <x:c r="E266" s="15" t="str">
        <x:v>57.5%</x:v>
      </x:c>
    </x:row>
    <x:row r="267">
      <x:c r="D267" s="693" t="str">
        <x:v>Bayes venue gap vs market</x:v>
      </x:c>
      <x:c r="E267" s="15" t="str">
        <x:v>~+16.0 pp</x:v>
      </x:c>
    </x:row>
    <x:row r="268">
      <x:c r="D268" s="693" t="str">
        <x:v>Prior/context sensitivity</x:v>
      </x:c>
      <x:c r="E268" s="15" t="str">
        <x:v>HIGH</x:v>
      </x:c>
    </x:row>
    <x:row r="269">
      <x:c r="D269" s="693" t="str">
        <x:v>Bayesian model decision weight</x:v>
      </x:c>
      <x:c r="E269" s="15" t="str">
        <x:v>0%</x:v>
      </x:c>
    </x:row>
    <x:row r="270">
      <x:c r="D270" s="693" t="str">
        <x:v>Reason</x:v>
      </x:c>
      <x:c r="E270" s="15" t="str">
        <x:v>NO WALK-FORWARD VALIDATION</x:v>
      </x:c>
    </x:row>
    <x:row r="271">
      <x:c r="D271" s="693" t="str">
        <x:v>Adaptive market champion</x:v>
      </x:c>
      <x:c r="E271" s="15" t="str">
        <x:v>~93%+</x:v>
      </x:c>
    </x:row>
    <x:row r="272">
      <x:c r="D272" s="693" t="str">
        <x:v>Real-money status</x:v>
      </x:c>
      <x:c r="E272" s="15" t="str">
        <x:v>NO</x:v>
      </x:c>
    </x:row>
    <x:row r="273">
      <x:c r="D273" s="693" t="str">
        <x:v>System mode</x:v>
      </x:c>
      <x:c r="E273" s="15" t="str">
        <x:v>LEARN MEMORY → VALIDATE → CALIBRATE</x:v>
      </x:c>
    </x:row>
    <x:row r="275">
      <x:c r="D275" s="729" t="str">
        <x:v>v0.4.2 WALK-FORWARD BAYES</x:v>
      </x:c>
      <x:c r="E275" s="729" t="str">
        <x:v>Status</x:v>
      </x:c>
    </x:row>
    <x:row r="276">
      <x:c r="D276" s="730" t="str">
        <x:v>2025 fixed prior</x:v>
      </x:c>
      <x:c r="E276" s="15" t="str">
        <x:v>1.50 goals/team</x:v>
      </x:c>
    </x:row>
    <x:row r="277">
      <x:c r="D277" s="730" t="str">
        <x:v>Prior strength</x:v>
      </x:c>
      <x:c r="E277" s="15" t="str">
        <x:v>5 matches equivalent</x:v>
      </x:c>
    </x:row>
    <x:row r="278">
      <x:c r="D278" s="730" t="str">
        <x:v>Chronological seed N</x:v>
      </x:c>
      <x:c r="E278" s="15" t="str">
        <x:v>25</x:v>
      </x:c>
    </x:row>
    <x:row r="279">
      <x:c r="D279" s="730" t="str">
        <x:v>All-row Bayes Brier</x:v>
      </x:c>
      <x:c r="E279" s="15" t="str">
        <x:v>~0.199</x:v>
      </x:c>
    </x:row>
    <x:row r="280">
      <x:c r="D280" s="730" t="str">
        <x:v>All-row Market Brier</x:v>
      </x:c>
      <x:c r="E280" s="15" t="str">
        <x:v>~0.198</x:v>
      </x:c>
    </x:row>
    <x:row r="281">
      <x:c r="D281" s="730" t="str">
        <x:v>All-row Bayes LogLoss</x:v>
      </x:c>
      <x:c r="E281" s="15" t="str">
        <x:v>~0.588</x:v>
      </x:c>
    </x:row>
    <x:row r="282">
      <x:c r="D282" s="730" t="str">
        <x:v>All-row Market LogLoss</x:v>
      </x:c>
      <x:c r="E282" s="15" t="str">
        <x:v>~0.586</x:v>
      </x:c>
    </x:row>
    <x:row r="283">
      <x:c r="D283" s="730" t="str">
        <x:v>Warm rows N&gt;=1/team</x:v>
      </x:c>
      <x:c r="E283" s="15" t="str">
        <x:v>10</x:v>
      </x:c>
    </x:row>
    <x:row r="284">
      <x:c r="D284" s="730" t="str">
        <x:v>Warm Bayes Brier</x:v>
      </x:c>
      <x:c r="E284" s="15" t="str">
        <x:v>~0.163</x:v>
      </x:c>
    </x:row>
    <x:row r="285">
      <x:c r="D285" s="730" t="str">
        <x:v>Warm Market Brier</x:v>
      </x:c>
      <x:c r="E285" s="15" t="str">
        <x:v>~0.140</x:v>
      </x:c>
    </x:row>
    <x:row r="286">
      <x:c r="D286" s="730" t="str">
        <x:v>Warm Bayes LogLoss</x:v>
      </x:c>
      <x:c r="E286" s="15" t="str">
        <x:v>~0.513</x:v>
      </x:c>
    </x:row>
    <x:row r="287">
      <x:c r="D287" s="730" t="str">
        <x:v>Warm Market LogLoss</x:v>
      </x:c>
      <x:c r="E287" s="15" t="str">
        <x:v>~0.466</x:v>
      </x:c>
    </x:row>
    <x:row r="288">
      <x:c r="D288" s="730" t="str">
        <x:v>Validation N&gt;=3/team</x:v>
      </x:c>
      <x:c r="E288" s="15" t="str">
        <x:v>0</x:v>
      </x:c>
    </x:row>
    <x:row r="289">
      <x:c r="D289" s="730" t="str">
        <x:v>Prior dominance</x:v>
      </x:c>
      <x:c r="E289" s="15" t="str">
        <x:v>HIGH</x:v>
      </x:c>
    </x:row>
    <x:row r="290">
      <x:c r="D290" s="730" t="str">
        <x:v>M011 beats market?</x:v>
      </x:c>
      <x:c r="E290" s="15" t="str">
        <x:v>NO</x:v>
      </x:c>
    </x:row>
    <x:row r="291">
      <x:c r="D291" s="730" t="str">
        <x:v>M011 decision weight</x:v>
      </x:c>
      <x:c r="E291" s="15" t="str">
        <x:v>0%</x:v>
      </x:c>
    </x:row>
    <x:row r="292">
      <x:c r="D292" s="730" t="str">
        <x:v>Champion</x:v>
      </x:c>
      <x:c r="E292" s="15" t="str">
        <x:v>DIRECT MARKET</x:v>
      </x:c>
    </x:row>
    <x:row r="293">
      <x:c r="D293" s="730" t="str">
        <x:v>Real-money promotion</x:v>
      </x:c>
      <x:c r="E293" s="15" t="str">
        <x:v>NO</x:v>
      </x:c>
    </x:row>
    <x:row r="294">
      <x:c r="D294" s="730" t="str">
        <x:v>Next</x:v>
      </x:c>
      <x:c r="E294" s="15" t="str">
        <x:v>EXPAND LATER-SEASON CHRONOLOGY</x:v>
      </x:c>
    </x:row>
    <x:row r="296">
      <x:c r="D296" s="777" t="str">
        <x:v>v0.4.3 LATER-SEASON TEAM MEMORY</x:v>
      </x:c>
      <x:c r="E296" s="777" t="str">
        <x:v>Status</x:v>
      </x:c>
    </x:row>
    <x:row r="297">
      <x:c r="D297" s="778" t="str">
        <x:v>Exact SKC chronology</x:v>
      </x:c>
      <x:c r="E297" s="15" t="str">
        <x:v>19 matches</x:v>
      </x:c>
    </x:row>
    <x:row r="298">
      <x:c r="D298" s="778" t="str">
        <x:v>Exact STL chronology</x:v>
      </x:c>
      <x:c r="E298" s="15" t="str">
        <x:v>19 matches</x:v>
      </x:c>
    </x:row>
    <x:row r="299">
      <x:c r="D299" s="778" t="str">
        <x:v>Total verified team-history rows</x:v>
      </x:c>
      <x:c r="E299" s="15" t="str">
        <x:v>38</x:v>
      </x:c>
    </x:row>
    <x:row r="300">
      <x:c r="D300" s="778" t="str">
        <x:v>Decay half-lives tested</x:v>
      </x:c>
      <x:c r="E300" s="15" t="str">
        <x:v>3 / 5 / 8 / 12 / 20</x:v>
      </x:c>
    </x:row>
    <x:row r="301">
      <x:c r="D301" s="778" t="str">
        <x:v>Decay P(U3.5) range</x:v>
      </x:c>
      <x:c r="E301" s="15" t="str">
        <x:v>~58.8%–61.3%</x:v>
      </x:c>
    </x:row>
    <x:row r="302">
      <x:c r="D302" s="778" t="str">
        <x:v>Probability spread</x:v>
      </x:c>
      <x:c r="E302" s="15" t="str">
        <x:v>~2.5 pp</x:v>
      </x:c>
    </x:row>
    <x:row r="303">
      <x:c r="D303" s="778" t="str">
        <x:v>Best reference EV @1.625</x:v>
      </x:c>
      <x:c r="E303" s="15" t="str">
        <x:v>~−0.3%</x:v>
      </x:c>
    </x:row>
    <x:row r="304">
      <x:c r="D304" s="778" t="str">
        <x:v>Any +3% EV?</x:v>
      </x:c>
      <x:c r="E304" s="15" t="str">
        <x:v>NO</x:v>
      </x:c>
    </x:row>
    <x:row r="305">
      <x:c r="D305" s="778" t="str">
        <x:v>Venue Bayes prior result</x:v>
      </x:c>
      <x:c r="E305" s="15" t="str">
        <x:v>73.5%</x:v>
      </x:c>
    </x:row>
    <x:row r="306">
      <x:c r="D306" s="778" t="str">
        <x:v>Venue result after recency challenge</x:v>
      </x:c>
      <x:c r="E306" s="15" t="str">
        <x:v>HIGH-UNCERTAINTY / NOT ROBUST</x:v>
      </x:c>
    </x:row>
    <x:row r="307">
      <x:c r="D307" s="778" t="str">
        <x:v>STL recent attack</x:v>
      </x:c>
      <x:c r="E307" s="15" t="str">
        <x:v>2.20 vs 1.14 earlier</x:v>
      </x:c>
    </x:row>
    <x:row r="308">
      <x:c r="D308" s="778" t="str">
        <x:v>SKC recent attack</x:v>
      </x:c>
      <x:c r="E308" s="15" t="str">
        <x:v>0.80 vs 1.00 earlier</x:v>
      </x:c>
    </x:row>
    <x:row r="309">
      <x:c r="D309" s="778" t="str">
        <x:v>M012 recency model</x:v>
      </x:c>
      <x:c r="E309" s="15" t="str">
        <x:v>WEIGHT 0</x:v>
      </x:c>
    </x:row>
    <x:row r="310">
      <x:c r="D310" s="778" t="str">
        <x:v>Half-life learned?</x:v>
      </x:c>
      <x:c r="E310" s="15" t="str">
        <x:v>NO</x:v>
      </x:c>
    </x:row>
    <x:row r="311">
      <x:c r="D311" s="778" t="str">
        <x:v>Verified live snapshot</x:v>
      </x:c>
      <x:c r="E311" s="15" t="str">
        <x:v>0-0 @24'</x:v>
      </x:c>
    </x:row>
    <x:row r="312">
      <x:c r="D312" s="778" t="str">
        <x:v>Snapshot freshness now</x:v>
      </x:c>
      <x:c r="E312" s="15" t="str">
        <x:v>STALE / HISTORICAL ONLY</x:v>
      </x:c>
    </x:row>
    <x:row r="313">
      <x:c r="D313" s="778" t="str">
        <x:v>Live model weight</x:v>
      </x:c>
      <x:c r="E313" s="15" t="str">
        <x:v>0%</x:v>
      </x:c>
    </x:row>
    <x:row r="314">
      <x:c r="D314" s="778" t="str">
        <x:v>Pre-match lock</x:v>
      </x:c>
      <x:c r="E314" s="15" t="str">
        <x:v>UNCHANGED</x:v>
      </x:c>
    </x:row>
    <x:row r="315">
      <x:c r="D315" s="778" t="str">
        <x:v>Market champion</x:v>
      </x:c>
      <x:c r="E315" s="15" t="str">
        <x:v>YES</x:v>
      </x:c>
    </x:row>
    <x:row r="316">
      <x:c r="D316" s="778" t="str">
        <x:v>Real-money status</x:v>
      </x:c>
      <x:c r="E316" s="15" t="str">
        <x:v>NO</x:v>
      </x:c>
    </x:row>
    <x:row r="317">
      <x:c r="D317" s="778" t="str">
        <x:v>Next</x:v>
      </x:c>
      <x:c r="E317" s="15" t="str">
        <x:v>FULL-LEAGUE CHRONOLOGICAL EXPANSION</x:v>
      </x:c>
    </x:row>
    <x:row r="318">
      <x:c r="D318" s="778" t="str">
        <x:v>System mode</x:v>
      </x:c>
      <x:c r="E318" s="15" t="str">
        <x:v>VERIFY → CHALLENGE → OOS VALIDATE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14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4" hidden="0" customWidth="1"/>
    <x:col min="25" max="25" width="14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30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50" hidden="0" customWidth="1"/>
  </x:cols>
  <x:sheetData>
    <x:row r="1">
      <x:c r="A1" s="68" t="str">
        <x:v>Snapshot_ID</x:v>
      </x:c>
      <x:c r="B1" s="68" t="str">
        <x:v>Snapshot_Time_EAT</x:v>
      </x:c>
      <x:c r="C1" s="68" t="str">
        <x:v>Match_ID</x:v>
      </x:c>
      <x:c r="D1" s="68" t="str">
        <x:v>Match_Local_Date</x:v>
      </x:c>
      <x:c r="E1" s="68" t="str">
        <x:v>League</x:v>
      </x:c>
      <x:c r="F1" s="68" t="str">
        <x:v>Home_Team</x:v>
      </x:c>
      <x:c r="G1" s="68" t="str">
        <x:v>Away_Team</x:v>
      </x:c>
      <x:c r="H1" s="68" t="str">
        <x:v>Kickoff_EAT</x:v>
      </x:c>
      <x:c r="I1" s="68" t="str">
        <x:v>Market</x:v>
      </x:c>
      <x:c r="J1" s="68" t="str">
        <x:v>Observed_Over25_Odds</x:v>
      </x:c>
      <x:c r="K1" s="68" t="str">
        <x:v>Observed_Under25_Odds</x:v>
      </x:c>
      <x:c r="L1" s="68" t="str">
        <x:v>Raw_Over_Implied</x:v>
      </x:c>
      <x:c r="M1" s="68" t="str">
        <x:v>Raw_Under_Implied</x:v>
      </x:c>
      <x:c r="N1" s="68" t="str">
        <x:v>Devig_Over_Probability</x:v>
      </x:c>
      <x:c r="O1" s="68" t="str">
        <x:v>Devig_Under_Probability</x:v>
      </x:c>
      <x:c r="P1" s="68" t="str">
        <x:v>Home_xG_Season</x:v>
      </x:c>
      <x:c r="Q1" s="68" t="str">
        <x:v>Home_xGA_Season</x:v>
      </x:c>
      <x:c r="R1" s="68" t="str">
        <x:v>Away_xG_Season</x:v>
      </x:c>
      <x:c r="S1" s="68" t="str">
        <x:v>Away_xGA_Season</x:v>
      </x:c>
      <x:c r="T1" s="68" t="str">
        <x:v>Home_GF_Last5_Avg</x:v>
      </x:c>
      <x:c r="U1" s="68" t="str">
        <x:v>Home_GA_Last5_Avg</x:v>
      </x:c>
      <x:c r="V1" s="68" t="str">
        <x:v>Away_GF_Last5_Avg</x:v>
      </x:c>
      <x:c r="W1" s="68" t="str">
        <x:v>Away_GA_Last5_Avg</x:v>
      </x:c>
      <x:c r="X1" s="68" t="str">
        <x:v>Home_Rest_Days</x:v>
      </x:c>
      <x:c r="Y1" s="68" t="str">
        <x:v>Away_Rest_Days</x:v>
      </x:c>
      <x:c r="Z1" s="68" t="str">
        <x:v>Home_Out</x:v>
      </x:c>
      <x:c r="AA1" s="68" t="str">
        <x:v>Home_Questionable</x:v>
      </x:c>
      <x:c r="AB1" s="68" t="str">
        <x:v>Away_Out</x:v>
      </x:c>
      <x:c r="AC1" s="68" t="str">
        <x:v>Away_Questionable</x:v>
      </x:c>
      <x:c r="AD1" s="68" t="str">
        <x:v>Research_Decision</x:v>
      </x:c>
      <x:c r="AE1" s="68" t="str">
        <x:v>Official_Match_Source</x:v>
      </x:c>
      <x:c r="AF1" s="68" t="str">
        <x:v>Stats_Source</x:v>
      </x:c>
      <x:c r="AG1" s="68" t="str">
        <x:v>Odds_Source</x:v>
      </x:c>
      <x:c r="AH1" s="68" t="str">
        <x:v>Availability_Source</x:v>
      </x:c>
      <x:c r="AI1" s="68" t="str">
        <x:v>Notes</x:v>
      </x:c>
    </x:row>
    <x:row r="2">
      <x:c r="A2" t="str">
        <x:v>MLS-LIVE-0001</x:v>
      </x:c>
      <x:c r="B2" t="str">
        <x:v>2026-08-20 02:04 EAT</x:v>
      </x:c>
      <x:c r="C2" t="str">
        <x:v>MLS-2026-08-19-SKC-STL</x:v>
      </x:c>
      <x:c r="D2" t="str">
        <x:v>2026-08-19</x:v>
      </x:c>
      <x:c r="E2" t="str">
        <x:v>MLS</x:v>
      </x:c>
      <x:c r="F2" t="str">
        <x:v>Sporting Kansas City</x:v>
      </x:c>
      <x:c r="G2" t="str">
        <x:v>St. Louis CITY SC</x:v>
      </x:c>
      <x:c r="H2" t="str">
        <x:v>2026-08-20 03:25 EAT</x:v>
      </x:c>
      <x:c r="I2" t="str">
        <x:v>Over/Under 2.5</x:v>
      </x:c>
      <x:c r="J2" s="30" t="n">
        <x:v>1.5128205128205128</x:v>
      </x:c>
      <x:c r="K2" s="30" t="n">
        <x:v>2.55</x:v>
      </x:c>
      <x:c r="L2" s="32" t="n">
        <x:f>IF(J2="","",1/J2)</x:f>
        <x:v>0.6610169491525424</x:v>
      </x:c>
      <x:c r="M2" s="32" t="n">
        <x:f>IF(K2="","",1/K2)</x:f>
        <x:v>0.3921568627450981</x:v>
      </x:c>
      <x:c r="N2" s="32" t="n">
        <x:f>IF(OR(L2="",M2=""),"",L2/(L2+M2))</x:f>
        <x:v>0.627642789523509</x:v>
      </x:c>
      <x:c r="O2" s="32" t="n">
        <x:f>IF(OR(L2="",M2=""),"",M2/(L2+M2))</x:f>
        <x:v>0.37235721047649106</x:v>
      </x:c>
      <x:c r="P2" s="30" t="n">
        <x:v>0.92</x:v>
      </x:c>
      <x:c r="Q2" s="30" t="n">
        <x:v>2.15</x:v>
      </x:c>
      <x:c r="R2" s="30" t="n">
        <x:v>1.55</x:v>
      </x:c>
      <x:c r="S2" s="30" t="n">
        <x:v>1.14</x:v>
      </x:c>
      <x:c r="T2" s="30" t="n">
        <x:v>0.8</x:v>
      </x:c>
      <x:c r="U2" s="30" t="n">
        <x:v>2.4</x:v>
      </x:c>
      <x:c r="V2" s="30" t="n">
        <x:v>2.2</x:v>
      </x:c>
      <x:c r="W2" s="30" t="n">
        <x:v>1</x:v>
      </x:c>
      <x:c r="X2" t="n">
        <x:v>3</x:v>
      </x:c>
      <x:c r="Y2" t="n">
        <x:v>3</x:v>
      </x:c>
      <x:c r="Z2" t="n">
        <x:v>3</x:v>
      </x:c>
      <x:c r="AA2" t="n">
        <x:v>1</x:v>
      </x:c>
      <x:c r="AB2" t="n">
        <x:v>3</x:v>
      </x:c>
      <x:c r="AC2" t="n">
        <x:v>0</x:v>
      </x:c>
      <x:c r="AD2" s="73" t="str">
        <x:v>BASELINE ONLY — NO MODEL BET</x:v>
      </x:c>
      <x:c r="AE2" t="str">
        <x:v>https://www.sportingkc.com/news/preview-sporting-kc-hosts-rivals-st-louis-city-sc-on-wednesday-at-sporting-park</x:v>
      </x:c>
      <x:c r="AF2" t="str">
        <x:v>https://www.espn.com/soccer/match/_/gameId/761732/st-louis-city-sc-sporting-kansas-city</x:v>
      </x:c>
      <x:c r="AG2" t="str">
        <x:v>https://www.oddschecker.com/us/soccer/mls/sporting-kansas-city-v-st.-louis-city</x:v>
      </x:c>
      <x:c r="AH2" t="str">
        <x:v>https://www.mlssoccer.com/news/mls-player-status-report-matchday-21-wednesday-august-19</x:v>
      </x:c>
      <x:c r="AI2" t="str">
        <x:v>Snapshot taken before kickoff. Last-5 averages calculated from results available pre-match. Odds are observed market prices, not guaranteed opening lines.</x:v>
      </x:c>
    </x:row>
    <x:row r="3">
      <x:c r="A3" t="str">
        <x:v>MLS-LIVE-0002</x:v>
      </x:c>
      <x:c r="B3" t="str">
        <x:v>2026-08-20 02:18 EAT</x:v>
      </x:c>
      <x:c r="C3" t="str">
        <x:v>MLS-2026-08-19-SKC-STL</x:v>
      </x:c>
      <x:c r="D3" t="str">
        <x:v>2026-08-19</x:v>
      </x:c>
      <x:c r="E3" t="str">
        <x:v>MLS</x:v>
      </x:c>
      <x:c r="F3" t="str">
        <x:v>Sporting Kansas City</x:v>
      </x:c>
      <x:c r="G3" t="str">
        <x:v>St. Louis CITY SC</x:v>
      </x:c>
      <x:c r="H3" t="str">
        <x:v>2026-08-20 03:25 EAT</x:v>
      </x:c>
      <x:c r="I3" t="str">
        <x:v>Over/Under 2.5</x:v>
      </x:c>
      <x:c r="J3" s="30" t="n">
        <x:v>1.47</x:v>
      </x:c>
      <x:c r="K3" s="30" t="n">
        <x:v>2.6</x:v>
      </x:c>
      <x:c r="L3" s="32" t="n">
        <x:f>IF(J3="","",1/J3)</x:f>
        <x:v>0.6802721088435374</x:v>
      </x:c>
      <x:c r="M3" s="32" t="n">
        <x:f>IF(K3="","",1/K3)</x:f>
        <x:v>0.3846153846153846</x:v>
      </x:c>
      <x:c r="N3" s="32" t="n">
        <x:f>IF(OR(L3="",M3=""),"",L3/(L3+M3))</x:f>
        <x:v>0.6388206388206389</x:v>
      </x:c>
      <x:c r="O3" s="32" t="n">
        <x:f>IF(OR(L3="",M3=""),"",M3/(L3+M3))</x:f>
        <x:v>0.3611793611793612</x:v>
      </x:c>
      <x:c r="P3" s="30" t="n">
        <x:v>0.92</x:v>
      </x:c>
      <x:c r="Q3" s="30" t="n">
        <x:v>2.15</x:v>
      </x:c>
      <x:c r="R3" s="30" t="n">
        <x:v>1.55</x:v>
      </x:c>
      <x:c r="S3" s="30" t="n">
        <x:v>1.14</x:v>
      </x:c>
      <x:c r="T3" s="30" t="n">
        <x:v>0.8</x:v>
      </x:c>
      <x:c r="U3" s="30" t="n">
        <x:v>2.4</x:v>
      </x:c>
      <x:c r="V3" s="30" t="n">
        <x:v>2.2</x:v>
      </x:c>
      <x:c r="W3" s="30" t="n">
        <x:v>1</x:v>
      </x:c>
      <x:c r="X3" t="n">
        <x:v>3</x:v>
      </x:c>
      <x:c r="Y3" t="n">
        <x:v>3</x:v>
      </x:c>
      <x:c r="Z3" t="n">
        <x:v>3</x:v>
      </x:c>
      <x:c r="AA3" t="n">
        <x:v>1</x:v>
      </x:c>
      <x:c r="AB3" t="n">
        <x:v>3</x:v>
      </x:c>
      <x:c r="AC3" t="n">
        <x:v>0</x:v>
      </x:c>
      <x:c r="AD3" s="115" t="str">
        <x:v>NO BET — PRICE WORSENED; LINEUP PENDING</x:v>
      </x:c>
      <x:c r="AE3" t="str">
        <x:v>https://www.sportingkc.com/news/preview-sporting-kc-hosts-rivals-st-louis-city-sc-on-wednesday-at-sporting-park</x:v>
      </x:c>
      <x:c r="AF3" t="str">
        <x:v>https://www.espn.com/soccer/match/_/gameId/761732/st-louis-city-sc-sporting-kansas-city</x:v>
      </x:c>
      <x:c r="AG3" t="str">
        <x:v>https://www.sportsgambler.com/betting-tips/football/sporting-kansas-city-vs-st-louis-city-prediction-lineups-odds-2026-08-19/</x:v>
      </x:c>
      <x:c r="AH3" t="str">
        <x:v>https://www.mlssoccer.com/news/mls-player-status-report-matchday-21-wednesday-august-19</x:v>
      </x:c>
      <x:c r="AI3" t="str">
        <x:v>Second pre-kick snapshot. Official lineup page does not yet expose a readable Starting XI. Current same-source O/U pair used for de-vig.</x:v>
      </x:c>
    </x:row>
    <x:row r="4">
      <x:c r="A4" t="str">
        <x:v>MLS-LIVE-0003</x:v>
      </x:c>
      <x:c r="B4" t="str">
        <x:v>2026-08-20 02:29 EAT</x:v>
      </x:c>
      <x:c r="C4" t="str">
        <x:v>MLS-2026-08-19-SKC-STL</x:v>
      </x:c>
      <x:c r="D4" t="str">
        <x:v>2026-08-19</x:v>
      </x:c>
      <x:c r="E4" t="str">
        <x:v>MLS</x:v>
      </x:c>
      <x:c r="F4" t="str">
        <x:v>Sporting Kansas City</x:v>
      </x:c>
      <x:c r="G4" t="str">
        <x:v>St. Louis CITY SC</x:v>
      </x:c>
      <x:c r="H4" t="str">
        <x:v>2026-08-20 03:25 EAT</x:v>
      </x:c>
      <x:c r="I4" t="str">
        <x:v>Under 3.5</x:v>
      </x:c>
      <x:c r="J4" s="30" t="n">
        <x:v>2.2</x:v>
      </x:c>
      <x:c r="K4" s="30" t="n">
        <x:v>1.625</x:v>
      </x:c>
      <x:c r="L4" s="32" t="n">
        <x:f>IF(J4="","",1/J4)</x:f>
        <x:v>0.45454545454545453</x:v>
      </x:c>
      <x:c r="M4" s="32" t="n">
        <x:f>IF(K4="","",1/K4)</x:f>
        <x:v>0.6153846153846154</x:v>
      </x:c>
      <x:c r="N4" s="32" t="n">
        <x:f>IF(OR(L4="",M4=""),"",L4/(L4+M4))</x:f>
        <x:v>0.4248366013071895</x:v>
      </x:c>
      <x:c r="O4" s="32" t="n">
        <x:f>IF(OR(L4="",M4=""),"",M4/(L4+M4))</x:f>
        <x:v>0.5751633986928104</x:v>
      </x:c>
      <x:c r="P4" s="30" t="n">
        <x:v>0.92</x:v>
      </x:c>
      <x:c r="Q4" s="30" t="n">
        <x:v>2.15</x:v>
      </x:c>
      <x:c r="R4" s="30" t="n">
        <x:v>1.55</x:v>
      </x:c>
      <x:c r="S4" s="30" t="n">
        <x:v>1.14</x:v>
      </x:c>
      <x:c r="T4" s="30" t="n">
        <x:v>0.8</x:v>
      </x:c>
      <x:c r="U4" s="30" t="n">
        <x:v>2.4</x:v>
      </x:c>
      <x:c r="V4" s="30" t="n">
        <x:v>2.2</x:v>
      </x:c>
      <x:c r="W4" s="30" t="n">
        <x:v>1</x:v>
      </x:c>
      <x:c r="X4" t="n">
        <x:v>3</x:v>
      </x:c>
      <x:c r="Y4" t="n">
        <x:v>3</x:v>
      </x:c>
      <x:c r="Z4" t="n">
        <x:v>3</x:v>
      </x:c>
      <x:c r="AA4" t="n">
        <x:v>0</x:v>
      </x:c>
      <x:c r="AB4" t="n">
        <x:v>3</x:v>
      </x:c>
      <x:c r="AC4" t="n">
        <x:v>0</x:v>
      </x:c>
      <x:c r="AD4" t="str">
        <x:v>PAPER ONLY — LINEUPS CONFIRMED; SHRINKAGE GATE ACTIVE</x:v>
      </x:c>
      <x:c r="AE4" t="str">
        <x:v>https://www.sportingkc.com/news/preview-sporting-kc-hosts-rivals-st-louis-city-sc-on-wednesday-at-sporting-park</x:v>
      </x:c>
      <x:c r="AF4" t="str">
        <x:v>https://www.rotowire.com/soccer/lineups.php?league=MLS</x:v>
      </x:c>
      <x:c r="AG4" t="str">
        <x:v>https://www.foxsports.com/soccer/sporting-kansas-city-team-odds</x:v>
      </x:c>
      <x:c r="AH4" t="str">
        <x:v>https://www.sportingkc.com/news/player-availability-report-skcvstl-aug-19-2026</x:v>
      </x:c>
      <x:c r="AI4" t="str">
        <x:v>Snapshot #3. Columns J/K here represent paired Over3.5/Under3.5 for this snapshot. Confirmed lineups available. Final system remains paper-only because matched historical validation is incomplete.</x:v>
      </x:c>
    </x:row>
    <x:row r="5">
      <x:c r="J5" s="30"/>
      <x:c r="K5" s="30"/>
      <x:c r="L5" s="32"/>
      <x:c r="M5" s="32"/>
      <x:c r="N5" s="32"/>
      <x:c r="O5" s="32"/>
      <x:c r="P5" s="30"/>
      <x:c r="Q5" s="30"/>
      <x:c r="R5" s="30"/>
      <x:c r="S5" s="30"/>
      <x:c r="T5" s="30"/>
      <x:c r="U5" s="30"/>
      <x:c r="V5" s="30"/>
      <x:c r="W5" s="30"/>
    </x:row>
    <x:row r="6">
      <x:c r="J6" s="30"/>
      <x:c r="K6" s="30"/>
      <x:c r="L6" s="32"/>
      <x:c r="M6" s="32"/>
      <x:c r="N6" s="32"/>
      <x:c r="O6" s="32"/>
      <x:c r="P6" s="30"/>
      <x:c r="Q6" s="30"/>
      <x:c r="R6" s="30"/>
      <x:c r="S6" s="30"/>
      <x:c r="T6" s="30"/>
      <x:c r="U6" s="30"/>
      <x:c r="V6" s="30"/>
      <x:c r="W6" s="30"/>
    </x:row>
    <x:row r="7">
      <x:c r="J7" s="30"/>
      <x:c r="K7" s="30"/>
      <x:c r="L7" s="32"/>
      <x:c r="M7" s="32"/>
      <x:c r="N7" s="32"/>
      <x:c r="O7" s="32"/>
      <x:c r="P7" s="30"/>
      <x:c r="Q7" s="30"/>
      <x:c r="R7" s="30"/>
      <x:c r="S7" s="30"/>
      <x:c r="T7" s="30"/>
      <x:c r="U7" s="30"/>
      <x:c r="V7" s="30"/>
      <x:c r="W7" s="30"/>
    </x:row>
    <x:row r="8">
      <x:c r="J8" s="30"/>
      <x:c r="K8" s="30"/>
      <x:c r="L8" s="32"/>
      <x:c r="M8" s="32"/>
      <x:c r="N8" s="32"/>
      <x:c r="O8" s="32"/>
      <x:c r="P8" s="30"/>
      <x:c r="Q8" s="30"/>
      <x:c r="R8" s="30"/>
      <x:c r="S8" s="30"/>
      <x:c r="T8" s="30"/>
      <x:c r="U8" s="30"/>
      <x:c r="V8" s="30"/>
      <x:c r="W8" s="30"/>
    </x:row>
    <x:row r="9">
      <x:c r="J9" s="30"/>
      <x:c r="K9" s="30"/>
      <x:c r="L9" s="32"/>
      <x:c r="M9" s="32"/>
      <x:c r="N9" s="32"/>
      <x:c r="O9" s="32"/>
      <x:c r="P9" s="30"/>
      <x:c r="Q9" s="30"/>
      <x:c r="R9" s="30"/>
      <x:c r="S9" s="30"/>
      <x:c r="T9" s="30"/>
      <x:c r="U9" s="30"/>
      <x:c r="V9" s="30"/>
      <x:c r="W9" s="30"/>
    </x:row>
    <x:row r="10">
      <x:c r="J10" s="30"/>
      <x:c r="K10" s="30"/>
      <x:c r="L10" s="32"/>
      <x:c r="M10" s="32"/>
      <x:c r="N10" s="32"/>
      <x:c r="O10" s="32"/>
      <x:c r="P10" s="30"/>
      <x:c r="Q10" s="30"/>
      <x:c r="R10" s="30"/>
      <x:c r="S10" s="30"/>
      <x:c r="T10" s="30"/>
      <x:c r="U10" s="30"/>
      <x:c r="V10" s="30"/>
      <x:c r="W10" s="30"/>
    </x:row>
    <x:row r="11">
      <x:c r="J11" s="30"/>
      <x:c r="K11" s="30"/>
      <x:c r="L11" s="32"/>
      <x:c r="M11" s="32"/>
      <x:c r="N11" s="32"/>
      <x:c r="O11" s="32"/>
      <x:c r="P11" s="30"/>
      <x:c r="Q11" s="30"/>
      <x:c r="R11" s="30"/>
      <x:c r="S11" s="30"/>
      <x:c r="T11" s="30"/>
      <x:c r="U11" s="30"/>
      <x:c r="V11" s="30"/>
      <x:c r="W11" s="30"/>
    </x:row>
    <x:row r="12">
      <x:c r="J12" s="30"/>
      <x:c r="K12" s="30"/>
      <x:c r="L12" s="32"/>
      <x:c r="M12" s="32"/>
      <x:c r="N12" s="32"/>
      <x:c r="O12" s="32"/>
      <x:c r="P12" s="30"/>
      <x:c r="Q12" s="30"/>
      <x:c r="R12" s="30"/>
      <x:c r="S12" s="30"/>
      <x:c r="T12" s="30"/>
      <x:c r="U12" s="30"/>
      <x:c r="V12" s="30"/>
      <x:c r="W12" s="30"/>
    </x:row>
    <x:row r="13">
      <x:c r="J13" s="30"/>
      <x:c r="K13" s="30"/>
      <x:c r="L13" s="32"/>
      <x:c r="M13" s="32"/>
      <x:c r="N13" s="32"/>
      <x:c r="O13" s="32"/>
      <x:c r="P13" s="30"/>
      <x:c r="Q13" s="30"/>
      <x:c r="R13" s="30"/>
      <x:c r="S13" s="30"/>
      <x:c r="T13" s="30"/>
      <x:c r="U13" s="30"/>
      <x:c r="V13" s="30"/>
      <x:c r="W13" s="30"/>
    </x:row>
    <x:row r="14">
      <x:c r="J14" s="30"/>
      <x:c r="K14" s="30"/>
      <x:c r="L14" s="32"/>
      <x:c r="M14" s="32"/>
      <x:c r="N14" s="32"/>
      <x:c r="O14" s="32"/>
      <x:c r="P14" s="30"/>
      <x:c r="Q14" s="30"/>
      <x:c r="R14" s="30"/>
      <x:c r="S14" s="30"/>
      <x:c r="T14" s="30"/>
      <x:c r="U14" s="30"/>
      <x:c r="V14" s="30"/>
      <x:c r="W14" s="30"/>
    </x:row>
    <x:row r="15">
      <x:c r="J15" s="30"/>
      <x:c r="K15" s="30"/>
      <x:c r="L15" s="32"/>
      <x:c r="M15" s="32"/>
      <x:c r="N15" s="32"/>
      <x:c r="O15" s="32"/>
      <x:c r="P15" s="30"/>
      <x:c r="Q15" s="30"/>
      <x:c r="R15" s="30"/>
      <x:c r="S15" s="30"/>
      <x:c r="T15" s="30"/>
      <x:c r="U15" s="30"/>
      <x:c r="V15" s="30"/>
      <x:c r="W15" s="30"/>
    </x:row>
    <x:row r="16">
      <x:c r="J16" s="30"/>
      <x:c r="K16" s="30"/>
      <x:c r="L16" s="32"/>
      <x:c r="M16" s="32"/>
      <x:c r="N16" s="32"/>
      <x:c r="O16" s="32"/>
      <x:c r="P16" s="30"/>
      <x:c r="Q16" s="30"/>
      <x:c r="R16" s="30"/>
      <x:c r="S16" s="30"/>
      <x:c r="T16" s="30"/>
      <x:c r="U16" s="30"/>
      <x:c r="V16" s="30"/>
      <x:c r="W16" s="30"/>
    </x:row>
    <x:row r="17">
      <x:c r="J17" s="30"/>
      <x:c r="K17" s="30"/>
      <x:c r="L17" s="32"/>
      <x:c r="M17" s="32"/>
      <x:c r="N17" s="32"/>
      <x:c r="O17" s="32"/>
      <x:c r="P17" s="30"/>
      <x:c r="Q17" s="30"/>
      <x:c r="R17" s="30"/>
      <x:c r="S17" s="30"/>
      <x:c r="T17" s="30"/>
      <x:c r="U17" s="30"/>
      <x:c r="V17" s="30"/>
      <x:c r="W17" s="30"/>
    </x:row>
    <x:row r="18">
      <x:c r="J18" s="30"/>
      <x:c r="K18" s="30"/>
      <x:c r="L18" s="32"/>
      <x:c r="M18" s="32"/>
      <x:c r="N18" s="32"/>
      <x:c r="O18" s="32"/>
      <x:c r="P18" s="30"/>
      <x:c r="Q18" s="30"/>
      <x:c r="R18" s="30"/>
      <x:c r="S18" s="30"/>
      <x:c r="T18" s="30"/>
      <x:c r="U18" s="30"/>
      <x:c r="V18" s="30"/>
      <x:c r="W18" s="30"/>
    </x:row>
    <x:row r="19">
      <x:c r="J19" s="30"/>
      <x:c r="K19" s="30"/>
      <x:c r="L19" s="32"/>
      <x:c r="M19" s="32"/>
      <x:c r="N19" s="32"/>
      <x:c r="O19" s="32"/>
      <x:c r="P19" s="30"/>
      <x:c r="Q19" s="30"/>
      <x:c r="R19" s="30"/>
      <x:c r="S19" s="30"/>
      <x:c r="T19" s="30"/>
      <x:c r="U19" s="30"/>
      <x:c r="V19" s="30"/>
      <x:c r="W19" s="30"/>
    </x:row>
    <x:row r="20">
      <x:c r="J20" s="30"/>
      <x:c r="K20" s="30"/>
      <x:c r="L20" s="32"/>
      <x:c r="M20" s="32"/>
      <x:c r="N20" s="32"/>
      <x:c r="O20" s="32"/>
      <x:c r="P20" s="30"/>
      <x:c r="Q20" s="30"/>
      <x:c r="R20" s="30"/>
      <x:c r="S20" s="30"/>
      <x:c r="T20" s="30"/>
      <x:c r="U20" s="30"/>
      <x:c r="V20" s="30"/>
      <x:c r="W20" s="30"/>
    </x:row>
    <x:row r="21">
      <x:c r="J21" s="30"/>
      <x:c r="K21" s="30"/>
      <x:c r="L21" s="32"/>
      <x:c r="M21" s="32"/>
      <x:c r="N21" s="32"/>
      <x:c r="O21" s="32"/>
      <x:c r="P21" s="30"/>
      <x:c r="Q21" s="30"/>
      <x:c r="R21" s="30"/>
      <x:c r="S21" s="30"/>
      <x:c r="T21" s="30"/>
      <x:c r="U21" s="30"/>
      <x:c r="V21" s="30"/>
      <x:c r="W21" s="30"/>
    </x:row>
    <x:row r="22">
      <x:c r="J22" s="30"/>
      <x:c r="K22" s="30"/>
      <x:c r="L22" s="32"/>
      <x:c r="M22" s="32"/>
      <x:c r="N22" s="32"/>
      <x:c r="O22" s="32"/>
      <x:c r="P22" s="30"/>
      <x:c r="Q22" s="30"/>
      <x:c r="R22" s="30"/>
      <x:c r="S22" s="30"/>
      <x:c r="T22" s="30"/>
      <x:c r="U22" s="30"/>
      <x:c r="V22" s="30"/>
      <x:c r="W22" s="30"/>
    </x:row>
    <x:row r="23">
      <x:c r="J23" s="30"/>
      <x:c r="K23" s="30"/>
      <x:c r="L23" s="32"/>
      <x:c r="M23" s="32"/>
      <x:c r="N23" s="32"/>
      <x:c r="O23" s="32"/>
      <x:c r="P23" s="30"/>
      <x:c r="Q23" s="30"/>
      <x:c r="R23" s="30"/>
      <x:c r="S23" s="30"/>
      <x:c r="T23" s="30"/>
      <x:c r="U23" s="30"/>
      <x:c r="V23" s="30"/>
      <x:c r="W23" s="30"/>
    </x:row>
    <x:row r="24">
      <x:c r="J24" s="30"/>
      <x:c r="K24" s="30"/>
      <x:c r="L24" s="32"/>
      <x:c r="M24" s="32"/>
      <x:c r="N24" s="32"/>
      <x:c r="O24" s="32"/>
      <x:c r="P24" s="30"/>
      <x:c r="Q24" s="30"/>
      <x:c r="R24" s="30"/>
      <x:c r="S24" s="30"/>
      <x:c r="T24" s="30"/>
      <x:c r="U24" s="30"/>
      <x:c r="V24" s="30"/>
      <x:c r="W24" s="30"/>
    </x:row>
    <x:row r="25">
      <x:c r="J25" s="30"/>
      <x:c r="K25" s="30"/>
      <x:c r="L25" s="32"/>
      <x:c r="M25" s="32"/>
      <x:c r="N25" s="32"/>
      <x:c r="O25" s="32"/>
      <x:c r="P25" s="30"/>
      <x:c r="Q25" s="30"/>
      <x:c r="R25" s="30"/>
      <x:c r="S25" s="30"/>
      <x:c r="T25" s="30"/>
      <x:c r="U25" s="30"/>
      <x:c r="V25" s="30"/>
      <x:c r="W25" s="30"/>
    </x:row>
    <x:row r="26">
      <x:c r="J26" s="30"/>
      <x:c r="K26" s="30"/>
      <x:c r="L26" s="32"/>
      <x:c r="M26" s="32"/>
      <x:c r="N26" s="32"/>
      <x:c r="O26" s="32"/>
      <x:c r="P26" s="30"/>
      <x:c r="Q26" s="30"/>
      <x:c r="R26" s="30"/>
      <x:c r="S26" s="30"/>
      <x:c r="T26" s="30"/>
      <x:c r="U26" s="30"/>
      <x:c r="V26" s="30"/>
      <x:c r="W26" s="30"/>
    </x:row>
    <x:row r="27">
      <x:c r="J27" s="30"/>
      <x:c r="K27" s="30"/>
      <x:c r="L27" s="32"/>
      <x:c r="M27" s="32"/>
      <x:c r="N27" s="32"/>
      <x:c r="O27" s="32"/>
      <x:c r="P27" s="30"/>
      <x:c r="Q27" s="30"/>
      <x:c r="R27" s="30"/>
      <x:c r="S27" s="30"/>
      <x:c r="T27" s="30"/>
      <x:c r="U27" s="30"/>
      <x:c r="V27" s="30"/>
      <x:c r="W27" s="30"/>
    </x:row>
    <x:row r="28">
      <x:c r="J28" s="30"/>
      <x:c r="K28" s="30"/>
      <x:c r="L28" s="32"/>
      <x:c r="M28" s="32"/>
      <x:c r="N28" s="32"/>
      <x:c r="O28" s="32"/>
      <x:c r="P28" s="30"/>
      <x:c r="Q28" s="30"/>
      <x:c r="R28" s="30"/>
      <x:c r="S28" s="30"/>
      <x:c r="T28" s="30"/>
      <x:c r="U28" s="30"/>
      <x:c r="V28" s="30"/>
      <x:c r="W28" s="30"/>
    </x:row>
    <x:row r="29">
      <x:c r="J29" s="30"/>
      <x:c r="K29" s="30"/>
      <x:c r="L29" s="32"/>
      <x:c r="M29" s="32"/>
      <x:c r="N29" s="32"/>
      <x:c r="O29" s="32"/>
      <x:c r="P29" s="30"/>
      <x:c r="Q29" s="30"/>
      <x:c r="R29" s="30"/>
      <x:c r="S29" s="30"/>
      <x:c r="T29" s="30"/>
      <x:c r="U29" s="30"/>
      <x:c r="V29" s="30"/>
      <x:c r="W29" s="30"/>
    </x:row>
    <x:row r="30">
      <x:c r="J30" s="30"/>
      <x:c r="K30" s="30"/>
      <x:c r="L30" s="32"/>
      <x:c r="M30" s="32"/>
      <x:c r="N30" s="32"/>
      <x:c r="O30" s="32"/>
      <x:c r="P30" s="30"/>
      <x:c r="Q30" s="30"/>
      <x:c r="R30" s="30"/>
      <x:c r="S30" s="30"/>
      <x:c r="T30" s="30"/>
      <x:c r="U30" s="30"/>
      <x:c r="V30" s="30"/>
      <x:c r="W30" s="30"/>
    </x:row>
    <x:row r="31">
      <x:c r="J31" s="30"/>
      <x:c r="K31" s="30"/>
      <x:c r="L31" s="32"/>
      <x:c r="M31" s="32"/>
      <x:c r="N31" s="32"/>
      <x:c r="O31" s="32"/>
      <x:c r="P31" s="30"/>
      <x:c r="Q31" s="30"/>
      <x:c r="R31" s="30"/>
      <x:c r="S31" s="30"/>
      <x:c r="T31" s="30"/>
      <x:c r="U31" s="30"/>
      <x:c r="V31" s="30"/>
      <x:c r="W31" s="30"/>
    </x:row>
    <x:row r="32">
      <x:c r="J32" s="30"/>
      <x:c r="K32" s="30"/>
      <x:c r="L32" s="32"/>
      <x:c r="M32" s="32"/>
      <x:c r="N32" s="32"/>
      <x:c r="O32" s="32"/>
      <x:c r="P32" s="30"/>
      <x:c r="Q32" s="30"/>
      <x:c r="R32" s="30"/>
      <x:c r="S32" s="30"/>
      <x:c r="T32" s="30"/>
      <x:c r="U32" s="30"/>
      <x:c r="V32" s="30"/>
      <x:c r="W32" s="30"/>
    </x:row>
    <x:row r="33">
      <x:c r="J33" s="30"/>
      <x:c r="K33" s="30"/>
      <x:c r="L33" s="32"/>
      <x:c r="M33" s="32"/>
      <x:c r="N33" s="32"/>
      <x:c r="O33" s="32"/>
      <x:c r="P33" s="30"/>
      <x:c r="Q33" s="30"/>
      <x:c r="R33" s="30"/>
      <x:c r="S33" s="30"/>
      <x:c r="T33" s="30"/>
      <x:c r="U33" s="30"/>
      <x:c r="V33" s="30"/>
      <x:c r="W33" s="30"/>
    </x:row>
    <x:row r="34">
      <x:c r="J34" s="30"/>
      <x:c r="K34" s="30"/>
      <x:c r="L34" s="32"/>
      <x:c r="M34" s="32"/>
      <x:c r="N34" s="32"/>
      <x:c r="O34" s="32"/>
      <x:c r="P34" s="30"/>
      <x:c r="Q34" s="30"/>
      <x:c r="R34" s="30"/>
      <x:c r="S34" s="30"/>
      <x:c r="T34" s="30"/>
      <x:c r="U34" s="30"/>
      <x:c r="V34" s="30"/>
      <x:c r="W34" s="30"/>
    </x:row>
    <x:row r="35">
      <x:c r="J35" s="30"/>
      <x:c r="K35" s="30"/>
      <x:c r="L35" s="32"/>
      <x:c r="M35" s="32"/>
      <x:c r="N35" s="32"/>
      <x:c r="O35" s="32"/>
      <x:c r="P35" s="30"/>
      <x:c r="Q35" s="30"/>
      <x:c r="R35" s="30"/>
      <x:c r="S35" s="30"/>
      <x:c r="T35" s="30"/>
      <x:c r="U35" s="30"/>
      <x:c r="V35" s="30"/>
      <x:c r="W35" s="30"/>
    </x:row>
    <x:row r="36">
      <x:c r="J36" s="30"/>
      <x:c r="K36" s="30"/>
      <x:c r="L36" s="32"/>
      <x:c r="M36" s="32"/>
      <x:c r="N36" s="32"/>
      <x:c r="O36" s="32"/>
      <x:c r="P36" s="30"/>
      <x:c r="Q36" s="30"/>
      <x:c r="R36" s="30"/>
      <x:c r="S36" s="30"/>
      <x:c r="T36" s="30"/>
      <x:c r="U36" s="30"/>
      <x:c r="V36" s="30"/>
      <x:c r="W36" s="30"/>
    </x:row>
    <x:row r="37">
      <x:c r="J37" s="30"/>
      <x:c r="K37" s="30"/>
      <x:c r="L37" s="32"/>
      <x:c r="M37" s="32"/>
      <x:c r="N37" s="32"/>
      <x:c r="O37" s="32"/>
      <x:c r="P37" s="30"/>
      <x:c r="Q37" s="30"/>
      <x:c r="R37" s="30"/>
      <x:c r="S37" s="30"/>
      <x:c r="T37" s="30"/>
      <x:c r="U37" s="30"/>
      <x:c r="V37" s="30"/>
      <x:c r="W37" s="30"/>
    </x:row>
    <x:row r="38">
      <x:c r="J38" s="30"/>
      <x:c r="K38" s="30"/>
      <x:c r="L38" s="32"/>
      <x:c r="M38" s="32"/>
      <x:c r="N38" s="32"/>
      <x:c r="O38" s="32"/>
      <x:c r="P38" s="30"/>
      <x:c r="Q38" s="30"/>
      <x:c r="R38" s="30"/>
      <x:c r="S38" s="30"/>
      <x:c r="T38" s="30"/>
      <x:c r="U38" s="30"/>
      <x:c r="V38" s="30"/>
      <x:c r="W38" s="30"/>
    </x:row>
    <x:row r="39">
      <x:c r="J39" s="30"/>
      <x:c r="K39" s="30"/>
      <x:c r="L39" s="32"/>
      <x:c r="M39" s="32"/>
      <x:c r="N39" s="32"/>
      <x:c r="O39" s="32"/>
      <x:c r="P39" s="30"/>
      <x:c r="Q39" s="30"/>
      <x:c r="R39" s="30"/>
      <x:c r="S39" s="30"/>
      <x:c r="T39" s="30"/>
      <x:c r="U39" s="30"/>
      <x:c r="V39" s="30"/>
      <x:c r="W39" s="30"/>
    </x:row>
    <x:row r="40">
      <x:c r="J40" s="30"/>
      <x:c r="K40" s="30"/>
      <x:c r="L40" s="32"/>
      <x:c r="M40" s="32"/>
      <x:c r="N40" s="32"/>
      <x:c r="O40" s="32"/>
      <x:c r="P40" s="30"/>
      <x:c r="Q40" s="30"/>
      <x:c r="R40" s="30"/>
      <x:c r="S40" s="30"/>
      <x:c r="T40" s="30"/>
      <x:c r="U40" s="30"/>
      <x:c r="V40" s="30"/>
      <x:c r="W40" s="30"/>
    </x:row>
    <x:row r="41">
      <x:c r="J41" s="30"/>
      <x:c r="K41" s="30"/>
      <x:c r="L41" s="32"/>
      <x:c r="M41" s="32"/>
      <x:c r="N41" s="32"/>
      <x:c r="O41" s="32"/>
      <x:c r="P41" s="30"/>
      <x:c r="Q41" s="30"/>
      <x:c r="R41" s="30"/>
      <x:c r="S41" s="30"/>
      <x:c r="T41" s="30"/>
      <x:c r="U41" s="30"/>
      <x:c r="V41" s="30"/>
      <x:c r="W41" s="30"/>
    </x:row>
    <x:row r="42">
      <x:c r="J42" s="30"/>
      <x:c r="K42" s="30"/>
      <x:c r="L42" s="32"/>
      <x:c r="M42" s="32"/>
      <x:c r="N42" s="32"/>
      <x:c r="O42" s="32"/>
      <x:c r="P42" s="30"/>
      <x:c r="Q42" s="30"/>
      <x:c r="R42" s="30"/>
      <x:c r="S42" s="30"/>
      <x:c r="T42" s="30"/>
      <x:c r="U42" s="30"/>
      <x:c r="V42" s="30"/>
      <x:c r="W42" s="30"/>
    </x:row>
    <x:row r="43">
      <x:c r="J43" s="30"/>
      <x:c r="K43" s="30"/>
      <x:c r="L43" s="32"/>
      <x:c r="M43" s="32"/>
      <x:c r="N43" s="32"/>
      <x:c r="O43" s="32"/>
      <x:c r="P43" s="30"/>
      <x:c r="Q43" s="30"/>
      <x:c r="R43" s="30"/>
      <x:c r="S43" s="30"/>
      <x:c r="T43" s="30"/>
      <x:c r="U43" s="30"/>
      <x:c r="V43" s="30"/>
      <x:c r="W43" s="30"/>
    </x:row>
    <x:row r="44">
      <x:c r="J44" s="30"/>
      <x:c r="K44" s="30"/>
      <x:c r="L44" s="32"/>
      <x:c r="M44" s="32"/>
      <x:c r="N44" s="32"/>
      <x:c r="O44" s="32"/>
      <x:c r="P44" s="30"/>
      <x:c r="Q44" s="30"/>
      <x:c r="R44" s="30"/>
      <x:c r="S44" s="30"/>
      <x:c r="T44" s="30"/>
      <x:c r="U44" s="30"/>
      <x:c r="V44" s="30"/>
      <x:c r="W44" s="30"/>
    </x:row>
    <x:row r="45">
      <x:c r="J45" s="30"/>
      <x:c r="K45" s="30"/>
      <x:c r="L45" s="32"/>
      <x:c r="M45" s="32"/>
      <x:c r="N45" s="32"/>
      <x:c r="O45" s="32"/>
      <x:c r="P45" s="30"/>
      <x:c r="Q45" s="30"/>
      <x:c r="R45" s="30"/>
      <x:c r="S45" s="30"/>
      <x:c r="T45" s="30"/>
      <x:c r="U45" s="30"/>
      <x:c r="V45" s="30"/>
      <x:c r="W45" s="30"/>
    </x:row>
    <x:row r="46">
      <x:c r="J46" s="30"/>
      <x:c r="K46" s="30"/>
      <x:c r="L46" s="32"/>
      <x:c r="M46" s="32"/>
      <x:c r="N46" s="32"/>
      <x:c r="O46" s="32"/>
      <x:c r="P46" s="30"/>
      <x:c r="Q46" s="30"/>
      <x:c r="R46" s="30"/>
      <x:c r="S46" s="30"/>
      <x:c r="T46" s="30"/>
      <x:c r="U46" s="30"/>
      <x:c r="V46" s="30"/>
      <x:c r="W46" s="30"/>
    </x:row>
    <x:row r="47">
      <x:c r="J47" s="30"/>
      <x:c r="K47" s="30"/>
      <x:c r="L47" s="32"/>
      <x:c r="M47" s="32"/>
      <x:c r="N47" s="32"/>
      <x:c r="O47" s="32"/>
      <x:c r="P47" s="30"/>
      <x:c r="Q47" s="30"/>
      <x:c r="R47" s="30"/>
      <x:c r="S47" s="30"/>
      <x:c r="T47" s="30"/>
      <x:c r="U47" s="30"/>
      <x:c r="V47" s="30"/>
      <x:c r="W47" s="30"/>
    </x:row>
    <x:row r="48">
      <x:c r="J48" s="30"/>
      <x:c r="K48" s="30"/>
      <x:c r="L48" s="32"/>
      <x:c r="M48" s="32"/>
      <x:c r="N48" s="32"/>
      <x:c r="O48" s="32"/>
      <x:c r="P48" s="30"/>
      <x:c r="Q48" s="30"/>
      <x:c r="R48" s="30"/>
      <x:c r="S48" s="30"/>
      <x:c r="T48" s="30"/>
      <x:c r="U48" s="30"/>
      <x:c r="V48" s="30"/>
      <x:c r="W48" s="30"/>
    </x:row>
    <x:row r="49">
      <x:c r="J49" s="30"/>
      <x:c r="K49" s="30"/>
      <x:c r="L49" s="32"/>
      <x:c r="M49" s="32"/>
      <x:c r="N49" s="32"/>
      <x:c r="O49" s="32"/>
      <x:c r="P49" s="30"/>
      <x:c r="Q49" s="30"/>
      <x:c r="R49" s="30"/>
      <x:c r="S49" s="30"/>
      <x:c r="T49" s="30"/>
      <x:c r="U49" s="30"/>
      <x:c r="V49" s="30"/>
      <x:c r="W49" s="30"/>
    </x:row>
    <x:row r="50">
      <x:c r="J50" s="30"/>
      <x:c r="K50" s="30"/>
      <x:c r="L50" s="32"/>
      <x:c r="M50" s="32"/>
      <x:c r="N50" s="32"/>
      <x:c r="O50" s="32"/>
      <x:c r="P50" s="30"/>
      <x:c r="Q50" s="30"/>
      <x:c r="R50" s="30"/>
      <x:c r="S50" s="30"/>
      <x:c r="T50" s="30"/>
      <x:c r="U50" s="30"/>
      <x:c r="V50" s="30"/>
      <x:c r="W50" s="30"/>
    </x:row>
    <x:row r="51">
      <x:c r="J51" s="30"/>
      <x:c r="K51" s="30"/>
      <x:c r="L51" s="32"/>
      <x:c r="M51" s="32"/>
      <x:c r="N51" s="32"/>
      <x:c r="O51" s="32"/>
      <x:c r="P51" s="30"/>
      <x:c r="Q51" s="30"/>
      <x:c r="R51" s="30"/>
      <x:c r="S51" s="30"/>
      <x:c r="T51" s="30"/>
      <x:c r="U51" s="30"/>
      <x:c r="V51" s="30"/>
      <x:c r="W51" s="30"/>
    </x:row>
    <x:row r="52">
      <x:c r="J52" s="30"/>
      <x:c r="K52" s="30"/>
      <x:c r="L52" s="32"/>
      <x:c r="M52" s="32"/>
      <x:c r="N52" s="32"/>
      <x:c r="O52" s="32"/>
      <x:c r="P52" s="30"/>
      <x:c r="Q52" s="30"/>
      <x:c r="R52" s="30"/>
      <x:c r="S52" s="30"/>
      <x:c r="T52" s="30"/>
      <x:c r="U52" s="30"/>
      <x:c r="V52" s="30"/>
      <x:c r="W52" s="30"/>
    </x:row>
    <x:row r="53">
      <x:c r="J53" s="30"/>
      <x:c r="K53" s="30"/>
      <x:c r="L53" s="32"/>
      <x:c r="M53" s="32"/>
      <x:c r="N53" s="32"/>
      <x:c r="O53" s="32"/>
      <x:c r="P53" s="30"/>
      <x:c r="Q53" s="30"/>
      <x:c r="R53" s="30"/>
      <x:c r="S53" s="30"/>
      <x:c r="T53" s="30"/>
      <x:c r="U53" s="30"/>
      <x:c r="V53" s="30"/>
      <x:c r="W53" s="30"/>
    </x:row>
    <x:row r="54">
      <x:c r="J54" s="30"/>
      <x:c r="K54" s="30"/>
      <x:c r="L54" s="32"/>
      <x:c r="M54" s="32"/>
      <x:c r="N54" s="32"/>
      <x:c r="O54" s="32"/>
      <x:c r="P54" s="30"/>
      <x:c r="Q54" s="30"/>
      <x:c r="R54" s="30"/>
      <x:c r="S54" s="30"/>
      <x:c r="T54" s="30"/>
      <x:c r="U54" s="30"/>
      <x:c r="V54" s="30"/>
      <x:c r="W54" s="30"/>
    </x:row>
    <x:row r="55">
      <x:c r="J55" s="30"/>
      <x:c r="K55" s="30"/>
      <x:c r="L55" s="32"/>
      <x:c r="M55" s="32"/>
      <x:c r="N55" s="32"/>
      <x:c r="O55" s="32"/>
      <x:c r="P55" s="30"/>
      <x:c r="Q55" s="30"/>
      <x:c r="R55" s="30"/>
      <x:c r="S55" s="30"/>
      <x:c r="T55" s="30"/>
      <x:c r="U55" s="30"/>
      <x:c r="V55" s="30"/>
      <x:c r="W55" s="30"/>
    </x:row>
    <x:row r="56">
      <x:c r="J56" s="30"/>
      <x:c r="K56" s="30"/>
      <x:c r="L56" s="32"/>
      <x:c r="M56" s="32"/>
      <x:c r="N56" s="32"/>
      <x:c r="O56" s="32"/>
      <x:c r="P56" s="30"/>
      <x:c r="Q56" s="30"/>
      <x:c r="R56" s="30"/>
      <x:c r="S56" s="30"/>
      <x:c r="T56" s="30"/>
      <x:c r="U56" s="30"/>
      <x:c r="V56" s="30"/>
      <x:c r="W56" s="30"/>
    </x:row>
    <x:row r="57">
      <x:c r="J57" s="30"/>
      <x:c r="K57" s="30"/>
      <x:c r="L57" s="32"/>
      <x:c r="M57" s="32"/>
      <x:c r="N57" s="32"/>
      <x:c r="O57" s="32"/>
      <x:c r="P57" s="30"/>
      <x:c r="Q57" s="30"/>
      <x:c r="R57" s="30"/>
      <x:c r="S57" s="30"/>
      <x:c r="T57" s="30"/>
      <x:c r="U57" s="30"/>
      <x:c r="V57" s="30"/>
      <x:c r="W57" s="30"/>
    </x:row>
    <x:row r="58">
      <x:c r="J58" s="30"/>
      <x:c r="K58" s="30"/>
      <x:c r="L58" s="32"/>
      <x:c r="M58" s="32"/>
      <x:c r="N58" s="32"/>
      <x:c r="O58" s="32"/>
      <x:c r="P58" s="30"/>
      <x:c r="Q58" s="30"/>
      <x:c r="R58" s="30"/>
      <x:c r="S58" s="30"/>
      <x:c r="T58" s="30"/>
      <x:c r="U58" s="30"/>
      <x:c r="V58" s="30"/>
      <x:c r="W58" s="30"/>
    </x:row>
    <x:row r="59">
      <x:c r="J59" s="30"/>
      <x:c r="K59" s="30"/>
      <x:c r="L59" s="32"/>
      <x:c r="M59" s="32"/>
      <x:c r="N59" s="32"/>
      <x:c r="O59" s="32"/>
      <x:c r="P59" s="30"/>
      <x:c r="Q59" s="30"/>
      <x:c r="R59" s="30"/>
      <x:c r="S59" s="30"/>
      <x:c r="T59" s="30"/>
      <x:c r="U59" s="30"/>
      <x:c r="V59" s="30"/>
      <x:c r="W59" s="30"/>
    </x:row>
    <x:row r="60">
      <x:c r="J60" s="30"/>
      <x:c r="K60" s="30"/>
      <x:c r="L60" s="32"/>
      <x:c r="M60" s="32"/>
      <x:c r="N60" s="32"/>
      <x:c r="O60" s="32"/>
      <x:c r="P60" s="30"/>
      <x:c r="Q60" s="30"/>
      <x:c r="R60" s="30"/>
      <x:c r="S60" s="30"/>
      <x:c r="T60" s="30"/>
      <x:c r="U60" s="30"/>
      <x:c r="V60" s="30"/>
      <x:c r="W60" s="30"/>
    </x:row>
    <x:row r="61">
      <x:c r="J61" s="30"/>
      <x:c r="K61" s="30"/>
      <x:c r="L61" s="32"/>
      <x:c r="M61" s="32"/>
      <x:c r="N61" s="32"/>
      <x:c r="O61" s="32"/>
      <x:c r="P61" s="30"/>
      <x:c r="Q61" s="30"/>
      <x:c r="R61" s="30"/>
      <x:c r="S61" s="30"/>
      <x:c r="T61" s="30"/>
      <x:c r="U61" s="30"/>
      <x:c r="V61" s="30"/>
      <x:c r="W61" s="30"/>
    </x:row>
    <x:row r="62">
      <x:c r="J62" s="30"/>
      <x:c r="K62" s="30"/>
      <x:c r="L62" s="32"/>
      <x:c r="M62" s="32"/>
      <x:c r="N62" s="32"/>
      <x:c r="O62" s="32"/>
      <x:c r="P62" s="30"/>
      <x:c r="Q62" s="30"/>
      <x:c r="R62" s="30"/>
      <x:c r="S62" s="30"/>
      <x:c r="T62" s="30"/>
      <x:c r="U62" s="30"/>
      <x:c r="V62" s="30"/>
      <x:c r="W62" s="30"/>
    </x:row>
    <x:row r="63">
      <x:c r="J63" s="30"/>
      <x:c r="K63" s="30"/>
      <x:c r="L63" s="32"/>
      <x:c r="M63" s="32"/>
      <x:c r="N63" s="32"/>
      <x:c r="O63" s="32"/>
      <x:c r="P63" s="30"/>
      <x:c r="Q63" s="30"/>
      <x:c r="R63" s="30"/>
      <x:c r="S63" s="30"/>
      <x:c r="T63" s="30"/>
      <x:c r="U63" s="30"/>
      <x:c r="V63" s="30"/>
      <x:c r="W63" s="30"/>
    </x:row>
    <x:row r="64">
      <x:c r="J64" s="30"/>
      <x:c r="K64" s="30"/>
      <x:c r="L64" s="32"/>
      <x:c r="M64" s="32"/>
      <x:c r="N64" s="32"/>
      <x:c r="O64" s="32"/>
      <x:c r="P64" s="30"/>
      <x:c r="Q64" s="30"/>
      <x:c r="R64" s="30"/>
      <x:c r="S64" s="30"/>
      <x:c r="T64" s="30"/>
      <x:c r="U64" s="30"/>
      <x:c r="V64" s="30"/>
      <x:c r="W64" s="30"/>
    </x:row>
    <x:row r="65">
      <x:c r="J65" s="30"/>
      <x:c r="K65" s="30"/>
      <x:c r="L65" s="32"/>
      <x:c r="M65" s="32"/>
      <x:c r="N65" s="32"/>
      <x:c r="O65" s="32"/>
      <x:c r="P65" s="30"/>
      <x:c r="Q65" s="30"/>
      <x:c r="R65" s="30"/>
      <x:c r="S65" s="30"/>
      <x:c r="T65" s="30"/>
      <x:c r="U65" s="30"/>
      <x:c r="V65" s="30"/>
      <x:c r="W65" s="30"/>
    </x:row>
    <x:row r="66">
      <x:c r="J66" s="30"/>
      <x:c r="K66" s="30"/>
      <x:c r="L66" s="32"/>
      <x:c r="M66" s="32"/>
      <x:c r="N66" s="32"/>
      <x:c r="O66" s="32"/>
      <x:c r="P66" s="30"/>
      <x:c r="Q66" s="30"/>
      <x:c r="R66" s="30"/>
      <x:c r="S66" s="30"/>
      <x:c r="T66" s="30"/>
      <x:c r="U66" s="30"/>
      <x:c r="V66" s="30"/>
      <x:c r="W66" s="30"/>
    </x:row>
    <x:row r="67">
      <x:c r="J67" s="30"/>
      <x:c r="K67" s="30"/>
      <x:c r="L67" s="32"/>
      <x:c r="M67" s="32"/>
      <x:c r="N67" s="32"/>
      <x:c r="O67" s="32"/>
      <x:c r="P67" s="30"/>
      <x:c r="Q67" s="30"/>
      <x:c r="R67" s="30"/>
      <x:c r="S67" s="30"/>
      <x:c r="T67" s="30"/>
      <x:c r="U67" s="30"/>
      <x:c r="V67" s="30"/>
      <x:c r="W67" s="30"/>
    </x:row>
    <x:row r="68">
      <x:c r="J68" s="30"/>
      <x:c r="K68" s="30"/>
      <x:c r="L68" s="32"/>
      <x:c r="M68" s="32"/>
      <x:c r="N68" s="32"/>
      <x:c r="O68" s="32"/>
      <x:c r="P68" s="30"/>
      <x:c r="Q68" s="30"/>
      <x:c r="R68" s="30"/>
      <x:c r="S68" s="30"/>
      <x:c r="T68" s="30"/>
      <x:c r="U68" s="30"/>
      <x:c r="V68" s="30"/>
      <x:c r="W68" s="30"/>
    </x:row>
    <x:row r="69">
      <x:c r="J69" s="30"/>
      <x:c r="K69" s="30"/>
      <x:c r="L69" s="32"/>
      <x:c r="M69" s="32"/>
      <x:c r="N69" s="32"/>
      <x:c r="O69" s="32"/>
      <x:c r="P69" s="30"/>
      <x:c r="Q69" s="30"/>
      <x:c r="R69" s="30"/>
      <x:c r="S69" s="30"/>
      <x:c r="T69" s="30"/>
      <x:c r="U69" s="30"/>
      <x:c r="V69" s="30"/>
      <x:c r="W69" s="30"/>
    </x:row>
    <x:row r="70">
      <x:c r="J70" s="30"/>
      <x:c r="K70" s="30"/>
      <x:c r="L70" s="32"/>
      <x:c r="M70" s="32"/>
      <x:c r="N70" s="32"/>
      <x:c r="O70" s="32"/>
      <x:c r="P70" s="30"/>
      <x:c r="Q70" s="30"/>
      <x:c r="R70" s="30"/>
      <x:c r="S70" s="30"/>
      <x:c r="T70" s="30"/>
      <x:c r="U70" s="30"/>
      <x:c r="V70" s="30"/>
      <x:c r="W70" s="30"/>
    </x:row>
    <x:row r="71">
      <x:c r="J71" s="30"/>
      <x:c r="K71" s="30"/>
      <x:c r="L71" s="32"/>
      <x:c r="M71" s="32"/>
      <x:c r="N71" s="32"/>
      <x:c r="O71" s="32"/>
      <x:c r="P71" s="30"/>
      <x:c r="Q71" s="30"/>
      <x:c r="R71" s="30"/>
      <x:c r="S71" s="30"/>
      <x:c r="T71" s="30"/>
      <x:c r="U71" s="30"/>
      <x:c r="V71" s="30"/>
      <x:c r="W71" s="30"/>
    </x:row>
    <x:row r="72">
      <x:c r="J72" s="30"/>
      <x:c r="K72" s="30"/>
      <x:c r="L72" s="32"/>
      <x:c r="M72" s="32"/>
      <x:c r="N72" s="32"/>
      <x:c r="O72" s="32"/>
      <x:c r="P72" s="30"/>
      <x:c r="Q72" s="30"/>
      <x:c r="R72" s="30"/>
      <x:c r="S72" s="30"/>
      <x:c r="T72" s="30"/>
      <x:c r="U72" s="30"/>
      <x:c r="V72" s="30"/>
      <x:c r="W72" s="30"/>
    </x:row>
    <x:row r="73">
      <x:c r="J73" s="30"/>
      <x:c r="K73" s="30"/>
      <x:c r="L73" s="32"/>
      <x:c r="M73" s="32"/>
      <x:c r="N73" s="32"/>
      <x:c r="O73" s="32"/>
      <x:c r="P73" s="30"/>
      <x:c r="Q73" s="30"/>
      <x:c r="R73" s="30"/>
      <x:c r="S73" s="30"/>
      <x:c r="T73" s="30"/>
      <x:c r="U73" s="30"/>
      <x:c r="V73" s="30"/>
      <x:c r="W73" s="30"/>
    </x:row>
    <x:row r="74">
      <x:c r="J74" s="30"/>
      <x:c r="K74" s="30"/>
      <x:c r="L74" s="32"/>
      <x:c r="M74" s="32"/>
      <x:c r="N74" s="32"/>
      <x:c r="O74" s="32"/>
      <x:c r="P74" s="30"/>
      <x:c r="Q74" s="30"/>
      <x:c r="R74" s="30"/>
      <x:c r="S74" s="30"/>
      <x:c r="T74" s="30"/>
      <x:c r="U74" s="30"/>
      <x:c r="V74" s="30"/>
      <x:c r="W74" s="30"/>
    </x:row>
    <x:row r="75">
      <x:c r="J75" s="30"/>
      <x:c r="K75" s="30"/>
      <x:c r="L75" s="32"/>
      <x:c r="M75" s="32"/>
      <x:c r="N75" s="32"/>
      <x:c r="O75" s="32"/>
      <x:c r="P75" s="30"/>
      <x:c r="Q75" s="30"/>
      <x:c r="R75" s="30"/>
      <x:c r="S75" s="30"/>
      <x:c r="T75" s="30"/>
      <x:c r="U75" s="30"/>
      <x:c r="V75" s="30"/>
      <x:c r="W75" s="30"/>
    </x:row>
    <x:row r="76">
      <x:c r="J76" s="30"/>
      <x:c r="K76" s="30"/>
      <x:c r="L76" s="32"/>
      <x:c r="M76" s="32"/>
      <x:c r="N76" s="32"/>
      <x:c r="O76" s="32"/>
      <x:c r="P76" s="30"/>
      <x:c r="Q76" s="30"/>
      <x:c r="R76" s="30"/>
      <x:c r="S76" s="30"/>
      <x:c r="T76" s="30"/>
      <x:c r="U76" s="30"/>
      <x:c r="V76" s="30"/>
      <x:c r="W76" s="30"/>
    </x:row>
    <x:row r="77">
      <x:c r="J77" s="30"/>
      <x:c r="K77" s="30"/>
      <x:c r="L77" s="32"/>
      <x:c r="M77" s="32"/>
      <x:c r="N77" s="32"/>
      <x:c r="O77" s="32"/>
      <x:c r="P77" s="30"/>
      <x:c r="Q77" s="30"/>
      <x:c r="R77" s="30"/>
      <x:c r="S77" s="30"/>
      <x:c r="T77" s="30"/>
      <x:c r="U77" s="30"/>
      <x:c r="V77" s="30"/>
      <x:c r="W77" s="30"/>
    </x:row>
    <x:row r="78">
      <x:c r="J78" s="30"/>
      <x:c r="K78" s="30"/>
      <x:c r="L78" s="32"/>
      <x:c r="M78" s="32"/>
      <x:c r="N78" s="32"/>
      <x:c r="O78" s="32"/>
      <x:c r="P78" s="30"/>
      <x:c r="Q78" s="30"/>
      <x:c r="R78" s="30"/>
      <x:c r="S78" s="30"/>
      <x:c r="T78" s="30"/>
      <x:c r="U78" s="30"/>
      <x:c r="V78" s="30"/>
      <x:c r="W78" s="30"/>
    </x:row>
    <x:row r="79">
      <x:c r="J79" s="30"/>
      <x:c r="K79" s="30"/>
      <x:c r="L79" s="32"/>
      <x:c r="M79" s="32"/>
      <x:c r="N79" s="32"/>
      <x:c r="O79" s="32"/>
      <x:c r="P79" s="30"/>
      <x:c r="Q79" s="30"/>
      <x:c r="R79" s="30"/>
      <x:c r="S79" s="30"/>
      <x:c r="T79" s="30"/>
      <x:c r="U79" s="30"/>
      <x:c r="V79" s="30"/>
      <x:c r="W79" s="30"/>
    </x:row>
    <x:row r="80">
      <x:c r="J80" s="30"/>
      <x:c r="K80" s="30"/>
      <x:c r="L80" s="32"/>
      <x:c r="M80" s="32"/>
      <x:c r="N80" s="32"/>
      <x:c r="O80" s="32"/>
      <x:c r="P80" s="30"/>
      <x:c r="Q80" s="30"/>
      <x:c r="R80" s="30"/>
      <x:c r="S80" s="30"/>
      <x:c r="T80" s="30"/>
      <x:c r="U80" s="30"/>
      <x:c r="V80" s="30"/>
      <x:c r="W80" s="30"/>
    </x:row>
    <x:row r="81">
      <x:c r="J81" s="30"/>
      <x:c r="K81" s="30"/>
      <x:c r="L81" s="32"/>
      <x:c r="M81" s="32"/>
      <x:c r="N81" s="32"/>
      <x:c r="O81" s="32"/>
      <x:c r="P81" s="30"/>
      <x:c r="Q81" s="30"/>
      <x:c r="R81" s="30"/>
      <x:c r="S81" s="30"/>
      <x:c r="T81" s="30"/>
      <x:c r="U81" s="30"/>
      <x:c r="V81" s="30"/>
      <x:c r="W81" s="30"/>
    </x:row>
    <x:row r="82">
      <x:c r="J82" s="30"/>
      <x:c r="K82" s="30"/>
      <x:c r="L82" s="32"/>
      <x:c r="M82" s="32"/>
      <x:c r="N82" s="32"/>
      <x:c r="O82" s="32"/>
      <x:c r="P82" s="30"/>
      <x:c r="Q82" s="30"/>
      <x:c r="R82" s="30"/>
      <x:c r="S82" s="30"/>
      <x:c r="T82" s="30"/>
      <x:c r="U82" s="30"/>
      <x:c r="V82" s="30"/>
      <x:c r="W82" s="30"/>
    </x:row>
    <x:row r="83">
      <x:c r="J83" s="30"/>
      <x:c r="K83" s="30"/>
      <x:c r="L83" s="32"/>
      <x:c r="M83" s="32"/>
      <x:c r="N83" s="32"/>
      <x:c r="O83" s="32"/>
      <x:c r="P83" s="30"/>
      <x:c r="Q83" s="30"/>
      <x:c r="R83" s="30"/>
      <x:c r="S83" s="30"/>
      <x:c r="T83" s="30"/>
      <x:c r="U83" s="30"/>
      <x:c r="V83" s="30"/>
      <x:c r="W83" s="30"/>
    </x:row>
    <x:row r="84">
      <x:c r="J84" s="30"/>
      <x:c r="K84" s="30"/>
      <x:c r="L84" s="32"/>
      <x:c r="M84" s="32"/>
      <x:c r="N84" s="32"/>
      <x:c r="O84" s="32"/>
      <x:c r="P84" s="30"/>
      <x:c r="Q84" s="30"/>
      <x:c r="R84" s="30"/>
      <x:c r="S84" s="30"/>
      <x:c r="T84" s="30"/>
      <x:c r="U84" s="30"/>
      <x:c r="V84" s="30"/>
      <x:c r="W84" s="30"/>
    </x:row>
    <x:row r="85">
      <x:c r="J85" s="30"/>
      <x:c r="K85" s="30"/>
      <x:c r="L85" s="32"/>
      <x:c r="M85" s="32"/>
      <x:c r="N85" s="32"/>
      <x:c r="O85" s="32"/>
      <x:c r="P85" s="30"/>
      <x:c r="Q85" s="30"/>
      <x:c r="R85" s="30"/>
      <x:c r="S85" s="30"/>
      <x:c r="T85" s="30"/>
      <x:c r="U85" s="30"/>
      <x:c r="V85" s="30"/>
      <x:c r="W85" s="30"/>
    </x:row>
    <x:row r="86">
      <x:c r="J86" s="30"/>
      <x:c r="K86" s="30"/>
      <x:c r="L86" s="32"/>
      <x:c r="M86" s="32"/>
      <x:c r="N86" s="32"/>
      <x:c r="O86" s="32"/>
      <x:c r="P86" s="30"/>
      <x:c r="Q86" s="30"/>
      <x:c r="R86" s="30"/>
      <x:c r="S86" s="30"/>
      <x:c r="T86" s="30"/>
      <x:c r="U86" s="30"/>
      <x:c r="V86" s="30"/>
      <x:c r="W86" s="30"/>
    </x:row>
    <x:row r="87">
      <x:c r="J87" s="30"/>
      <x:c r="K87" s="30"/>
      <x:c r="L87" s="32"/>
      <x:c r="M87" s="32"/>
      <x:c r="N87" s="32"/>
      <x:c r="O87" s="32"/>
      <x:c r="P87" s="30"/>
      <x:c r="Q87" s="30"/>
      <x:c r="R87" s="30"/>
      <x:c r="S87" s="30"/>
      <x:c r="T87" s="30"/>
      <x:c r="U87" s="30"/>
      <x:c r="V87" s="30"/>
      <x:c r="W87" s="30"/>
    </x:row>
    <x:row r="88">
      <x:c r="J88" s="30"/>
      <x:c r="K88" s="30"/>
      <x:c r="L88" s="32"/>
      <x:c r="M88" s="32"/>
      <x:c r="N88" s="32"/>
      <x:c r="O88" s="32"/>
      <x:c r="P88" s="30"/>
      <x:c r="Q88" s="30"/>
      <x:c r="R88" s="30"/>
      <x:c r="S88" s="30"/>
      <x:c r="T88" s="30"/>
      <x:c r="U88" s="30"/>
      <x:c r="V88" s="30"/>
      <x:c r="W88" s="30"/>
    </x:row>
    <x:row r="89">
      <x:c r="J89" s="30"/>
      <x:c r="K89" s="30"/>
      <x:c r="L89" s="32"/>
      <x:c r="M89" s="32"/>
      <x:c r="N89" s="32"/>
      <x:c r="O89" s="32"/>
      <x:c r="P89" s="30"/>
      <x:c r="Q89" s="30"/>
      <x:c r="R89" s="30"/>
      <x:c r="S89" s="30"/>
      <x:c r="T89" s="30"/>
      <x:c r="U89" s="30"/>
      <x:c r="V89" s="30"/>
      <x:c r="W89" s="30"/>
    </x:row>
    <x:row r="90">
      <x:c r="J90" s="30"/>
      <x:c r="K90" s="30"/>
      <x:c r="L90" s="32"/>
      <x:c r="M90" s="32"/>
      <x:c r="N90" s="32"/>
      <x:c r="O90" s="32"/>
      <x:c r="P90" s="30"/>
      <x:c r="Q90" s="30"/>
      <x:c r="R90" s="30"/>
      <x:c r="S90" s="30"/>
      <x:c r="T90" s="30"/>
      <x:c r="U90" s="30"/>
      <x:c r="V90" s="30"/>
      <x:c r="W90" s="30"/>
    </x:row>
    <x:row r="91">
      <x:c r="J91" s="30"/>
      <x:c r="K91" s="30"/>
      <x:c r="L91" s="32"/>
      <x:c r="M91" s="32"/>
      <x:c r="N91" s="32"/>
      <x:c r="O91" s="32"/>
      <x:c r="P91" s="30"/>
      <x:c r="Q91" s="30"/>
      <x:c r="R91" s="30"/>
      <x:c r="S91" s="30"/>
      <x:c r="T91" s="30"/>
      <x:c r="U91" s="30"/>
      <x:c r="V91" s="30"/>
      <x:c r="W91" s="30"/>
    </x:row>
    <x:row r="92">
      <x:c r="J92" s="30"/>
      <x:c r="K92" s="30"/>
      <x:c r="L92" s="32"/>
      <x:c r="M92" s="32"/>
      <x:c r="N92" s="32"/>
      <x:c r="O92" s="32"/>
      <x:c r="P92" s="30"/>
      <x:c r="Q92" s="30"/>
      <x:c r="R92" s="30"/>
      <x:c r="S92" s="30"/>
      <x:c r="T92" s="30"/>
      <x:c r="U92" s="30"/>
      <x:c r="V92" s="30"/>
      <x:c r="W92" s="30"/>
    </x:row>
    <x:row r="93">
      <x:c r="J93" s="30"/>
      <x:c r="K93" s="30"/>
      <x:c r="L93" s="32"/>
      <x:c r="M93" s="32"/>
      <x:c r="N93" s="32"/>
      <x:c r="O93" s="32"/>
      <x:c r="P93" s="30"/>
      <x:c r="Q93" s="30"/>
      <x:c r="R93" s="30"/>
      <x:c r="S93" s="30"/>
      <x:c r="T93" s="30"/>
      <x:c r="U93" s="30"/>
      <x:c r="V93" s="30"/>
      <x:c r="W93" s="30"/>
    </x:row>
    <x:row r="94">
      <x:c r="J94" s="30"/>
      <x:c r="K94" s="30"/>
      <x:c r="L94" s="32"/>
      <x:c r="M94" s="32"/>
      <x:c r="N94" s="32"/>
      <x:c r="O94" s="32"/>
      <x:c r="P94" s="30"/>
      <x:c r="Q94" s="30"/>
      <x:c r="R94" s="30"/>
      <x:c r="S94" s="30"/>
      <x:c r="T94" s="30"/>
      <x:c r="U94" s="30"/>
      <x:c r="V94" s="30"/>
      <x:c r="W94" s="30"/>
    </x:row>
    <x:row r="95">
      <x:c r="J95" s="30"/>
      <x:c r="K95" s="30"/>
      <x:c r="L95" s="32"/>
      <x:c r="M95" s="32"/>
      <x:c r="N95" s="32"/>
      <x:c r="O95" s="32"/>
      <x:c r="P95" s="30"/>
      <x:c r="Q95" s="30"/>
      <x:c r="R95" s="30"/>
      <x:c r="S95" s="30"/>
      <x:c r="T95" s="30"/>
      <x:c r="U95" s="30"/>
      <x:c r="V95" s="30"/>
      <x:c r="W95" s="30"/>
    </x:row>
    <x:row r="96">
      <x:c r="J96" s="30"/>
      <x:c r="K96" s="30"/>
      <x:c r="L96" s="32"/>
      <x:c r="M96" s="32"/>
      <x:c r="N96" s="32"/>
      <x:c r="O96" s="32"/>
      <x:c r="P96" s="30"/>
      <x:c r="Q96" s="30"/>
      <x:c r="R96" s="30"/>
      <x:c r="S96" s="30"/>
      <x:c r="T96" s="30"/>
      <x:c r="U96" s="30"/>
      <x:c r="V96" s="30"/>
      <x:c r="W96" s="30"/>
    </x:row>
    <x:row r="97">
      <x:c r="J97" s="30"/>
      <x:c r="K97" s="30"/>
      <x:c r="L97" s="32"/>
      <x:c r="M97" s="32"/>
      <x:c r="N97" s="32"/>
      <x:c r="O97" s="32"/>
      <x:c r="P97" s="30"/>
      <x:c r="Q97" s="30"/>
      <x:c r="R97" s="30"/>
      <x:c r="S97" s="30"/>
      <x:c r="T97" s="30"/>
      <x:c r="U97" s="30"/>
      <x:c r="V97" s="30"/>
      <x:c r="W97" s="30"/>
    </x:row>
    <x:row r="98">
      <x:c r="J98" s="30"/>
      <x:c r="K98" s="30"/>
      <x:c r="L98" s="32"/>
      <x:c r="M98" s="32"/>
      <x:c r="N98" s="32"/>
      <x:c r="O98" s="32"/>
      <x:c r="P98" s="30"/>
      <x:c r="Q98" s="30"/>
      <x:c r="R98" s="30"/>
      <x:c r="S98" s="30"/>
      <x:c r="T98" s="30"/>
      <x:c r="U98" s="30"/>
      <x:c r="V98" s="30"/>
      <x:c r="W98" s="30"/>
    </x:row>
    <x:row r="99">
      <x:c r="J99" s="30"/>
      <x:c r="K99" s="30"/>
      <x:c r="L99" s="32"/>
      <x:c r="M99" s="32"/>
      <x:c r="N99" s="32"/>
      <x:c r="O99" s="32"/>
      <x:c r="P99" s="30"/>
      <x:c r="Q99" s="30"/>
      <x:c r="R99" s="30"/>
      <x:c r="S99" s="30"/>
      <x:c r="T99" s="30"/>
      <x:c r="U99" s="30"/>
      <x:c r="V99" s="30"/>
      <x:c r="W99" s="30"/>
    </x:row>
    <x:row r="100">
      <x:c r="J100" s="30"/>
      <x:c r="K100" s="30"/>
      <x:c r="L100" s="32"/>
      <x:c r="M100" s="32"/>
      <x:c r="N100" s="32"/>
      <x:c r="O100" s="32"/>
      <x:c r="P100" s="30"/>
      <x:c r="Q100" s="30"/>
      <x:c r="R100" s="30"/>
      <x:c r="S100" s="30"/>
      <x:c r="T100" s="30"/>
      <x:c r="U100" s="30"/>
      <x:c r="V100" s="30"/>
      <x:c r="W100" s="30"/>
    </x:row>
    <x:row r="101">
      <x:c r="J101" s="30"/>
      <x:c r="K101" s="30"/>
      <x:c r="L101" s="32"/>
      <x:c r="M101" s="32"/>
      <x:c r="N101" s="32"/>
      <x:c r="O101" s="32"/>
      <x:c r="P101" s="30"/>
      <x:c r="Q101" s="30"/>
      <x:c r="R101" s="30"/>
      <x:c r="S101" s="30"/>
      <x:c r="T101" s="30"/>
      <x:c r="U101" s="30"/>
      <x:c r="V101" s="30"/>
      <x:c r="W101" s="30"/>
    </x:row>
    <x:row r="102">
      <x:c r="J102" s="30"/>
      <x:c r="K102" s="30"/>
      <x:c r="L102" s="32"/>
      <x:c r="M102" s="32"/>
      <x:c r="N102" s="32"/>
      <x:c r="O102" s="32"/>
      <x:c r="P102" s="30"/>
      <x:c r="Q102" s="30"/>
      <x:c r="R102" s="30"/>
      <x:c r="S102" s="30"/>
      <x:c r="T102" s="30"/>
      <x:c r="U102" s="30"/>
      <x:c r="V102" s="30"/>
      <x:c r="W102" s="30"/>
    </x:row>
    <x:row r="103">
      <x:c r="J103" s="30"/>
      <x:c r="K103" s="30"/>
      <x:c r="L103" s="32"/>
      <x:c r="M103" s="32"/>
      <x:c r="N103" s="32"/>
      <x:c r="O103" s="32"/>
      <x:c r="P103" s="30"/>
      <x:c r="Q103" s="30"/>
      <x:c r="R103" s="30"/>
      <x:c r="S103" s="30"/>
      <x:c r="T103" s="30"/>
      <x:c r="U103" s="30"/>
      <x:c r="V103" s="30"/>
      <x:c r="W103" s="30"/>
    </x:row>
    <x:row r="104">
      <x:c r="J104" s="30"/>
      <x:c r="K104" s="30"/>
      <x:c r="L104" s="32"/>
      <x:c r="M104" s="32"/>
      <x:c r="N104" s="32"/>
      <x:c r="O104" s="32"/>
      <x:c r="P104" s="30"/>
      <x:c r="Q104" s="30"/>
      <x:c r="R104" s="30"/>
      <x:c r="S104" s="30"/>
      <x:c r="T104" s="30"/>
      <x:c r="U104" s="30"/>
      <x:c r="V104" s="30"/>
      <x:c r="W104" s="30"/>
    </x:row>
    <x:row r="105">
      <x:c r="J105" s="30"/>
      <x:c r="K105" s="30"/>
      <x:c r="L105" s="32"/>
      <x:c r="M105" s="32"/>
      <x:c r="N105" s="32"/>
      <x:c r="O105" s="32"/>
      <x:c r="P105" s="30"/>
      <x:c r="Q105" s="30"/>
      <x:c r="R105" s="30"/>
      <x:c r="S105" s="30"/>
      <x:c r="T105" s="30"/>
      <x:c r="U105" s="30"/>
      <x:c r="V105" s="30"/>
      <x:c r="W105" s="30"/>
    </x:row>
    <x:row r="106">
      <x:c r="J106" s="30"/>
      <x:c r="K106" s="30"/>
      <x:c r="L106" s="32"/>
      <x:c r="M106" s="32"/>
      <x:c r="N106" s="32"/>
      <x:c r="O106" s="32"/>
      <x:c r="P106" s="30"/>
      <x:c r="Q106" s="30"/>
      <x:c r="R106" s="30"/>
      <x:c r="S106" s="30"/>
      <x:c r="T106" s="30"/>
      <x:c r="U106" s="30"/>
      <x:c r="V106" s="30"/>
      <x:c r="W106" s="30"/>
    </x:row>
    <x:row r="107">
      <x:c r="J107" s="30"/>
      <x:c r="K107" s="30"/>
      <x:c r="L107" s="32"/>
      <x:c r="M107" s="32"/>
      <x:c r="N107" s="32"/>
      <x:c r="O107" s="32"/>
      <x:c r="P107" s="30"/>
      <x:c r="Q107" s="30"/>
      <x:c r="R107" s="30"/>
      <x:c r="S107" s="30"/>
      <x:c r="T107" s="30"/>
      <x:c r="U107" s="30"/>
      <x:c r="V107" s="30"/>
      <x:c r="W107" s="30"/>
    </x:row>
    <x:row r="108">
      <x:c r="J108" s="30"/>
      <x:c r="K108" s="30"/>
      <x:c r="L108" s="32"/>
      <x:c r="M108" s="32"/>
      <x:c r="N108" s="32"/>
      <x:c r="O108" s="32"/>
      <x:c r="P108" s="30"/>
      <x:c r="Q108" s="30"/>
      <x:c r="R108" s="30"/>
      <x:c r="S108" s="30"/>
      <x:c r="T108" s="30"/>
      <x:c r="U108" s="30"/>
      <x:c r="V108" s="30"/>
      <x:c r="W108" s="30"/>
    </x:row>
    <x:row r="109">
      <x:c r="J109" s="30"/>
      <x:c r="K109" s="30"/>
      <x:c r="L109" s="32"/>
      <x:c r="M109" s="32"/>
      <x:c r="N109" s="32"/>
      <x:c r="O109" s="32"/>
      <x:c r="P109" s="30"/>
      <x:c r="Q109" s="30"/>
      <x:c r="R109" s="30"/>
      <x:c r="S109" s="30"/>
      <x:c r="T109" s="30"/>
      <x:c r="U109" s="30"/>
      <x:c r="V109" s="30"/>
      <x:c r="W109" s="30"/>
    </x:row>
    <x:row r="110">
      <x:c r="J110" s="30"/>
      <x:c r="K110" s="30"/>
      <x:c r="L110" s="32"/>
      <x:c r="M110" s="32"/>
      <x:c r="N110" s="32"/>
      <x:c r="O110" s="32"/>
      <x:c r="P110" s="30"/>
      <x:c r="Q110" s="30"/>
      <x:c r="R110" s="30"/>
      <x:c r="S110" s="30"/>
      <x:c r="T110" s="30"/>
      <x:c r="U110" s="30"/>
      <x:c r="V110" s="30"/>
      <x:c r="W110" s="30"/>
    </x:row>
    <x:row r="111">
      <x:c r="J111" s="30"/>
      <x:c r="K111" s="30"/>
      <x:c r="L111" s="32"/>
      <x:c r="M111" s="32"/>
      <x:c r="N111" s="32"/>
      <x:c r="O111" s="32"/>
      <x:c r="P111" s="30"/>
      <x:c r="Q111" s="30"/>
      <x:c r="R111" s="30"/>
      <x:c r="S111" s="30"/>
      <x:c r="T111" s="30"/>
      <x:c r="U111" s="30"/>
      <x:c r="V111" s="30"/>
      <x:c r="W111" s="30"/>
    </x:row>
    <x:row r="112">
      <x:c r="J112" s="30"/>
      <x:c r="K112" s="30"/>
      <x:c r="L112" s="32"/>
      <x:c r="M112" s="32"/>
      <x:c r="N112" s="32"/>
      <x:c r="O112" s="32"/>
      <x:c r="P112" s="30"/>
      <x:c r="Q112" s="30"/>
      <x:c r="R112" s="30"/>
      <x:c r="S112" s="30"/>
      <x:c r="T112" s="30"/>
      <x:c r="U112" s="30"/>
      <x:c r="V112" s="30"/>
      <x:c r="W112" s="30"/>
    </x:row>
    <x:row r="113">
      <x:c r="J113" s="30"/>
      <x:c r="K113" s="30"/>
      <x:c r="L113" s="32"/>
      <x:c r="M113" s="32"/>
      <x:c r="N113" s="32"/>
      <x:c r="O113" s="32"/>
      <x:c r="P113" s="30"/>
      <x:c r="Q113" s="30"/>
      <x:c r="R113" s="30"/>
      <x:c r="S113" s="30"/>
      <x:c r="T113" s="30"/>
      <x:c r="U113" s="30"/>
      <x:c r="V113" s="30"/>
      <x:c r="W113" s="30"/>
    </x:row>
    <x:row r="114">
      <x:c r="J114" s="30"/>
      <x:c r="K114" s="30"/>
      <x:c r="L114" s="32"/>
      <x:c r="M114" s="32"/>
      <x:c r="N114" s="32"/>
      <x:c r="O114" s="32"/>
      <x:c r="P114" s="30"/>
      <x:c r="Q114" s="30"/>
      <x:c r="R114" s="30"/>
      <x:c r="S114" s="30"/>
      <x:c r="T114" s="30"/>
      <x:c r="U114" s="30"/>
      <x:c r="V114" s="30"/>
      <x:c r="W114" s="30"/>
    </x:row>
    <x:row r="115">
      <x:c r="J115" s="30"/>
      <x:c r="K115" s="30"/>
      <x:c r="L115" s="32"/>
      <x:c r="M115" s="32"/>
      <x:c r="N115" s="32"/>
      <x:c r="O115" s="32"/>
      <x:c r="P115" s="30"/>
      <x:c r="Q115" s="30"/>
      <x:c r="R115" s="30"/>
      <x:c r="S115" s="30"/>
      <x:c r="T115" s="30"/>
      <x:c r="U115" s="30"/>
      <x:c r="V115" s="30"/>
      <x:c r="W115" s="30"/>
    </x:row>
    <x:row r="116">
      <x:c r="J116" s="30"/>
      <x:c r="K116" s="30"/>
      <x:c r="L116" s="32"/>
      <x:c r="M116" s="32"/>
      <x:c r="N116" s="32"/>
      <x:c r="O116" s="32"/>
      <x:c r="P116" s="30"/>
      <x:c r="Q116" s="30"/>
      <x:c r="R116" s="30"/>
      <x:c r="S116" s="30"/>
      <x:c r="T116" s="30"/>
      <x:c r="U116" s="30"/>
      <x:c r="V116" s="30"/>
      <x:c r="W116" s="30"/>
    </x:row>
    <x:row r="117">
      <x:c r="J117" s="30"/>
      <x:c r="K117" s="30"/>
      <x:c r="L117" s="32"/>
      <x:c r="M117" s="32"/>
      <x:c r="N117" s="32"/>
      <x:c r="O117" s="32"/>
      <x:c r="P117" s="30"/>
      <x:c r="Q117" s="30"/>
      <x:c r="R117" s="30"/>
      <x:c r="S117" s="30"/>
      <x:c r="T117" s="30"/>
      <x:c r="U117" s="30"/>
      <x:c r="V117" s="30"/>
      <x:c r="W117" s="30"/>
    </x:row>
    <x:row r="118">
      <x:c r="J118" s="30"/>
      <x:c r="K118" s="30"/>
      <x:c r="L118" s="32"/>
      <x:c r="M118" s="32"/>
      <x:c r="N118" s="32"/>
      <x:c r="O118" s="32"/>
      <x:c r="P118" s="30"/>
      <x:c r="Q118" s="30"/>
      <x:c r="R118" s="30"/>
      <x:c r="S118" s="30"/>
      <x:c r="T118" s="30"/>
      <x:c r="U118" s="30"/>
      <x:c r="V118" s="30"/>
      <x:c r="W118" s="30"/>
    </x:row>
    <x:row r="119">
      <x:c r="J119" s="30"/>
      <x:c r="K119" s="30"/>
      <x:c r="L119" s="32"/>
      <x:c r="M119" s="32"/>
      <x:c r="N119" s="32"/>
      <x:c r="O119" s="32"/>
      <x:c r="P119" s="30"/>
      <x:c r="Q119" s="30"/>
      <x:c r="R119" s="30"/>
      <x:c r="S119" s="30"/>
      <x:c r="T119" s="30"/>
      <x:c r="U119" s="30"/>
      <x:c r="V119" s="30"/>
      <x:c r="W119" s="30"/>
    </x:row>
    <x:row r="120">
      <x:c r="J120" s="30"/>
      <x:c r="K120" s="30"/>
      <x:c r="L120" s="32"/>
      <x:c r="M120" s="32"/>
      <x:c r="N120" s="32"/>
      <x:c r="O120" s="32"/>
      <x:c r="P120" s="30"/>
      <x:c r="Q120" s="30"/>
      <x:c r="R120" s="30"/>
      <x:c r="S120" s="30"/>
      <x:c r="T120" s="30"/>
      <x:c r="U120" s="30"/>
      <x:c r="V120" s="30"/>
      <x:c r="W120" s="30"/>
    </x:row>
    <x:row r="121">
      <x:c r="J121" s="30"/>
      <x:c r="K121" s="30"/>
      <x:c r="L121" s="32"/>
      <x:c r="M121" s="32"/>
      <x:c r="N121" s="32"/>
      <x:c r="O121" s="32"/>
      <x:c r="P121" s="30"/>
      <x:c r="Q121" s="30"/>
      <x:c r="R121" s="30"/>
      <x:c r="S121" s="30"/>
      <x:c r="T121" s="30"/>
      <x:c r="U121" s="30"/>
      <x:c r="V121" s="30"/>
      <x:c r="W121" s="30"/>
    </x:row>
    <x:row r="122">
      <x:c r="J122" s="30"/>
      <x:c r="K122" s="30"/>
      <x:c r="L122" s="32"/>
      <x:c r="M122" s="32"/>
      <x:c r="N122" s="32"/>
      <x:c r="O122" s="32"/>
      <x:c r="P122" s="30"/>
      <x:c r="Q122" s="30"/>
      <x:c r="R122" s="30"/>
      <x:c r="S122" s="30"/>
      <x:c r="T122" s="30"/>
      <x:c r="U122" s="30"/>
      <x:c r="V122" s="30"/>
      <x:c r="W122" s="30"/>
    </x:row>
    <x:row r="123">
      <x:c r="J123" s="30"/>
      <x:c r="K123" s="30"/>
      <x:c r="L123" s="32"/>
      <x:c r="M123" s="32"/>
      <x:c r="N123" s="32"/>
      <x:c r="O123" s="32"/>
      <x:c r="P123" s="30"/>
      <x:c r="Q123" s="30"/>
      <x:c r="R123" s="30"/>
      <x:c r="S123" s="30"/>
      <x:c r="T123" s="30"/>
      <x:c r="U123" s="30"/>
      <x:c r="V123" s="30"/>
      <x:c r="W123" s="30"/>
    </x:row>
    <x:row r="124">
      <x:c r="J124" s="30"/>
      <x:c r="K124" s="30"/>
      <x:c r="L124" s="32"/>
      <x:c r="M124" s="32"/>
      <x:c r="N124" s="32"/>
      <x:c r="O124" s="32"/>
      <x:c r="P124" s="30"/>
      <x:c r="Q124" s="30"/>
      <x:c r="R124" s="30"/>
      <x:c r="S124" s="30"/>
      <x:c r="T124" s="30"/>
      <x:c r="U124" s="30"/>
      <x:c r="V124" s="30"/>
      <x:c r="W124" s="30"/>
    </x:row>
    <x:row r="125">
      <x:c r="J125" s="30"/>
      <x:c r="K125" s="30"/>
      <x:c r="L125" s="32"/>
      <x:c r="M125" s="32"/>
      <x:c r="N125" s="32"/>
      <x:c r="O125" s="32"/>
      <x:c r="P125" s="30"/>
      <x:c r="Q125" s="30"/>
      <x:c r="R125" s="30"/>
      <x:c r="S125" s="30"/>
      <x:c r="T125" s="30"/>
      <x:c r="U125" s="30"/>
      <x:c r="V125" s="30"/>
      <x:c r="W125" s="30"/>
    </x:row>
    <x:row r="126">
      <x:c r="J126" s="30"/>
      <x:c r="K126" s="30"/>
      <x:c r="L126" s="32"/>
      <x:c r="M126" s="32"/>
      <x:c r="N126" s="32"/>
      <x:c r="O126" s="32"/>
      <x:c r="P126" s="30"/>
      <x:c r="Q126" s="30"/>
      <x:c r="R126" s="30"/>
      <x:c r="S126" s="30"/>
      <x:c r="T126" s="30"/>
      <x:c r="U126" s="30"/>
      <x:c r="V126" s="30"/>
      <x:c r="W126" s="30"/>
    </x:row>
    <x:row r="127">
      <x:c r="J127" s="30"/>
      <x:c r="K127" s="30"/>
      <x:c r="L127" s="32"/>
      <x:c r="M127" s="32"/>
      <x:c r="N127" s="32"/>
      <x:c r="O127" s="32"/>
      <x:c r="P127" s="30"/>
      <x:c r="Q127" s="30"/>
      <x:c r="R127" s="30"/>
      <x:c r="S127" s="30"/>
      <x:c r="T127" s="30"/>
      <x:c r="U127" s="30"/>
      <x:c r="V127" s="30"/>
      <x:c r="W127" s="30"/>
    </x:row>
    <x:row r="128">
      <x:c r="J128" s="30"/>
      <x:c r="K128" s="30"/>
      <x:c r="L128" s="32"/>
      <x:c r="M128" s="32"/>
      <x:c r="N128" s="32"/>
      <x:c r="O128" s="32"/>
      <x:c r="P128" s="30"/>
      <x:c r="Q128" s="30"/>
      <x:c r="R128" s="30"/>
      <x:c r="S128" s="30"/>
      <x:c r="T128" s="30"/>
      <x:c r="U128" s="30"/>
      <x:c r="V128" s="30"/>
      <x:c r="W128" s="30"/>
    </x:row>
    <x:row r="129">
      <x:c r="J129" s="30"/>
      <x:c r="K129" s="30"/>
      <x:c r="L129" s="32"/>
      <x:c r="M129" s="32"/>
      <x:c r="N129" s="32"/>
      <x:c r="O129" s="32"/>
      <x:c r="P129" s="30"/>
      <x:c r="Q129" s="30"/>
      <x:c r="R129" s="30"/>
      <x:c r="S129" s="30"/>
      <x:c r="T129" s="30"/>
      <x:c r="U129" s="30"/>
      <x:c r="V129" s="30"/>
      <x:c r="W129" s="30"/>
    </x:row>
    <x:row r="130">
      <x:c r="J130" s="30"/>
      <x:c r="K130" s="30"/>
      <x:c r="L130" s="32"/>
      <x:c r="M130" s="32"/>
      <x:c r="N130" s="32"/>
      <x:c r="O130" s="32"/>
      <x:c r="P130" s="30"/>
      <x:c r="Q130" s="30"/>
      <x:c r="R130" s="30"/>
      <x:c r="S130" s="30"/>
      <x:c r="T130" s="30"/>
      <x:c r="U130" s="30"/>
      <x:c r="V130" s="30"/>
      <x:c r="W130" s="30"/>
    </x:row>
    <x:row r="131">
      <x:c r="J131" s="30"/>
      <x:c r="K131" s="30"/>
      <x:c r="L131" s="32"/>
      <x:c r="M131" s="32"/>
      <x:c r="N131" s="32"/>
      <x:c r="O131" s="32"/>
      <x:c r="P131" s="30"/>
      <x:c r="Q131" s="30"/>
      <x:c r="R131" s="30"/>
      <x:c r="S131" s="30"/>
      <x:c r="T131" s="30"/>
      <x:c r="U131" s="30"/>
      <x:c r="V131" s="30"/>
      <x:c r="W131" s="30"/>
    </x:row>
    <x:row r="132">
      <x:c r="J132" s="30"/>
      <x:c r="K132" s="30"/>
      <x:c r="L132" s="32"/>
      <x:c r="M132" s="32"/>
      <x:c r="N132" s="32"/>
      <x:c r="O132" s="32"/>
      <x:c r="P132" s="30"/>
      <x:c r="Q132" s="30"/>
      <x:c r="R132" s="30"/>
      <x:c r="S132" s="30"/>
      <x:c r="T132" s="30"/>
      <x:c r="U132" s="30"/>
      <x:c r="V132" s="30"/>
      <x:c r="W132" s="30"/>
    </x:row>
    <x:row r="133">
      <x:c r="J133" s="30"/>
      <x:c r="K133" s="30"/>
      <x:c r="L133" s="32"/>
      <x:c r="M133" s="32"/>
      <x:c r="N133" s="32"/>
      <x:c r="O133" s="32"/>
      <x:c r="P133" s="30"/>
      <x:c r="Q133" s="30"/>
      <x:c r="R133" s="30"/>
      <x:c r="S133" s="30"/>
      <x:c r="T133" s="30"/>
      <x:c r="U133" s="30"/>
      <x:c r="V133" s="30"/>
      <x:c r="W133" s="30"/>
    </x:row>
    <x:row r="134">
      <x:c r="J134" s="30"/>
      <x:c r="K134" s="30"/>
      <x:c r="L134" s="32"/>
      <x:c r="M134" s="32"/>
      <x:c r="N134" s="32"/>
      <x:c r="O134" s="32"/>
      <x:c r="P134" s="30"/>
      <x:c r="Q134" s="30"/>
      <x:c r="R134" s="30"/>
      <x:c r="S134" s="30"/>
      <x:c r="T134" s="30"/>
      <x:c r="U134" s="30"/>
      <x:c r="V134" s="30"/>
      <x:c r="W134" s="30"/>
    </x:row>
    <x:row r="135">
      <x:c r="J135" s="30"/>
      <x:c r="K135" s="30"/>
      <x:c r="L135" s="32"/>
      <x:c r="M135" s="32"/>
      <x:c r="N135" s="32"/>
      <x:c r="O135" s="32"/>
      <x:c r="P135" s="30"/>
      <x:c r="Q135" s="30"/>
      <x:c r="R135" s="30"/>
      <x:c r="S135" s="30"/>
      <x:c r="T135" s="30"/>
      <x:c r="U135" s="30"/>
      <x:c r="V135" s="30"/>
      <x:c r="W135" s="30"/>
    </x:row>
    <x:row r="136">
      <x:c r="J136" s="30"/>
      <x:c r="K136" s="30"/>
      <x:c r="L136" s="32"/>
      <x:c r="M136" s="32"/>
      <x:c r="N136" s="32"/>
      <x:c r="O136" s="32"/>
      <x:c r="P136" s="30"/>
      <x:c r="Q136" s="30"/>
      <x:c r="R136" s="30"/>
      <x:c r="S136" s="30"/>
      <x:c r="T136" s="30"/>
      <x:c r="U136" s="30"/>
      <x:c r="V136" s="30"/>
      <x:c r="W136" s="30"/>
    </x:row>
    <x:row r="137">
      <x:c r="J137" s="30"/>
      <x:c r="K137" s="30"/>
      <x:c r="L137" s="32"/>
      <x:c r="M137" s="32"/>
      <x:c r="N137" s="32"/>
      <x:c r="O137" s="32"/>
      <x:c r="P137" s="30"/>
      <x:c r="Q137" s="30"/>
      <x:c r="R137" s="30"/>
      <x:c r="S137" s="30"/>
      <x:c r="T137" s="30"/>
      <x:c r="U137" s="30"/>
      <x:c r="V137" s="30"/>
      <x:c r="W137" s="30"/>
    </x:row>
    <x:row r="138">
      <x:c r="J138" s="30"/>
      <x:c r="K138" s="30"/>
      <x:c r="L138" s="32"/>
      <x:c r="M138" s="32"/>
      <x:c r="N138" s="32"/>
      <x:c r="O138" s="32"/>
      <x:c r="P138" s="30"/>
      <x:c r="Q138" s="30"/>
      <x:c r="R138" s="30"/>
      <x:c r="S138" s="30"/>
      <x:c r="T138" s="30"/>
      <x:c r="U138" s="30"/>
      <x:c r="V138" s="30"/>
      <x:c r="W138" s="30"/>
    </x:row>
    <x:row r="139">
      <x:c r="J139" s="30"/>
      <x:c r="K139" s="30"/>
      <x:c r="L139" s="32"/>
      <x:c r="M139" s="32"/>
      <x:c r="N139" s="32"/>
      <x:c r="O139" s="32"/>
      <x:c r="P139" s="30"/>
      <x:c r="Q139" s="30"/>
      <x:c r="R139" s="30"/>
      <x:c r="S139" s="30"/>
      <x:c r="T139" s="30"/>
      <x:c r="U139" s="30"/>
      <x:c r="V139" s="30"/>
      <x:c r="W139" s="30"/>
    </x:row>
    <x:row r="140">
      <x:c r="J140" s="30"/>
      <x:c r="K140" s="30"/>
      <x:c r="L140" s="32"/>
      <x:c r="M140" s="32"/>
      <x:c r="N140" s="32"/>
      <x:c r="O140" s="32"/>
      <x:c r="P140" s="30"/>
      <x:c r="Q140" s="30"/>
      <x:c r="R140" s="30"/>
      <x:c r="S140" s="30"/>
      <x:c r="T140" s="30"/>
      <x:c r="U140" s="30"/>
      <x:c r="V140" s="30"/>
      <x:c r="W140" s="30"/>
    </x:row>
    <x:row r="141">
      <x:c r="J141" s="30"/>
      <x:c r="K141" s="30"/>
      <x:c r="L141" s="32"/>
      <x:c r="M141" s="32"/>
      <x:c r="N141" s="32"/>
      <x:c r="O141" s="32"/>
      <x:c r="P141" s="30"/>
      <x:c r="Q141" s="30"/>
      <x:c r="R141" s="30"/>
      <x:c r="S141" s="30"/>
      <x:c r="T141" s="30"/>
      <x:c r="U141" s="30"/>
      <x:c r="V141" s="30"/>
      <x:c r="W141" s="30"/>
    </x:row>
    <x:row r="142">
      <x:c r="J142" s="30"/>
      <x:c r="K142" s="30"/>
      <x:c r="L142" s="32"/>
      <x:c r="M142" s="32"/>
      <x:c r="N142" s="32"/>
      <x:c r="O142" s="32"/>
      <x:c r="P142" s="30"/>
      <x:c r="Q142" s="30"/>
      <x:c r="R142" s="30"/>
      <x:c r="S142" s="30"/>
      <x:c r="T142" s="30"/>
      <x:c r="U142" s="30"/>
      <x:c r="V142" s="30"/>
      <x:c r="W142" s="30"/>
    </x:row>
    <x:row r="143">
      <x:c r="J143" s="30"/>
      <x:c r="K143" s="30"/>
      <x:c r="L143" s="32"/>
      <x:c r="M143" s="32"/>
      <x:c r="N143" s="32"/>
      <x:c r="O143" s="32"/>
      <x:c r="P143" s="30"/>
      <x:c r="Q143" s="30"/>
      <x:c r="R143" s="30"/>
      <x:c r="S143" s="30"/>
      <x:c r="T143" s="30"/>
      <x:c r="U143" s="30"/>
      <x:c r="V143" s="30"/>
      <x:c r="W143" s="30"/>
    </x:row>
    <x:row r="144">
      <x:c r="J144" s="30"/>
      <x:c r="K144" s="30"/>
      <x:c r="L144" s="32"/>
      <x:c r="M144" s="32"/>
      <x:c r="N144" s="32"/>
      <x:c r="O144" s="32"/>
      <x:c r="P144" s="30"/>
      <x:c r="Q144" s="30"/>
      <x:c r="R144" s="30"/>
      <x:c r="S144" s="30"/>
      <x:c r="T144" s="30"/>
      <x:c r="U144" s="30"/>
      <x:c r="V144" s="30"/>
      <x:c r="W144" s="30"/>
    </x:row>
    <x:row r="145">
      <x:c r="J145" s="30"/>
      <x:c r="K145" s="30"/>
      <x:c r="L145" s="32"/>
      <x:c r="M145" s="32"/>
      <x:c r="N145" s="32"/>
      <x:c r="O145" s="32"/>
      <x:c r="P145" s="30"/>
      <x:c r="Q145" s="30"/>
      <x:c r="R145" s="30"/>
      <x:c r="S145" s="30"/>
      <x:c r="T145" s="30"/>
      <x:c r="U145" s="30"/>
      <x:c r="V145" s="30"/>
      <x:c r="W145" s="30"/>
    </x:row>
    <x:row r="146">
      <x:c r="J146" s="30"/>
      <x:c r="K146" s="30"/>
      <x:c r="L146" s="32"/>
      <x:c r="M146" s="32"/>
      <x:c r="N146" s="32"/>
      <x:c r="O146" s="32"/>
      <x:c r="P146" s="30"/>
      <x:c r="Q146" s="30"/>
      <x:c r="R146" s="30"/>
      <x:c r="S146" s="30"/>
      <x:c r="T146" s="30"/>
      <x:c r="U146" s="30"/>
      <x:c r="V146" s="30"/>
      <x:c r="W146" s="30"/>
    </x:row>
    <x:row r="147">
      <x:c r="J147" s="30"/>
      <x:c r="K147" s="30"/>
      <x:c r="L147" s="32"/>
      <x:c r="M147" s="32"/>
      <x:c r="N147" s="32"/>
      <x:c r="O147" s="32"/>
      <x:c r="P147" s="30"/>
      <x:c r="Q147" s="30"/>
      <x:c r="R147" s="30"/>
      <x:c r="S147" s="30"/>
      <x:c r="T147" s="30"/>
      <x:c r="U147" s="30"/>
      <x:c r="V147" s="30"/>
      <x:c r="W147" s="30"/>
    </x:row>
    <x:row r="148">
      <x:c r="J148" s="30"/>
      <x:c r="K148" s="30"/>
      <x:c r="L148" s="32"/>
      <x:c r="M148" s="32"/>
      <x:c r="N148" s="32"/>
      <x:c r="O148" s="32"/>
      <x:c r="P148" s="30"/>
      <x:c r="Q148" s="30"/>
      <x:c r="R148" s="30"/>
      <x:c r="S148" s="30"/>
      <x:c r="T148" s="30"/>
      <x:c r="U148" s="30"/>
      <x:c r="V148" s="30"/>
      <x:c r="W148" s="30"/>
    </x:row>
    <x:row r="149">
      <x:c r="J149" s="30"/>
      <x:c r="K149" s="30"/>
      <x:c r="L149" s="32"/>
      <x:c r="M149" s="32"/>
      <x:c r="N149" s="32"/>
      <x:c r="O149" s="32"/>
      <x:c r="P149" s="30"/>
      <x:c r="Q149" s="30"/>
      <x:c r="R149" s="30"/>
      <x:c r="S149" s="30"/>
      <x:c r="T149" s="30"/>
      <x:c r="U149" s="30"/>
      <x:c r="V149" s="30"/>
      <x:c r="W149" s="30"/>
    </x:row>
    <x:row r="150">
      <x:c r="J150" s="30"/>
      <x:c r="K150" s="30"/>
      <x:c r="L150" s="32"/>
      <x:c r="M150" s="32"/>
      <x:c r="N150" s="32"/>
      <x:c r="O150" s="32"/>
      <x:c r="P150" s="30"/>
      <x:c r="Q150" s="30"/>
      <x:c r="R150" s="30"/>
      <x:c r="S150" s="30"/>
      <x:c r="T150" s="30"/>
      <x:c r="U150" s="30"/>
      <x:c r="V150" s="30"/>
      <x:c r="W150" s="30"/>
    </x:row>
    <x:row r="151">
      <x:c r="J151" s="30"/>
      <x:c r="K151" s="30"/>
      <x:c r="L151" s="32"/>
      <x:c r="M151" s="32"/>
      <x:c r="N151" s="32"/>
      <x:c r="O151" s="32"/>
      <x:c r="P151" s="30"/>
      <x:c r="Q151" s="30"/>
      <x:c r="R151" s="30"/>
      <x:c r="S151" s="30"/>
      <x:c r="T151" s="30"/>
      <x:c r="U151" s="30"/>
      <x:c r="V151" s="30"/>
      <x:c r="W151" s="30"/>
    </x:row>
    <x:row r="152">
      <x:c r="J152" s="30"/>
      <x:c r="K152" s="30"/>
      <x:c r="L152" s="32"/>
      <x:c r="M152" s="32"/>
      <x:c r="N152" s="32"/>
      <x:c r="O152" s="32"/>
      <x:c r="P152" s="30"/>
      <x:c r="Q152" s="30"/>
      <x:c r="R152" s="30"/>
      <x:c r="S152" s="30"/>
      <x:c r="T152" s="30"/>
      <x:c r="U152" s="30"/>
      <x:c r="V152" s="30"/>
      <x:c r="W152" s="30"/>
    </x:row>
    <x:row r="153">
      <x:c r="J153" s="30"/>
      <x:c r="K153" s="30"/>
      <x:c r="L153" s="32"/>
      <x:c r="M153" s="32"/>
      <x:c r="N153" s="32"/>
      <x:c r="O153" s="32"/>
      <x:c r="P153" s="30"/>
      <x:c r="Q153" s="30"/>
      <x:c r="R153" s="30"/>
      <x:c r="S153" s="30"/>
      <x:c r="T153" s="30"/>
      <x:c r="U153" s="30"/>
      <x:c r="V153" s="30"/>
      <x:c r="W153" s="30"/>
    </x:row>
    <x:row r="154">
      <x:c r="J154" s="30"/>
      <x:c r="K154" s="30"/>
      <x:c r="L154" s="32"/>
      <x:c r="M154" s="32"/>
      <x:c r="N154" s="32"/>
      <x:c r="O154" s="32"/>
      <x:c r="P154" s="30"/>
      <x:c r="Q154" s="30"/>
      <x:c r="R154" s="30"/>
      <x:c r="S154" s="30"/>
      <x:c r="T154" s="30"/>
      <x:c r="U154" s="30"/>
      <x:c r="V154" s="30"/>
      <x:c r="W154" s="30"/>
    </x:row>
    <x:row r="155">
      <x:c r="J155" s="30"/>
      <x:c r="K155" s="30"/>
      <x:c r="L155" s="32"/>
      <x:c r="M155" s="32"/>
      <x:c r="N155" s="32"/>
      <x:c r="O155" s="32"/>
      <x:c r="P155" s="30"/>
      <x:c r="Q155" s="30"/>
      <x:c r="R155" s="30"/>
      <x:c r="S155" s="30"/>
      <x:c r="T155" s="30"/>
      <x:c r="U155" s="30"/>
      <x:c r="V155" s="30"/>
      <x:c r="W155" s="30"/>
    </x:row>
    <x:row r="156">
      <x:c r="J156" s="30"/>
      <x:c r="K156" s="30"/>
      <x:c r="L156" s="32"/>
      <x:c r="M156" s="32"/>
      <x:c r="N156" s="32"/>
      <x:c r="O156" s="32"/>
      <x:c r="P156" s="30"/>
      <x:c r="Q156" s="30"/>
      <x:c r="R156" s="30"/>
      <x:c r="S156" s="30"/>
      <x:c r="T156" s="30"/>
      <x:c r="U156" s="30"/>
      <x:c r="V156" s="30"/>
      <x:c r="W156" s="30"/>
    </x:row>
    <x:row r="157">
      <x:c r="J157" s="30"/>
      <x:c r="K157" s="30"/>
      <x:c r="L157" s="32"/>
      <x:c r="M157" s="32"/>
      <x:c r="N157" s="32"/>
      <x:c r="O157" s="32"/>
      <x:c r="P157" s="30"/>
      <x:c r="Q157" s="30"/>
      <x:c r="R157" s="30"/>
      <x:c r="S157" s="30"/>
      <x:c r="T157" s="30"/>
      <x:c r="U157" s="30"/>
      <x:c r="V157" s="30"/>
      <x:c r="W157" s="30"/>
    </x:row>
    <x:row r="158">
      <x:c r="J158" s="30"/>
      <x:c r="K158" s="30"/>
      <x:c r="L158" s="32"/>
      <x:c r="M158" s="32"/>
      <x:c r="N158" s="32"/>
      <x:c r="O158" s="32"/>
      <x:c r="P158" s="30"/>
      <x:c r="Q158" s="30"/>
      <x:c r="R158" s="30"/>
      <x:c r="S158" s="30"/>
      <x:c r="T158" s="30"/>
      <x:c r="U158" s="30"/>
      <x:c r="V158" s="30"/>
      <x:c r="W158" s="30"/>
    </x:row>
    <x:row r="159">
      <x:c r="J159" s="30"/>
      <x:c r="K159" s="30"/>
      <x:c r="L159" s="32"/>
      <x:c r="M159" s="32"/>
      <x:c r="N159" s="32"/>
      <x:c r="O159" s="32"/>
      <x:c r="P159" s="30"/>
      <x:c r="Q159" s="30"/>
      <x:c r="R159" s="30"/>
      <x:c r="S159" s="30"/>
      <x:c r="T159" s="30"/>
      <x:c r="U159" s="30"/>
      <x:c r="V159" s="30"/>
      <x:c r="W159" s="30"/>
    </x:row>
    <x:row r="160">
      <x:c r="J160" s="30"/>
      <x:c r="K160" s="30"/>
      <x:c r="L160" s="32"/>
      <x:c r="M160" s="32"/>
      <x:c r="N160" s="32"/>
      <x:c r="O160" s="32"/>
      <x:c r="P160" s="30"/>
      <x:c r="Q160" s="30"/>
      <x:c r="R160" s="30"/>
      <x:c r="S160" s="30"/>
      <x:c r="T160" s="30"/>
      <x:c r="U160" s="30"/>
      <x:c r="V160" s="30"/>
      <x:c r="W160" s="30"/>
    </x:row>
    <x:row r="161">
      <x:c r="J161" s="30"/>
      <x:c r="K161" s="30"/>
      <x:c r="L161" s="32"/>
      <x:c r="M161" s="32"/>
      <x:c r="N161" s="32"/>
      <x:c r="O161" s="32"/>
      <x:c r="P161" s="30"/>
      <x:c r="Q161" s="30"/>
      <x:c r="R161" s="30"/>
      <x:c r="S161" s="30"/>
      <x:c r="T161" s="30"/>
      <x:c r="U161" s="30"/>
      <x:c r="V161" s="30"/>
      <x:c r="W161" s="30"/>
    </x:row>
    <x:row r="162">
      <x:c r="J162" s="30"/>
      <x:c r="K162" s="30"/>
      <x:c r="L162" s="32"/>
      <x:c r="M162" s="32"/>
      <x:c r="N162" s="32"/>
      <x:c r="O162" s="32"/>
      <x:c r="P162" s="30"/>
      <x:c r="Q162" s="30"/>
      <x:c r="R162" s="30"/>
      <x:c r="S162" s="30"/>
      <x:c r="T162" s="30"/>
      <x:c r="U162" s="30"/>
      <x:c r="V162" s="30"/>
      <x:c r="W162" s="30"/>
    </x:row>
    <x:row r="163">
      <x:c r="J163" s="30"/>
      <x:c r="K163" s="30"/>
      <x:c r="L163" s="32"/>
      <x:c r="M163" s="32"/>
      <x:c r="N163" s="32"/>
      <x:c r="O163" s="32"/>
      <x:c r="P163" s="30"/>
      <x:c r="Q163" s="30"/>
      <x:c r="R163" s="30"/>
      <x:c r="S163" s="30"/>
      <x:c r="T163" s="30"/>
      <x:c r="U163" s="30"/>
      <x:c r="V163" s="30"/>
      <x:c r="W163" s="30"/>
    </x:row>
    <x:row r="164">
      <x:c r="J164" s="30"/>
      <x:c r="K164" s="30"/>
      <x:c r="L164" s="32"/>
      <x:c r="M164" s="32"/>
      <x:c r="N164" s="32"/>
      <x:c r="O164" s="32"/>
      <x:c r="P164" s="30"/>
      <x:c r="Q164" s="30"/>
      <x:c r="R164" s="30"/>
      <x:c r="S164" s="30"/>
      <x:c r="T164" s="30"/>
      <x:c r="U164" s="30"/>
      <x:c r="V164" s="30"/>
      <x:c r="W164" s="30"/>
    </x:row>
    <x:row r="165">
      <x:c r="J165" s="30"/>
      <x:c r="K165" s="30"/>
      <x:c r="L165" s="32"/>
      <x:c r="M165" s="32"/>
      <x:c r="N165" s="32"/>
      <x:c r="O165" s="32"/>
      <x:c r="P165" s="30"/>
      <x:c r="Q165" s="30"/>
      <x:c r="R165" s="30"/>
      <x:c r="S165" s="30"/>
      <x:c r="T165" s="30"/>
      <x:c r="U165" s="30"/>
      <x:c r="V165" s="30"/>
      <x:c r="W165" s="30"/>
    </x:row>
    <x:row r="166">
      <x:c r="J166" s="30"/>
      <x:c r="K166" s="30"/>
      <x:c r="L166" s="32"/>
      <x:c r="M166" s="32"/>
      <x:c r="N166" s="32"/>
      <x:c r="O166" s="32"/>
      <x:c r="P166" s="30"/>
      <x:c r="Q166" s="30"/>
      <x:c r="R166" s="30"/>
      <x:c r="S166" s="30"/>
      <x:c r="T166" s="30"/>
      <x:c r="U166" s="30"/>
      <x:c r="V166" s="30"/>
      <x:c r="W166" s="30"/>
    </x:row>
    <x:row r="167">
      <x:c r="J167" s="30"/>
      <x:c r="K167" s="30"/>
      <x:c r="L167" s="32"/>
      <x:c r="M167" s="32"/>
      <x:c r="N167" s="32"/>
      <x:c r="O167" s="32"/>
      <x:c r="P167" s="30"/>
      <x:c r="Q167" s="30"/>
      <x:c r="R167" s="30"/>
      <x:c r="S167" s="30"/>
      <x:c r="T167" s="30"/>
      <x:c r="U167" s="30"/>
      <x:c r="V167" s="30"/>
      <x:c r="W167" s="30"/>
    </x:row>
    <x:row r="168">
      <x:c r="J168" s="30"/>
      <x:c r="K168" s="30"/>
      <x:c r="L168" s="32"/>
      <x:c r="M168" s="32"/>
      <x:c r="N168" s="32"/>
      <x:c r="O168" s="32"/>
      <x:c r="P168" s="30"/>
      <x:c r="Q168" s="30"/>
      <x:c r="R168" s="30"/>
      <x:c r="S168" s="30"/>
      <x:c r="T168" s="30"/>
      <x:c r="U168" s="30"/>
      <x:c r="V168" s="30"/>
      <x:c r="W168" s="30"/>
    </x:row>
    <x:row r="169">
      <x:c r="J169" s="30"/>
      <x:c r="K169" s="30"/>
      <x:c r="L169" s="32"/>
      <x:c r="M169" s="32"/>
      <x:c r="N169" s="32"/>
      <x:c r="O169" s="32"/>
      <x:c r="P169" s="30"/>
      <x:c r="Q169" s="30"/>
      <x:c r="R169" s="30"/>
      <x:c r="S169" s="30"/>
      <x:c r="T169" s="30"/>
      <x:c r="U169" s="30"/>
      <x:c r="V169" s="30"/>
      <x:c r="W169" s="30"/>
    </x:row>
    <x:row r="170">
      <x:c r="J170" s="30"/>
      <x:c r="K170" s="30"/>
      <x:c r="L170" s="32"/>
      <x:c r="M170" s="32"/>
      <x:c r="N170" s="32"/>
      <x:c r="O170" s="32"/>
      <x:c r="P170" s="30"/>
      <x:c r="Q170" s="30"/>
      <x:c r="R170" s="30"/>
      <x:c r="S170" s="30"/>
      <x:c r="T170" s="30"/>
      <x:c r="U170" s="30"/>
      <x:c r="V170" s="30"/>
      <x:c r="W170" s="30"/>
    </x:row>
    <x:row r="171">
      <x:c r="J171" s="30"/>
      <x:c r="K171" s="30"/>
      <x:c r="L171" s="32"/>
      <x:c r="M171" s="32"/>
      <x:c r="N171" s="32"/>
      <x:c r="O171" s="32"/>
      <x:c r="P171" s="30"/>
      <x:c r="Q171" s="30"/>
      <x:c r="R171" s="30"/>
      <x:c r="S171" s="30"/>
      <x:c r="T171" s="30"/>
      <x:c r="U171" s="30"/>
      <x:c r="V171" s="30"/>
      <x:c r="W171" s="30"/>
    </x:row>
    <x:row r="172">
      <x:c r="J172" s="30"/>
      <x:c r="K172" s="30"/>
      <x:c r="L172" s="32"/>
      <x:c r="M172" s="32"/>
      <x:c r="N172" s="32"/>
      <x:c r="O172" s="32"/>
      <x:c r="P172" s="30"/>
      <x:c r="Q172" s="30"/>
      <x:c r="R172" s="30"/>
      <x:c r="S172" s="30"/>
      <x:c r="T172" s="30"/>
      <x:c r="U172" s="30"/>
      <x:c r="V172" s="30"/>
      <x:c r="W172" s="30"/>
    </x:row>
    <x:row r="173">
      <x:c r="J173" s="30"/>
      <x:c r="K173" s="30"/>
      <x:c r="L173" s="32"/>
      <x:c r="M173" s="32"/>
      <x:c r="N173" s="32"/>
      <x:c r="O173" s="32"/>
      <x:c r="P173" s="30"/>
      <x:c r="Q173" s="30"/>
      <x:c r="R173" s="30"/>
      <x:c r="S173" s="30"/>
      <x:c r="T173" s="30"/>
      <x:c r="U173" s="30"/>
      <x:c r="V173" s="30"/>
      <x:c r="W173" s="30"/>
    </x:row>
    <x:row r="174">
      <x:c r="J174" s="30"/>
      <x:c r="K174" s="30"/>
      <x:c r="L174" s="32"/>
      <x:c r="M174" s="32"/>
      <x:c r="N174" s="32"/>
      <x:c r="O174" s="32"/>
      <x:c r="P174" s="30"/>
      <x:c r="Q174" s="30"/>
      <x:c r="R174" s="30"/>
      <x:c r="S174" s="30"/>
      <x:c r="T174" s="30"/>
      <x:c r="U174" s="30"/>
      <x:c r="V174" s="30"/>
      <x:c r="W174" s="30"/>
    </x:row>
    <x:row r="175">
      <x:c r="J175" s="30"/>
      <x:c r="K175" s="30"/>
      <x:c r="L175" s="32"/>
      <x:c r="M175" s="32"/>
      <x:c r="N175" s="32"/>
      <x:c r="O175" s="32"/>
      <x:c r="P175" s="30"/>
      <x:c r="Q175" s="30"/>
      <x:c r="R175" s="30"/>
      <x:c r="S175" s="30"/>
      <x:c r="T175" s="30"/>
      <x:c r="U175" s="30"/>
      <x:c r="V175" s="30"/>
      <x:c r="W175" s="30"/>
    </x:row>
    <x:row r="176">
      <x:c r="J176" s="30"/>
      <x:c r="K176" s="30"/>
      <x:c r="L176" s="32"/>
      <x:c r="M176" s="32"/>
      <x:c r="N176" s="32"/>
      <x:c r="O176" s="32"/>
      <x:c r="P176" s="30"/>
      <x:c r="Q176" s="30"/>
      <x:c r="R176" s="30"/>
      <x:c r="S176" s="30"/>
      <x:c r="T176" s="30"/>
      <x:c r="U176" s="30"/>
      <x:c r="V176" s="30"/>
      <x:c r="W176" s="30"/>
    </x:row>
    <x:row r="177">
      <x:c r="J177" s="30"/>
      <x:c r="K177" s="30"/>
      <x:c r="L177" s="32"/>
      <x:c r="M177" s="32"/>
      <x:c r="N177" s="32"/>
      <x:c r="O177" s="32"/>
      <x:c r="P177" s="30"/>
      <x:c r="Q177" s="30"/>
      <x:c r="R177" s="30"/>
      <x:c r="S177" s="30"/>
      <x:c r="T177" s="30"/>
      <x:c r="U177" s="30"/>
      <x:c r="V177" s="30"/>
      <x:c r="W177" s="30"/>
    </x:row>
    <x:row r="178">
      <x:c r="J178" s="30"/>
      <x:c r="K178" s="30"/>
      <x:c r="L178" s="32"/>
      <x:c r="M178" s="32"/>
      <x:c r="N178" s="32"/>
      <x:c r="O178" s="32"/>
      <x:c r="P178" s="30"/>
      <x:c r="Q178" s="30"/>
      <x:c r="R178" s="30"/>
      <x:c r="S178" s="30"/>
      <x:c r="T178" s="30"/>
      <x:c r="U178" s="30"/>
      <x:c r="V178" s="30"/>
      <x:c r="W178" s="30"/>
    </x:row>
    <x:row r="179">
      <x:c r="J179" s="30"/>
      <x:c r="K179" s="30"/>
      <x:c r="L179" s="32"/>
      <x:c r="M179" s="32"/>
      <x:c r="N179" s="32"/>
      <x:c r="O179" s="32"/>
      <x:c r="P179" s="30"/>
      <x:c r="Q179" s="30"/>
      <x:c r="R179" s="30"/>
      <x:c r="S179" s="30"/>
      <x:c r="T179" s="30"/>
      <x:c r="U179" s="30"/>
      <x:c r="V179" s="30"/>
      <x:c r="W179" s="30"/>
    </x:row>
    <x:row r="180">
      <x:c r="J180" s="30"/>
      <x:c r="K180" s="30"/>
      <x:c r="L180" s="32"/>
      <x:c r="M180" s="32"/>
      <x:c r="N180" s="32"/>
      <x:c r="O180" s="32"/>
      <x:c r="P180" s="30"/>
      <x:c r="Q180" s="30"/>
      <x:c r="R180" s="30"/>
      <x:c r="S180" s="30"/>
      <x:c r="T180" s="30"/>
      <x:c r="U180" s="30"/>
      <x:c r="V180" s="30"/>
      <x:c r="W180" s="30"/>
    </x:row>
    <x:row r="181">
      <x:c r="J181" s="30"/>
      <x:c r="K181" s="30"/>
      <x:c r="L181" s="32"/>
      <x:c r="M181" s="32"/>
      <x:c r="N181" s="32"/>
      <x:c r="O181" s="32"/>
      <x:c r="P181" s="30"/>
      <x:c r="Q181" s="30"/>
      <x:c r="R181" s="30"/>
      <x:c r="S181" s="30"/>
      <x:c r="T181" s="30"/>
      <x:c r="U181" s="30"/>
      <x:c r="V181" s="30"/>
      <x:c r="W181" s="30"/>
    </x:row>
    <x:row r="182">
      <x:c r="J182" s="30"/>
      <x:c r="K182" s="30"/>
      <x:c r="L182" s="32"/>
      <x:c r="M182" s="32"/>
      <x:c r="N182" s="32"/>
      <x:c r="O182" s="32"/>
      <x:c r="P182" s="30"/>
      <x:c r="Q182" s="30"/>
      <x:c r="R182" s="30"/>
      <x:c r="S182" s="30"/>
      <x:c r="T182" s="30"/>
      <x:c r="U182" s="30"/>
      <x:c r="V182" s="30"/>
      <x:c r="W182" s="30"/>
    </x:row>
    <x:row r="183">
      <x:c r="J183" s="30"/>
      <x:c r="K183" s="30"/>
      <x:c r="L183" s="32"/>
      <x:c r="M183" s="32"/>
      <x:c r="N183" s="32"/>
      <x:c r="O183" s="32"/>
      <x:c r="P183" s="30"/>
      <x:c r="Q183" s="30"/>
      <x:c r="R183" s="30"/>
      <x:c r="S183" s="30"/>
      <x:c r="T183" s="30"/>
      <x:c r="U183" s="30"/>
      <x:c r="V183" s="30"/>
      <x:c r="W183" s="30"/>
    </x:row>
    <x:row r="184">
      <x:c r="J184" s="30"/>
      <x:c r="K184" s="30"/>
      <x:c r="L184" s="32"/>
      <x:c r="M184" s="32"/>
      <x:c r="N184" s="32"/>
      <x:c r="O184" s="32"/>
      <x:c r="P184" s="30"/>
      <x:c r="Q184" s="30"/>
      <x:c r="R184" s="30"/>
      <x:c r="S184" s="30"/>
      <x:c r="T184" s="30"/>
      <x:c r="U184" s="30"/>
      <x:c r="V184" s="30"/>
      <x:c r="W184" s="30"/>
    </x:row>
    <x:row r="185">
      <x:c r="J185" s="30"/>
      <x:c r="K185" s="30"/>
      <x:c r="L185" s="32"/>
      <x:c r="M185" s="32"/>
      <x:c r="N185" s="32"/>
      <x:c r="O185" s="32"/>
      <x:c r="P185" s="30"/>
      <x:c r="Q185" s="30"/>
      <x:c r="R185" s="30"/>
      <x:c r="S185" s="30"/>
      <x:c r="T185" s="30"/>
      <x:c r="U185" s="30"/>
      <x:c r="V185" s="30"/>
      <x:c r="W185" s="30"/>
    </x:row>
    <x:row r="186">
      <x:c r="J186" s="30"/>
      <x:c r="K186" s="30"/>
      <x:c r="L186" s="32"/>
      <x:c r="M186" s="32"/>
      <x:c r="N186" s="32"/>
      <x:c r="O186" s="32"/>
      <x:c r="P186" s="30"/>
      <x:c r="Q186" s="30"/>
      <x:c r="R186" s="30"/>
      <x:c r="S186" s="30"/>
      <x:c r="T186" s="30"/>
      <x:c r="U186" s="30"/>
      <x:c r="V186" s="30"/>
      <x:c r="W186" s="30"/>
    </x:row>
    <x:row r="187">
      <x:c r="J187" s="30"/>
      <x:c r="K187" s="30"/>
      <x:c r="L187" s="32"/>
      <x:c r="M187" s="32"/>
      <x:c r="N187" s="32"/>
      <x:c r="O187" s="32"/>
      <x:c r="P187" s="30"/>
      <x:c r="Q187" s="30"/>
      <x:c r="R187" s="30"/>
      <x:c r="S187" s="30"/>
      <x:c r="T187" s="30"/>
      <x:c r="U187" s="30"/>
      <x:c r="V187" s="30"/>
      <x:c r="W187" s="30"/>
    </x:row>
    <x:row r="188">
      <x:c r="J188" s="30"/>
      <x:c r="K188" s="30"/>
      <x:c r="L188" s="32"/>
      <x:c r="M188" s="32"/>
      <x:c r="N188" s="32"/>
      <x:c r="O188" s="32"/>
      <x:c r="P188" s="30"/>
      <x:c r="Q188" s="30"/>
      <x:c r="R188" s="30"/>
      <x:c r="S188" s="30"/>
      <x:c r="T188" s="30"/>
      <x:c r="U188" s="30"/>
      <x:c r="V188" s="30"/>
      <x:c r="W188" s="30"/>
    </x:row>
    <x:row r="189">
      <x:c r="J189" s="30"/>
      <x:c r="K189" s="30"/>
      <x:c r="L189" s="32"/>
      <x:c r="M189" s="32"/>
      <x:c r="N189" s="32"/>
      <x:c r="O189" s="32"/>
      <x:c r="P189" s="30"/>
      <x:c r="Q189" s="30"/>
      <x:c r="R189" s="30"/>
      <x:c r="S189" s="30"/>
      <x:c r="T189" s="30"/>
      <x:c r="U189" s="30"/>
      <x:c r="V189" s="30"/>
      <x:c r="W189" s="30"/>
    </x:row>
    <x:row r="190">
      <x:c r="J190" s="30"/>
      <x:c r="K190" s="30"/>
      <x:c r="L190" s="32"/>
      <x:c r="M190" s="32"/>
      <x:c r="N190" s="32"/>
      <x:c r="O190" s="32"/>
      <x:c r="P190" s="30"/>
      <x:c r="Q190" s="30"/>
      <x:c r="R190" s="30"/>
      <x:c r="S190" s="30"/>
      <x:c r="T190" s="30"/>
      <x:c r="U190" s="30"/>
      <x:c r="V190" s="30"/>
      <x:c r="W190" s="30"/>
    </x:row>
    <x:row r="191">
      <x:c r="J191" s="30"/>
      <x:c r="K191" s="30"/>
      <x:c r="L191" s="32"/>
      <x:c r="M191" s="32"/>
      <x:c r="N191" s="32"/>
      <x:c r="O191" s="32"/>
      <x:c r="P191" s="30"/>
      <x:c r="Q191" s="30"/>
      <x:c r="R191" s="30"/>
      <x:c r="S191" s="30"/>
      <x:c r="T191" s="30"/>
      <x:c r="U191" s="30"/>
      <x:c r="V191" s="30"/>
      <x:c r="W191" s="30"/>
    </x:row>
    <x:row r="192">
      <x:c r="J192" s="30"/>
      <x:c r="K192" s="30"/>
      <x:c r="L192" s="32"/>
      <x:c r="M192" s="32"/>
      <x:c r="N192" s="32"/>
      <x:c r="O192" s="32"/>
      <x:c r="P192" s="30"/>
      <x:c r="Q192" s="30"/>
      <x:c r="R192" s="30"/>
      <x:c r="S192" s="30"/>
      <x:c r="T192" s="30"/>
      <x:c r="U192" s="30"/>
      <x:c r="V192" s="30"/>
      <x:c r="W192" s="30"/>
    </x:row>
    <x:row r="193">
      <x:c r="J193" s="30"/>
      <x:c r="K193" s="30"/>
      <x:c r="L193" s="32"/>
      <x:c r="M193" s="32"/>
      <x:c r="N193" s="32"/>
      <x:c r="O193" s="32"/>
      <x:c r="P193" s="30"/>
      <x:c r="Q193" s="30"/>
      <x:c r="R193" s="30"/>
      <x:c r="S193" s="30"/>
      <x:c r="T193" s="30"/>
      <x:c r="U193" s="30"/>
      <x:c r="V193" s="30"/>
      <x:c r="W193" s="30"/>
    </x:row>
    <x:row r="194">
      <x:c r="J194" s="30"/>
      <x:c r="K194" s="30"/>
      <x:c r="L194" s="32"/>
      <x:c r="M194" s="32"/>
      <x:c r="N194" s="32"/>
      <x:c r="O194" s="32"/>
      <x:c r="P194" s="30"/>
      <x:c r="Q194" s="30"/>
      <x:c r="R194" s="30"/>
      <x:c r="S194" s="30"/>
      <x:c r="T194" s="30"/>
      <x:c r="U194" s="30"/>
      <x:c r="V194" s="30"/>
      <x:c r="W194" s="30"/>
    </x:row>
    <x:row r="195">
      <x:c r="J195" s="30"/>
      <x:c r="K195" s="30"/>
      <x:c r="L195" s="32"/>
      <x:c r="M195" s="32"/>
      <x:c r="N195" s="32"/>
      <x:c r="O195" s="32"/>
      <x:c r="P195" s="30"/>
      <x:c r="Q195" s="30"/>
      <x:c r="R195" s="30"/>
      <x:c r="S195" s="30"/>
      <x:c r="T195" s="30"/>
      <x:c r="U195" s="30"/>
      <x:c r="V195" s="30"/>
      <x:c r="W195" s="30"/>
    </x:row>
    <x:row r="196">
      <x:c r="J196" s="30"/>
      <x:c r="K196" s="30"/>
      <x:c r="L196" s="32"/>
      <x:c r="M196" s="32"/>
      <x:c r="N196" s="32"/>
      <x:c r="O196" s="32"/>
      <x:c r="P196" s="30"/>
      <x:c r="Q196" s="30"/>
      <x:c r="R196" s="30"/>
      <x:c r="S196" s="30"/>
      <x:c r="T196" s="30"/>
      <x:c r="U196" s="30"/>
      <x:c r="V196" s="30"/>
      <x:c r="W196" s="30"/>
    </x:row>
    <x:row r="197">
      <x:c r="J197" s="30"/>
      <x:c r="K197" s="30"/>
      <x:c r="L197" s="32"/>
      <x:c r="M197" s="32"/>
      <x:c r="N197" s="32"/>
      <x:c r="O197" s="32"/>
      <x:c r="P197" s="30"/>
      <x:c r="Q197" s="30"/>
      <x:c r="R197" s="30"/>
      <x:c r="S197" s="30"/>
      <x:c r="T197" s="30"/>
      <x:c r="U197" s="30"/>
      <x:c r="V197" s="30"/>
      <x:c r="W197" s="30"/>
    </x:row>
    <x:row r="198">
      <x:c r="J198" s="30"/>
      <x:c r="K198" s="30"/>
      <x:c r="L198" s="32"/>
      <x:c r="M198" s="32"/>
      <x:c r="N198" s="32"/>
      <x:c r="O198" s="32"/>
      <x:c r="P198" s="30"/>
      <x:c r="Q198" s="30"/>
      <x:c r="R198" s="30"/>
      <x:c r="S198" s="30"/>
      <x:c r="T198" s="30"/>
      <x:c r="U198" s="30"/>
      <x:c r="V198" s="30"/>
      <x:c r="W198" s="30"/>
    </x:row>
    <x:row r="199">
      <x:c r="J199" s="30"/>
      <x:c r="K199" s="30"/>
      <x:c r="L199" s="32"/>
      <x:c r="M199" s="32"/>
      <x:c r="N199" s="32"/>
      <x:c r="O199" s="32"/>
      <x:c r="P199" s="30"/>
      <x:c r="Q199" s="30"/>
      <x:c r="R199" s="30"/>
      <x:c r="S199" s="30"/>
      <x:c r="T199" s="30"/>
      <x:c r="U199" s="30"/>
      <x:c r="V199" s="30"/>
      <x:c r="W199" s="30"/>
    </x:row>
    <x:row r="200">
      <x:c r="J200" s="30"/>
      <x:c r="K200" s="30"/>
      <x:c r="L200" s="32"/>
      <x:c r="M200" s="32"/>
      <x:c r="N200" s="32"/>
      <x:c r="O200" s="32"/>
      <x:c r="P200" s="30"/>
      <x:c r="Q200" s="30"/>
      <x:c r="R200" s="30"/>
      <x:c r="S200" s="30"/>
      <x:c r="T200" s="30"/>
      <x:c r="U200" s="30"/>
      <x:c r="V200" s="30"/>
      <x:c r="W200" s="30"/>
    </x:row>
    <x:row r="201">
      <x:c r="J201" s="30"/>
      <x:c r="K201" s="30"/>
      <x:c r="L201" s="32"/>
      <x:c r="M201" s="32"/>
      <x:c r="N201" s="32"/>
      <x:c r="O201" s="32"/>
      <x:c r="P201" s="30"/>
      <x:c r="Q201" s="30"/>
      <x:c r="R201" s="30"/>
      <x:c r="S201" s="30"/>
      <x:c r="T201" s="30"/>
      <x:c r="U201" s="30"/>
      <x:c r="V201" s="30"/>
      <x:c r="W201" s="30"/>
    </x:row>
    <x:row r="202">
      <x:c r="J202" s="30"/>
      <x:c r="K202" s="30"/>
      <x:c r="L202" s="32"/>
      <x:c r="M202" s="32"/>
      <x:c r="N202" s="32"/>
      <x:c r="O202" s="32"/>
      <x:c r="P202" s="30"/>
      <x:c r="Q202" s="30"/>
      <x:c r="R202" s="30"/>
      <x:c r="S202" s="30"/>
      <x:c r="T202" s="30"/>
      <x:c r="U202" s="30"/>
      <x:c r="V202" s="30"/>
      <x:c r="W202" s="30"/>
    </x:row>
    <x:row r="203">
      <x:c r="J203" s="30"/>
      <x:c r="K203" s="30"/>
      <x:c r="L203" s="32"/>
      <x:c r="M203" s="32"/>
      <x:c r="N203" s="32"/>
      <x:c r="O203" s="32"/>
      <x:c r="P203" s="30"/>
      <x:c r="Q203" s="30"/>
      <x:c r="R203" s="30"/>
      <x:c r="S203" s="30"/>
      <x:c r="T203" s="30"/>
      <x:c r="U203" s="30"/>
      <x:c r="V203" s="30"/>
      <x:c r="W203" s="30"/>
    </x:row>
    <x:row r="204">
      <x:c r="J204" s="30"/>
      <x:c r="K204" s="30"/>
      <x:c r="L204" s="32"/>
      <x:c r="M204" s="32"/>
      <x:c r="N204" s="32"/>
      <x:c r="O204" s="32"/>
      <x:c r="P204" s="30"/>
      <x:c r="Q204" s="30"/>
      <x:c r="R204" s="30"/>
      <x:c r="S204" s="30"/>
      <x:c r="T204" s="30"/>
      <x:c r="U204" s="30"/>
      <x:c r="V204" s="30"/>
      <x:c r="W204" s="30"/>
    </x:row>
    <x:row r="205">
      <x:c r="J205" s="30"/>
      <x:c r="K205" s="30"/>
      <x:c r="L205" s="32"/>
      <x:c r="M205" s="32"/>
      <x:c r="N205" s="32"/>
      <x:c r="O205" s="32"/>
      <x:c r="P205" s="30"/>
      <x:c r="Q205" s="30"/>
      <x:c r="R205" s="30"/>
      <x:c r="S205" s="30"/>
      <x:c r="T205" s="30"/>
      <x:c r="U205" s="30"/>
      <x:c r="V205" s="30"/>
      <x:c r="W205" s="30"/>
    </x:row>
    <x:row r="206">
      <x:c r="J206" s="30"/>
      <x:c r="K206" s="30"/>
      <x:c r="L206" s="32"/>
      <x:c r="M206" s="32"/>
      <x:c r="N206" s="32"/>
      <x:c r="O206" s="32"/>
      <x:c r="P206" s="30"/>
      <x:c r="Q206" s="30"/>
      <x:c r="R206" s="30"/>
      <x:c r="S206" s="30"/>
      <x:c r="T206" s="30"/>
      <x:c r="U206" s="30"/>
      <x:c r="V206" s="30"/>
      <x:c r="W206" s="30"/>
    </x:row>
    <x:row r="207">
      <x:c r="J207" s="30"/>
      <x:c r="K207" s="30"/>
      <x:c r="L207" s="32"/>
      <x:c r="M207" s="32"/>
      <x:c r="N207" s="32"/>
      <x:c r="O207" s="32"/>
      <x:c r="P207" s="30"/>
      <x:c r="Q207" s="30"/>
      <x:c r="R207" s="30"/>
      <x:c r="S207" s="30"/>
      <x:c r="T207" s="30"/>
      <x:c r="U207" s="30"/>
      <x:c r="V207" s="30"/>
      <x:c r="W207" s="30"/>
    </x:row>
    <x:row r="208">
      <x:c r="J208" s="30"/>
      <x:c r="K208" s="30"/>
      <x:c r="L208" s="32"/>
      <x:c r="M208" s="32"/>
      <x:c r="N208" s="32"/>
      <x:c r="O208" s="32"/>
      <x:c r="P208" s="30"/>
      <x:c r="Q208" s="30"/>
      <x:c r="R208" s="30"/>
      <x:c r="S208" s="30"/>
      <x:c r="T208" s="30"/>
      <x:c r="U208" s="30"/>
      <x:c r="V208" s="30"/>
      <x:c r="W208" s="30"/>
    </x:row>
    <x:row r="209">
      <x:c r="J209" s="30"/>
      <x:c r="K209" s="30"/>
      <x:c r="L209" s="32"/>
      <x:c r="M209" s="32"/>
      <x:c r="N209" s="32"/>
      <x:c r="O209" s="32"/>
      <x:c r="P209" s="30"/>
      <x:c r="Q209" s="30"/>
      <x:c r="R209" s="30"/>
      <x:c r="S209" s="30"/>
      <x:c r="T209" s="30"/>
      <x:c r="U209" s="30"/>
      <x:c r="V209" s="30"/>
      <x:c r="W209" s="30"/>
    </x:row>
    <x:row r="210">
      <x:c r="J210" s="30"/>
      <x:c r="K210" s="30"/>
      <x:c r="L210" s="32"/>
      <x:c r="M210" s="32"/>
      <x:c r="N210" s="32"/>
      <x:c r="O210" s="32"/>
      <x:c r="P210" s="30"/>
      <x:c r="Q210" s="30"/>
      <x:c r="R210" s="30"/>
      <x:c r="S210" s="30"/>
      <x:c r="T210" s="30"/>
      <x:c r="U210" s="30"/>
      <x:c r="V210" s="30"/>
      <x:c r="W210" s="30"/>
    </x:row>
    <x:row r="211">
      <x:c r="J211" s="30"/>
      <x:c r="K211" s="30"/>
      <x:c r="L211" s="32"/>
      <x:c r="M211" s="32"/>
      <x:c r="N211" s="32"/>
      <x:c r="O211" s="32"/>
      <x:c r="P211" s="30"/>
      <x:c r="Q211" s="30"/>
      <x:c r="R211" s="30"/>
      <x:c r="S211" s="30"/>
      <x:c r="T211" s="30"/>
      <x:c r="U211" s="30"/>
      <x:c r="V211" s="30"/>
      <x:c r="W211" s="30"/>
    </x:row>
    <x:row r="212">
      <x:c r="J212" s="30"/>
      <x:c r="K212" s="30"/>
      <x:c r="L212" s="32"/>
      <x:c r="M212" s="32"/>
      <x:c r="N212" s="32"/>
      <x:c r="O212" s="32"/>
      <x:c r="P212" s="30"/>
      <x:c r="Q212" s="30"/>
      <x:c r="R212" s="30"/>
      <x:c r="S212" s="30"/>
      <x:c r="T212" s="30"/>
      <x:c r="U212" s="30"/>
      <x:c r="V212" s="30"/>
      <x:c r="W212" s="30"/>
    </x:row>
    <x:row r="213">
      <x:c r="J213" s="30"/>
      <x:c r="K213" s="30"/>
      <x:c r="L213" s="32"/>
      <x:c r="M213" s="32"/>
      <x:c r="N213" s="32"/>
      <x:c r="O213" s="32"/>
      <x:c r="P213" s="30"/>
      <x:c r="Q213" s="30"/>
      <x:c r="R213" s="30"/>
      <x:c r="S213" s="30"/>
      <x:c r="T213" s="30"/>
      <x:c r="U213" s="30"/>
      <x:c r="V213" s="30"/>
      <x:c r="W213" s="30"/>
    </x:row>
    <x:row r="214">
      <x:c r="J214" s="30"/>
      <x:c r="K214" s="30"/>
      <x:c r="L214" s="32"/>
      <x:c r="M214" s="32"/>
      <x:c r="N214" s="32"/>
      <x:c r="O214" s="32"/>
      <x:c r="P214" s="30"/>
      <x:c r="Q214" s="30"/>
      <x:c r="R214" s="30"/>
      <x:c r="S214" s="30"/>
      <x:c r="T214" s="30"/>
      <x:c r="U214" s="30"/>
      <x:c r="V214" s="30"/>
      <x:c r="W214" s="30"/>
    </x:row>
    <x:row r="215">
      <x:c r="J215" s="30"/>
      <x:c r="K215" s="30"/>
      <x:c r="L215" s="32"/>
      <x:c r="M215" s="32"/>
      <x:c r="N215" s="32"/>
      <x:c r="O215" s="32"/>
      <x:c r="P215" s="30"/>
      <x:c r="Q215" s="30"/>
      <x:c r="R215" s="30"/>
      <x:c r="S215" s="30"/>
      <x:c r="T215" s="30"/>
      <x:c r="U215" s="30"/>
      <x:c r="V215" s="30"/>
      <x:c r="W215" s="30"/>
    </x:row>
    <x:row r="216">
      <x:c r="J216" s="30"/>
      <x:c r="K216" s="30"/>
      <x:c r="L216" s="32"/>
      <x:c r="M216" s="32"/>
      <x:c r="N216" s="32"/>
      <x:c r="O216" s="32"/>
      <x:c r="P216" s="30"/>
      <x:c r="Q216" s="30"/>
      <x:c r="R216" s="30"/>
      <x:c r="S216" s="30"/>
      <x:c r="T216" s="30"/>
      <x:c r="U216" s="30"/>
      <x:c r="V216" s="30"/>
      <x:c r="W216" s="30"/>
    </x:row>
    <x:row r="217">
      <x:c r="J217" s="30"/>
      <x:c r="K217" s="30"/>
      <x:c r="L217" s="32"/>
      <x:c r="M217" s="32"/>
      <x:c r="N217" s="32"/>
      <x:c r="O217" s="32"/>
      <x:c r="P217" s="30"/>
      <x:c r="Q217" s="30"/>
      <x:c r="R217" s="30"/>
      <x:c r="S217" s="30"/>
      <x:c r="T217" s="30"/>
      <x:c r="U217" s="30"/>
      <x:c r="V217" s="30"/>
      <x:c r="W217" s="30"/>
    </x:row>
    <x:row r="218">
      <x:c r="J218" s="30"/>
      <x:c r="K218" s="30"/>
      <x:c r="L218" s="32"/>
      <x:c r="M218" s="32"/>
      <x:c r="N218" s="32"/>
      <x:c r="O218" s="32"/>
      <x:c r="P218" s="30"/>
      <x:c r="Q218" s="30"/>
      <x:c r="R218" s="30"/>
      <x:c r="S218" s="30"/>
      <x:c r="T218" s="30"/>
      <x:c r="U218" s="30"/>
      <x:c r="V218" s="30"/>
      <x:c r="W218" s="30"/>
    </x:row>
    <x:row r="219">
      <x:c r="J219" s="30"/>
      <x:c r="K219" s="30"/>
      <x:c r="L219" s="32"/>
      <x:c r="M219" s="32"/>
      <x:c r="N219" s="32"/>
      <x:c r="O219" s="32"/>
      <x:c r="P219" s="30"/>
      <x:c r="Q219" s="30"/>
      <x:c r="R219" s="30"/>
      <x:c r="S219" s="30"/>
      <x:c r="T219" s="30"/>
      <x:c r="U219" s="30"/>
      <x:c r="V219" s="30"/>
      <x:c r="W219" s="30"/>
    </x:row>
    <x:row r="220">
      <x:c r="J220" s="30"/>
      <x:c r="K220" s="30"/>
      <x:c r="L220" s="32"/>
      <x:c r="M220" s="32"/>
      <x:c r="N220" s="32"/>
      <x:c r="O220" s="32"/>
      <x:c r="P220" s="30"/>
      <x:c r="Q220" s="30"/>
      <x:c r="R220" s="30"/>
      <x:c r="S220" s="30"/>
      <x:c r="T220" s="30"/>
      <x:c r="U220" s="30"/>
      <x:c r="V220" s="30"/>
      <x:c r="W220" s="30"/>
    </x:row>
    <x:row r="221">
      <x:c r="J221" s="30"/>
      <x:c r="K221" s="30"/>
      <x:c r="L221" s="32"/>
      <x:c r="M221" s="32"/>
      <x:c r="N221" s="32"/>
      <x:c r="O221" s="32"/>
      <x:c r="P221" s="30"/>
      <x:c r="Q221" s="30"/>
      <x:c r="R221" s="30"/>
      <x:c r="S221" s="30"/>
      <x:c r="T221" s="30"/>
      <x:c r="U221" s="30"/>
      <x:c r="V221" s="30"/>
      <x:c r="W221" s="30"/>
    </x:row>
    <x:row r="222">
      <x:c r="J222" s="30"/>
      <x:c r="K222" s="30"/>
      <x:c r="L222" s="32"/>
      <x:c r="M222" s="32"/>
      <x:c r="N222" s="32"/>
      <x:c r="O222" s="32"/>
      <x:c r="P222" s="30"/>
      <x:c r="Q222" s="30"/>
      <x:c r="R222" s="30"/>
      <x:c r="S222" s="30"/>
      <x:c r="T222" s="30"/>
      <x:c r="U222" s="30"/>
      <x:c r="V222" s="30"/>
      <x:c r="W222" s="30"/>
    </x:row>
    <x:row r="223">
      <x:c r="J223" s="30"/>
      <x:c r="K223" s="30"/>
      <x:c r="L223" s="32"/>
      <x:c r="M223" s="32"/>
      <x:c r="N223" s="32"/>
      <x:c r="O223" s="32"/>
      <x:c r="P223" s="30"/>
      <x:c r="Q223" s="30"/>
      <x:c r="R223" s="30"/>
      <x:c r="S223" s="30"/>
      <x:c r="T223" s="30"/>
      <x:c r="U223" s="30"/>
      <x:c r="V223" s="30"/>
      <x:c r="W223" s="30"/>
    </x:row>
    <x:row r="224">
      <x:c r="J224" s="30"/>
      <x:c r="K224" s="30"/>
      <x:c r="L224" s="32"/>
      <x:c r="M224" s="32"/>
      <x:c r="N224" s="32"/>
      <x:c r="O224" s="32"/>
      <x:c r="P224" s="30"/>
      <x:c r="Q224" s="30"/>
      <x:c r="R224" s="30"/>
      <x:c r="S224" s="30"/>
      <x:c r="T224" s="30"/>
      <x:c r="U224" s="30"/>
      <x:c r="V224" s="30"/>
      <x:c r="W224" s="30"/>
    </x:row>
    <x:row r="225">
      <x:c r="J225" s="30"/>
      <x:c r="K225" s="30"/>
      <x:c r="L225" s="32"/>
      <x:c r="M225" s="32"/>
      <x:c r="N225" s="32"/>
      <x:c r="O225" s="32"/>
      <x:c r="P225" s="30"/>
      <x:c r="Q225" s="30"/>
      <x:c r="R225" s="30"/>
      <x:c r="S225" s="30"/>
      <x:c r="T225" s="30"/>
      <x:c r="U225" s="30"/>
      <x:c r="V225" s="30"/>
      <x:c r="W225" s="30"/>
    </x:row>
    <x:row r="226">
      <x:c r="J226" s="30"/>
      <x:c r="K226" s="30"/>
      <x:c r="L226" s="32"/>
      <x:c r="M226" s="32"/>
      <x:c r="N226" s="32"/>
      <x:c r="O226" s="32"/>
      <x:c r="P226" s="30"/>
      <x:c r="Q226" s="30"/>
      <x:c r="R226" s="30"/>
      <x:c r="S226" s="30"/>
      <x:c r="T226" s="30"/>
      <x:c r="U226" s="30"/>
      <x:c r="V226" s="30"/>
      <x:c r="W226" s="30"/>
    </x:row>
    <x:row r="227">
      <x:c r="J227" s="30"/>
      <x:c r="K227" s="30"/>
      <x:c r="L227" s="32"/>
      <x:c r="M227" s="32"/>
      <x:c r="N227" s="32"/>
      <x:c r="O227" s="32"/>
      <x:c r="P227" s="30"/>
      <x:c r="Q227" s="30"/>
      <x:c r="R227" s="30"/>
      <x:c r="S227" s="30"/>
      <x:c r="T227" s="30"/>
      <x:c r="U227" s="30"/>
      <x:c r="V227" s="30"/>
      <x:c r="W227" s="30"/>
    </x:row>
    <x:row r="228">
      <x:c r="J228" s="30"/>
      <x:c r="K228" s="30"/>
      <x:c r="L228" s="32"/>
      <x:c r="M228" s="32"/>
      <x:c r="N228" s="32"/>
      <x:c r="O228" s="32"/>
      <x:c r="P228" s="30"/>
      <x:c r="Q228" s="30"/>
      <x:c r="R228" s="30"/>
      <x:c r="S228" s="30"/>
      <x:c r="T228" s="30"/>
      <x:c r="U228" s="30"/>
      <x:c r="V228" s="30"/>
      <x:c r="W228" s="30"/>
    </x:row>
    <x:row r="229">
      <x:c r="J229" s="30"/>
      <x:c r="K229" s="30"/>
      <x:c r="L229" s="32"/>
      <x:c r="M229" s="32"/>
      <x:c r="N229" s="32"/>
      <x:c r="O229" s="32"/>
      <x:c r="P229" s="30"/>
      <x:c r="Q229" s="30"/>
      <x:c r="R229" s="30"/>
      <x:c r="S229" s="30"/>
      <x:c r="T229" s="30"/>
      <x:c r="U229" s="30"/>
      <x:c r="V229" s="30"/>
      <x:c r="W229" s="30"/>
    </x:row>
    <x:row r="230">
      <x:c r="J230" s="30"/>
      <x:c r="K230" s="30"/>
      <x:c r="L230" s="32"/>
      <x:c r="M230" s="32"/>
      <x:c r="N230" s="32"/>
      <x:c r="O230" s="32"/>
      <x:c r="P230" s="30"/>
      <x:c r="Q230" s="30"/>
      <x:c r="R230" s="30"/>
      <x:c r="S230" s="30"/>
      <x:c r="T230" s="30"/>
      <x:c r="U230" s="30"/>
      <x:c r="V230" s="30"/>
      <x:c r="W230" s="30"/>
    </x:row>
    <x:row r="231">
      <x:c r="J231" s="30"/>
      <x:c r="K231" s="30"/>
      <x:c r="L231" s="32"/>
      <x:c r="M231" s="32"/>
      <x:c r="N231" s="32"/>
      <x:c r="O231" s="32"/>
      <x:c r="P231" s="30"/>
      <x:c r="Q231" s="30"/>
      <x:c r="R231" s="30"/>
      <x:c r="S231" s="30"/>
      <x:c r="T231" s="30"/>
      <x:c r="U231" s="30"/>
      <x:c r="V231" s="30"/>
      <x:c r="W231" s="30"/>
    </x:row>
    <x:row r="232">
      <x:c r="J232" s="30"/>
      <x:c r="K232" s="30"/>
      <x:c r="L232" s="32"/>
      <x:c r="M232" s="32"/>
      <x:c r="N232" s="32"/>
      <x:c r="O232" s="32"/>
      <x:c r="P232" s="30"/>
      <x:c r="Q232" s="30"/>
      <x:c r="R232" s="30"/>
      <x:c r="S232" s="30"/>
      <x:c r="T232" s="30"/>
      <x:c r="U232" s="30"/>
      <x:c r="V232" s="30"/>
      <x:c r="W232" s="30"/>
    </x:row>
    <x:row r="233">
      <x:c r="J233" s="30"/>
      <x:c r="K233" s="30"/>
      <x:c r="L233" s="32"/>
      <x:c r="M233" s="32"/>
      <x:c r="N233" s="32"/>
      <x:c r="O233" s="32"/>
      <x:c r="P233" s="30"/>
      <x:c r="Q233" s="30"/>
      <x:c r="R233" s="30"/>
      <x:c r="S233" s="30"/>
      <x:c r="T233" s="30"/>
      <x:c r="U233" s="30"/>
      <x:c r="V233" s="30"/>
      <x:c r="W233" s="30"/>
    </x:row>
    <x:row r="234">
      <x:c r="J234" s="30"/>
      <x:c r="K234" s="30"/>
      <x:c r="L234" s="32"/>
      <x:c r="M234" s="32"/>
      <x:c r="N234" s="32"/>
      <x:c r="O234" s="32"/>
      <x:c r="P234" s="30"/>
      <x:c r="Q234" s="30"/>
      <x:c r="R234" s="30"/>
      <x:c r="S234" s="30"/>
      <x:c r="T234" s="30"/>
      <x:c r="U234" s="30"/>
      <x:c r="V234" s="30"/>
      <x:c r="W234" s="30"/>
    </x:row>
    <x:row r="235">
      <x:c r="J235" s="30"/>
      <x:c r="K235" s="30"/>
      <x:c r="L235" s="32"/>
      <x:c r="M235" s="32"/>
      <x:c r="N235" s="32"/>
      <x:c r="O235" s="32"/>
      <x:c r="P235" s="30"/>
      <x:c r="Q235" s="30"/>
      <x:c r="R235" s="30"/>
      <x:c r="S235" s="30"/>
      <x:c r="T235" s="30"/>
      <x:c r="U235" s="30"/>
      <x:c r="V235" s="30"/>
      <x:c r="W235" s="30"/>
    </x:row>
    <x:row r="236">
      <x:c r="J236" s="30"/>
      <x:c r="K236" s="30"/>
      <x:c r="L236" s="32"/>
      <x:c r="M236" s="32"/>
      <x:c r="N236" s="32"/>
      <x:c r="O236" s="32"/>
      <x:c r="P236" s="30"/>
      <x:c r="Q236" s="30"/>
      <x:c r="R236" s="30"/>
      <x:c r="S236" s="30"/>
      <x:c r="T236" s="30"/>
      <x:c r="U236" s="30"/>
      <x:c r="V236" s="30"/>
      <x:c r="W236" s="30"/>
    </x:row>
    <x:row r="237">
      <x:c r="J237" s="30"/>
      <x:c r="K237" s="30"/>
      <x:c r="L237" s="32"/>
      <x:c r="M237" s="32"/>
      <x:c r="N237" s="32"/>
      <x:c r="O237" s="32"/>
      <x:c r="P237" s="30"/>
      <x:c r="Q237" s="30"/>
      <x:c r="R237" s="30"/>
      <x:c r="S237" s="30"/>
      <x:c r="T237" s="30"/>
      <x:c r="U237" s="30"/>
      <x:c r="V237" s="30"/>
      <x:c r="W237" s="30"/>
    </x:row>
    <x:row r="238">
      <x:c r="J238" s="30"/>
      <x:c r="K238" s="30"/>
      <x:c r="L238" s="32"/>
      <x:c r="M238" s="32"/>
      <x:c r="N238" s="32"/>
      <x:c r="O238" s="32"/>
      <x:c r="P238" s="30"/>
      <x:c r="Q238" s="30"/>
      <x:c r="R238" s="30"/>
      <x:c r="S238" s="30"/>
      <x:c r="T238" s="30"/>
      <x:c r="U238" s="30"/>
      <x:c r="V238" s="30"/>
      <x:c r="W238" s="30"/>
    </x:row>
    <x:row r="239">
      <x:c r="J239" s="30"/>
      <x:c r="K239" s="30"/>
      <x:c r="L239" s="32"/>
      <x:c r="M239" s="32"/>
      <x:c r="N239" s="32"/>
      <x:c r="O239" s="32"/>
      <x:c r="P239" s="30"/>
      <x:c r="Q239" s="30"/>
      <x:c r="R239" s="30"/>
      <x:c r="S239" s="30"/>
      <x:c r="T239" s="30"/>
      <x:c r="U239" s="30"/>
      <x:c r="V239" s="30"/>
      <x:c r="W239" s="30"/>
    </x:row>
    <x:row r="240">
      <x:c r="J240" s="30"/>
      <x:c r="K240" s="30"/>
      <x:c r="L240" s="32"/>
      <x:c r="M240" s="32"/>
      <x:c r="N240" s="32"/>
      <x:c r="O240" s="32"/>
      <x:c r="P240" s="30"/>
      <x:c r="Q240" s="30"/>
      <x:c r="R240" s="30"/>
      <x:c r="S240" s="30"/>
      <x:c r="T240" s="30"/>
      <x:c r="U240" s="30"/>
      <x:c r="V240" s="30"/>
      <x:c r="W240" s="30"/>
    </x:row>
    <x:row r="241">
      <x:c r="J241" s="30"/>
      <x:c r="K241" s="30"/>
      <x:c r="L241" s="32"/>
      <x:c r="M241" s="32"/>
      <x:c r="N241" s="32"/>
      <x:c r="O241" s="32"/>
      <x:c r="P241" s="30"/>
      <x:c r="Q241" s="30"/>
      <x:c r="R241" s="30"/>
      <x:c r="S241" s="30"/>
      <x:c r="T241" s="30"/>
      <x:c r="U241" s="30"/>
      <x:c r="V241" s="30"/>
      <x:c r="W241" s="30"/>
    </x:row>
    <x:row r="242">
      <x:c r="J242" s="30"/>
      <x:c r="K242" s="30"/>
      <x:c r="L242" s="32"/>
      <x:c r="M242" s="32"/>
      <x:c r="N242" s="32"/>
      <x:c r="O242" s="32"/>
      <x:c r="P242" s="30"/>
      <x:c r="Q242" s="30"/>
      <x:c r="R242" s="30"/>
      <x:c r="S242" s="30"/>
      <x:c r="T242" s="30"/>
      <x:c r="U242" s="30"/>
      <x:c r="V242" s="30"/>
      <x:c r="W242" s="30"/>
    </x:row>
    <x:row r="243">
      <x:c r="J243" s="30"/>
      <x:c r="K243" s="30"/>
      <x:c r="L243" s="32"/>
      <x:c r="M243" s="32"/>
      <x:c r="N243" s="32"/>
      <x:c r="O243" s="32"/>
      <x:c r="P243" s="30"/>
      <x:c r="Q243" s="30"/>
      <x:c r="R243" s="30"/>
      <x:c r="S243" s="30"/>
      <x:c r="T243" s="30"/>
      <x:c r="U243" s="30"/>
      <x:c r="V243" s="30"/>
      <x:c r="W243" s="30"/>
    </x:row>
    <x:row r="244">
      <x:c r="J244" s="30"/>
      <x:c r="K244" s="30"/>
      <x:c r="L244" s="32"/>
      <x:c r="M244" s="32"/>
      <x:c r="N244" s="32"/>
      <x:c r="O244" s="32"/>
      <x:c r="P244" s="30"/>
      <x:c r="Q244" s="30"/>
      <x:c r="R244" s="30"/>
      <x:c r="S244" s="30"/>
      <x:c r="T244" s="30"/>
      <x:c r="U244" s="30"/>
      <x:c r="V244" s="30"/>
      <x:c r="W244" s="30"/>
    </x:row>
    <x:row r="245">
      <x:c r="J245" s="30"/>
      <x:c r="K245" s="30"/>
      <x:c r="L245" s="32"/>
      <x:c r="M245" s="32"/>
      <x:c r="N245" s="32"/>
      <x:c r="O245" s="32"/>
      <x:c r="P245" s="30"/>
      <x:c r="Q245" s="30"/>
      <x:c r="R245" s="30"/>
      <x:c r="S245" s="30"/>
      <x:c r="T245" s="30"/>
      <x:c r="U245" s="30"/>
      <x:c r="V245" s="30"/>
      <x:c r="W245" s="30"/>
    </x:row>
    <x:row r="246">
      <x:c r="J246" s="30"/>
      <x:c r="K246" s="30"/>
      <x:c r="L246" s="32"/>
      <x:c r="M246" s="32"/>
      <x:c r="N246" s="32"/>
      <x:c r="O246" s="32"/>
      <x:c r="P246" s="30"/>
      <x:c r="Q246" s="30"/>
      <x:c r="R246" s="30"/>
      <x:c r="S246" s="30"/>
      <x:c r="T246" s="30"/>
      <x:c r="U246" s="30"/>
      <x:c r="V246" s="30"/>
      <x:c r="W246" s="30"/>
    </x:row>
    <x:row r="247">
      <x:c r="J247" s="30"/>
      <x:c r="K247" s="30"/>
      <x:c r="L247" s="32"/>
      <x:c r="M247" s="32"/>
      <x:c r="N247" s="32"/>
      <x:c r="O247" s="32"/>
      <x:c r="P247" s="30"/>
      <x:c r="Q247" s="30"/>
      <x:c r="R247" s="30"/>
      <x:c r="S247" s="30"/>
      <x:c r="T247" s="30"/>
      <x:c r="U247" s="30"/>
      <x:c r="V247" s="30"/>
      <x:c r="W247" s="30"/>
    </x:row>
    <x:row r="248">
      <x:c r="J248" s="30"/>
      <x:c r="K248" s="30"/>
      <x:c r="L248" s="32"/>
      <x:c r="M248" s="32"/>
      <x:c r="N248" s="32"/>
      <x:c r="O248" s="32"/>
      <x:c r="P248" s="30"/>
      <x:c r="Q248" s="30"/>
      <x:c r="R248" s="30"/>
      <x:c r="S248" s="30"/>
      <x:c r="T248" s="30"/>
      <x:c r="U248" s="30"/>
      <x:c r="V248" s="30"/>
      <x:c r="W248" s="30"/>
    </x:row>
    <x:row r="249">
      <x:c r="J249" s="30"/>
      <x:c r="K249" s="30"/>
      <x:c r="L249" s="32"/>
      <x:c r="M249" s="32"/>
      <x:c r="N249" s="32"/>
      <x:c r="O249" s="32"/>
      <x:c r="P249" s="30"/>
      <x:c r="Q249" s="30"/>
      <x:c r="R249" s="30"/>
      <x:c r="S249" s="30"/>
      <x:c r="T249" s="30"/>
      <x:c r="U249" s="30"/>
      <x:c r="V249" s="30"/>
      <x:c r="W249" s="30"/>
    </x:row>
    <x:row r="250">
      <x:c r="J250" s="30"/>
      <x:c r="K250" s="30"/>
      <x:c r="L250" s="32"/>
      <x:c r="M250" s="32"/>
      <x:c r="N250" s="32"/>
      <x:c r="O250" s="32"/>
      <x:c r="P250" s="30"/>
      <x:c r="Q250" s="30"/>
      <x:c r="R250" s="30"/>
      <x:c r="S250" s="30"/>
      <x:c r="T250" s="30"/>
      <x:c r="U250" s="30"/>
      <x:c r="V250" s="30"/>
      <x:c r="W250" s="30"/>
    </x:row>
    <x:row r="251">
      <x:c r="J251" s="30"/>
      <x:c r="K251" s="30"/>
      <x:c r="L251" s="32"/>
      <x:c r="M251" s="32"/>
      <x:c r="N251" s="32"/>
      <x:c r="O251" s="32"/>
      <x:c r="P251" s="30"/>
      <x:c r="Q251" s="30"/>
      <x:c r="R251" s="30"/>
      <x:c r="S251" s="30"/>
      <x:c r="T251" s="30"/>
      <x:c r="U251" s="30"/>
      <x:c r="V251" s="30"/>
      <x:c r="W251" s="30"/>
    </x:row>
    <x:row r="252">
      <x:c r="J252" s="30"/>
      <x:c r="K252" s="30"/>
      <x:c r="L252" s="32"/>
      <x:c r="M252" s="32"/>
      <x:c r="N252" s="32"/>
      <x:c r="O252" s="32"/>
      <x:c r="P252" s="30"/>
      <x:c r="Q252" s="30"/>
      <x:c r="R252" s="30"/>
      <x:c r="S252" s="30"/>
      <x:c r="T252" s="30"/>
      <x:c r="U252" s="30"/>
      <x:c r="V252" s="30"/>
      <x:c r="W252" s="30"/>
    </x:row>
    <x:row r="253">
      <x:c r="J253" s="30"/>
      <x:c r="K253" s="30"/>
      <x:c r="L253" s="32"/>
      <x:c r="M253" s="32"/>
      <x:c r="N253" s="32"/>
      <x:c r="O253" s="32"/>
      <x:c r="P253" s="30"/>
      <x:c r="Q253" s="30"/>
      <x:c r="R253" s="30"/>
      <x:c r="S253" s="30"/>
      <x:c r="T253" s="30"/>
      <x:c r="U253" s="30"/>
      <x:c r="V253" s="30"/>
      <x:c r="W253" s="30"/>
    </x:row>
    <x:row r="254">
      <x:c r="J254" s="30"/>
      <x:c r="K254" s="30"/>
      <x:c r="L254" s="32"/>
      <x:c r="M254" s="32"/>
      <x:c r="N254" s="32"/>
      <x:c r="O254" s="32"/>
      <x:c r="P254" s="30"/>
      <x:c r="Q254" s="30"/>
      <x:c r="R254" s="30"/>
      <x:c r="S254" s="30"/>
      <x:c r="T254" s="30"/>
      <x:c r="U254" s="30"/>
      <x:c r="V254" s="30"/>
      <x:c r="W254" s="30"/>
    </x:row>
    <x:row r="255">
      <x:c r="J255" s="30"/>
      <x:c r="K255" s="30"/>
      <x:c r="L255" s="32"/>
      <x:c r="M255" s="32"/>
      <x:c r="N255" s="32"/>
      <x:c r="O255" s="32"/>
      <x:c r="P255" s="30"/>
      <x:c r="Q255" s="30"/>
      <x:c r="R255" s="30"/>
      <x:c r="S255" s="30"/>
      <x:c r="T255" s="30"/>
      <x:c r="U255" s="30"/>
      <x:c r="V255" s="30"/>
      <x:c r="W255" s="30"/>
    </x:row>
    <x:row r="256">
      <x:c r="J256" s="30"/>
      <x:c r="K256" s="30"/>
      <x:c r="L256" s="32"/>
      <x:c r="M256" s="32"/>
      <x:c r="N256" s="32"/>
      <x:c r="O256" s="32"/>
      <x:c r="P256" s="30"/>
      <x:c r="Q256" s="30"/>
      <x:c r="R256" s="30"/>
      <x:c r="S256" s="30"/>
      <x:c r="T256" s="30"/>
      <x:c r="U256" s="30"/>
      <x:c r="V256" s="30"/>
      <x:c r="W256" s="30"/>
    </x:row>
    <x:row r="257">
      <x:c r="J257" s="30"/>
      <x:c r="K257" s="30"/>
      <x:c r="L257" s="32"/>
      <x:c r="M257" s="32"/>
      <x:c r="N257" s="32"/>
      <x:c r="O257" s="32"/>
      <x:c r="P257" s="30"/>
      <x:c r="Q257" s="30"/>
      <x:c r="R257" s="30"/>
      <x:c r="S257" s="30"/>
      <x:c r="T257" s="30"/>
      <x:c r="U257" s="30"/>
      <x:c r="V257" s="30"/>
      <x:c r="W257" s="30"/>
    </x:row>
    <x:row r="258">
      <x:c r="J258" s="30"/>
      <x:c r="K258" s="30"/>
      <x:c r="L258" s="32"/>
      <x:c r="M258" s="32"/>
      <x:c r="N258" s="32"/>
      <x:c r="O258" s="32"/>
      <x:c r="P258" s="30"/>
      <x:c r="Q258" s="30"/>
      <x:c r="R258" s="30"/>
      <x:c r="S258" s="30"/>
      <x:c r="T258" s="30"/>
      <x:c r="U258" s="30"/>
      <x:c r="V258" s="30"/>
      <x:c r="W258" s="30"/>
    </x:row>
    <x:row r="259">
      <x:c r="J259" s="30"/>
      <x:c r="K259" s="30"/>
      <x:c r="L259" s="32"/>
      <x:c r="M259" s="32"/>
      <x:c r="N259" s="32"/>
      <x:c r="O259" s="32"/>
      <x:c r="P259" s="30"/>
      <x:c r="Q259" s="30"/>
      <x:c r="R259" s="30"/>
      <x:c r="S259" s="30"/>
      <x:c r="T259" s="30"/>
      <x:c r="U259" s="30"/>
      <x:c r="V259" s="30"/>
      <x:c r="W259" s="30"/>
    </x:row>
    <x:row r="260">
      <x:c r="J260" s="30"/>
      <x:c r="K260" s="30"/>
      <x:c r="L260" s="32"/>
      <x:c r="M260" s="32"/>
      <x:c r="N260" s="32"/>
      <x:c r="O260" s="32"/>
      <x:c r="P260" s="30"/>
      <x:c r="Q260" s="30"/>
      <x:c r="R260" s="30"/>
      <x:c r="S260" s="30"/>
      <x:c r="T260" s="30"/>
      <x:c r="U260" s="30"/>
      <x:c r="V260" s="30"/>
      <x:c r="W260" s="30"/>
    </x:row>
    <x:row r="261">
      <x:c r="J261" s="30"/>
      <x:c r="K261" s="30"/>
      <x:c r="L261" s="32"/>
      <x:c r="M261" s="32"/>
      <x:c r="N261" s="32"/>
      <x:c r="O261" s="32"/>
      <x:c r="P261" s="30"/>
      <x:c r="Q261" s="30"/>
      <x:c r="R261" s="30"/>
      <x:c r="S261" s="30"/>
      <x:c r="T261" s="30"/>
      <x:c r="U261" s="30"/>
      <x:c r="V261" s="30"/>
      <x:c r="W261" s="30"/>
    </x:row>
    <x:row r="262">
      <x:c r="J262" s="30"/>
      <x:c r="K262" s="30"/>
      <x:c r="L262" s="32"/>
      <x:c r="M262" s="32"/>
      <x:c r="N262" s="32"/>
      <x:c r="O262" s="32"/>
      <x:c r="P262" s="30"/>
      <x:c r="Q262" s="30"/>
      <x:c r="R262" s="30"/>
      <x:c r="S262" s="30"/>
      <x:c r="T262" s="30"/>
      <x:c r="U262" s="30"/>
      <x:c r="V262" s="30"/>
      <x:c r="W262" s="30"/>
    </x:row>
    <x:row r="263">
      <x:c r="J263" s="30"/>
      <x:c r="K263" s="30"/>
      <x:c r="L263" s="32"/>
      <x:c r="M263" s="32"/>
      <x:c r="N263" s="32"/>
      <x:c r="O263" s="32"/>
      <x:c r="P263" s="30"/>
      <x:c r="Q263" s="30"/>
      <x:c r="R263" s="30"/>
      <x:c r="S263" s="30"/>
      <x:c r="T263" s="30"/>
      <x:c r="U263" s="30"/>
      <x:c r="V263" s="30"/>
      <x:c r="W263" s="30"/>
    </x:row>
    <x:row r="264">
      <x:c r="J264" s="30"/>
      <x:c r="K264" s="30"/>
      <x:c r="L264" s="32"/>
      <x:c r="M264" s="32"/>
      <x:c r="N264" s="32"/>
      <x:c r="O264" s="32"/>
      <x:c r="P264" s="30"/>
      <x:c r="Q264" s="30"/>
      <x:c r="R264" s="30"/>
      <x:c r="S264" s="30"/>
      <x:c r="T264" s="30"/>
      <x:c r="U264" s="30"/>
      <x:c r="V264" s="30"/>
      <x:c r="W264" s="30"/>
    </x:row>
    <x:row r="265">
      <x:c r="J265" s="30"/>
      <x:c r="K265" s="30"/>
      <x:c r="L265" s="32"/>
      <x:c r="M265" s="32"/>
      <x:c r="N265" s="32"/>
      <x:c r="O265" s="32"/>
      <x:c r="P265" s="30"/>
      <x:c r="Q265" s="30"/>
      <x:c r="R265" s="30"/>
      <x:c r="S265" s="30"/>
      <x:c r="T265" s="30"/>
      <x:c r="U265" s="30"/>
      <x:c r="V265" s="30"/>
      <x:c r="W265" s="30"/>
    </x:row>
    <x:row r="266">
      <x:c r="J266" s="30"/>
      <x:c r="K266" s="30"/>
      <x:c r="L266" s="32"/>
      <x:c r="M266" s="32"/>
      <x:c r="N266" s="32"/>
      <x:c r="O266" s="32"/>
      <x:c r="P266" s="30"/>
      <x:c r="Q266" s="30"/>
      <x:c r="R266" s="30"/>
      <x:c r="S266" s="30"/>
      <x:c r="T266" s="30"/>
      <x:c r="U266" s="30"/>
      <x:c r="V266" s="30"/>
      <x:c r="W266" s="30"/>
    </x:row>
    <x:row r="267">
      <x:c r="J267" s="30"/>
      <x:c r="K267" s="30"/>
      <x:c r="L267" s="32"/>
      <x:c r="M267" s="32"/>
      <x:c r="N267" s="32"/>
      <x:c r="O267" s="32"/>
      <x:c r="P267" s="30"/>
      <x:c r="Q267" s="30"/>
      <x:c r="R267" s="30"/>
      <x:c r="S267" s="30"/>
      <x:c r="T267" s="30"/>
      <x:c r="U267" s="30"/>
      <x:c r="V267" s="30"/>
      <x:c r="W267" s="30"/>
    </x:row>
    <x:row r="268">
      <x:c r="J268" s="30"/>
      <x:c r="K268" s="30"/>
      <x:c r="L268" s="32"/>
      <x:c r="M268" s="32"/>
      <x:c r="N268" s="32"/>
      <x:c r="O268" s="32"/>
      <x:c r="P268" s="30"/>
      <x:c r="Q268" s="30"/>
      <x:c r="R268" s="30"/>
      <x:c r="S268" s="30"/>
      <x:c r="T268" s="30"/>
      <x:c r="U268" s="30"/>
      <x:c r="V268" s="30"/>
      <x:c r="W268" s="30"/>
    </x:row>
    <x:row r="269">
      <x:c r="J269" s="30"/>
      <x:c r="K269" s="30"/>
      <x:c r="L269" s="32"/>
      <x:c r="M269" s="32"/>
      <x:c r="N269" s="32"/>
      <x:c r="O269" s="32"/>
      <x:c r="P269" s="30"/>
      <x:c r="Q269" s="30"/>
      <x:c r="R269" s="30"/>
      <x:c r="S269" s="30"/>
      <x:c r="T269" s="30"/>
      <x:c r="U269" s="30"/>
      <x:c r="V269" s="30"/>
      <x:c r="W269" s="30"/>
    </x:row>
    <x:row r="270">
      <x:c r="J270" s="30"/>
      <x:c r="K270" s="30"/>
      <x:c r="L270" s="32"/>
      <x:c r="M270" s="32"/>
      <x:c r="N270" s="32"/>
      <x:c r="O270" s="32"/>
      <x:c r="P270" s="30"/>
      <x:c r="Q270" s="30"/>
      <x:c r="R270" s="30"/>
      <x:c r="S270" s="30"/>
      <x:c r="T270" s="30"/>
      <x:c r="U270" s="30"/>
      <x:c r="V270" s="30"/>
      <x:c r="W270" s="30"/>
    </x:row>
    <x:row r="271">
      <x:c r="J271" s="30"/>
      <x:c r="K271" s="30"/>
      <x:c r="L271" s="32"/>
      <x:c r="M271" s="32"/>
      <x:c r="N271" s="32"/>
      <x:c r="O271" s="32"/>
      <x:c r="P271" s="30"/>
      <x:c r="Q271" s="30"/>
      <x:c r="R271" s="30"/>
      <x:c r="S271" s="30"/>
      <x:c r="T271" s="30"/>
      <x:c r="U271" s="30"/>
      <x:c r="V271" s="30"/>
      <x:c r="W271" s="30"/>
    </x:row>
    <x:row r="272">
      <x:c r="J272" s="30"/>
      <x:c r="K272" s="30"/>
      <x:c r="L272" s="32"/>
      <x:c r="M272" s="32"/>
      <x:c r="N272" s="32"/>
      <x:c r="O272" s="32"/>
      <x:c r="P272" s="30"/>
      <x:c r="Q272" s="30"/>
      <x:c r="R272" s="30"/>
      <x:c r="S272" s="30"/>
      <x:c r="T272" s="30"/>
      <x:c r="U272" s="30"/>
      <x:c r="V272" s="30"/>
      <x:c r="W272" s="30"/>
    </x:row>
    <x:row r="273">
      <x:c r="J273" s="30"/>
      <x:c r="K273" s="30"/>
      <x:c r="L273" s="32"/>
      <x:c r="M273" s="32"/>
      <x:c r="N273" s="32"/>
      <x:c r="O273" s="32"/>
      <x:c r="P273" s="30"/>
      <x:c r="Q273" s="30"/>
      <x:c r="R273" s="30"/>
      <x:c r="S273" s="30"/>
      <x:c r="T273" s="30"/>
      <x:c r="U273" s="30"/>
      <x:c r="V273" s="30"/>
      <x:c r="W273" s="30"/>
    </x:row>
    <x:row r="274">
      <x:c r="J274" s="30"/>
      <x:c r="K274" s="30"/>
      <x:c r="L274" s="32"/>
      <x:c r="M274" s="32"/>
      <x:c r="N274" s="32"/>
      <x:c r="O274" s="32"/>
      <x:c r="P274" s="30"/>
      <x:c r="Q274" s="30"/>
      <x:c r="R274" s="30"/>
      <x:c r="S274" s="30"/>
      <x:c r="T274" s="30"/>
      <x:c r="U274" s="30"/>
      <x:c r="V274" s="30"/>
      <x:c r="W274" s="30"/>
    </x:row>
    <x:row r="275">
      <x:c r="J275" s="30"/>
      <x:c r="K275" s="30"/>
      <x:c r="L275" s="32"/>
      <x:c r="M275" s="32"/>
      <x:c r="N275" s="32"/>
      <x:c r="O275" s="32"/>
      <x:c r="P275" s="30"/>
      <x:c r="Q275" s="30"/>
      <x:c r="R275" s="30"/>
      <x:c r="S275" s="30"/>
      <x:c r="T275" s="30"/>
      <x:c r="U275" s="30"/>
      <x:c r="V275" s="30"/>
      <x:c r="W275" s="30"/>
    </x:row>
    <x:row r="276">
      <x:c r="J276" s="30"/>
      <x:c r="K276" s="30"/>
      <x:c r="L276" s="32"/>
      <x:c r="M276" s="32"/>
      <x:c r="N276" s="32"/>
      <x:c r="O276" s="32"/>
      <x:c r="P276" s="30"/>
      <x:c r="Q276" s="30"/>
      <x:c r="R276" s="30"/>
      <x:c r="S276" s="30"/>
      <x:c r="T276" s="30"/>
      <x:c r="U276" s="30"/>
      <x:c r="V276" s="30"/>
      <x:c r="W276" s="30"/>
    </x:row>
    <x:row r="277">
      <x:c r="J277" s="30"/>
      <x:c r="K277" s="30"/>
      <x:c r="L277" s="32"/>
      <x:c r="M277" s="32"/>
      <x:c r="N277" s="32"/>
      <x:c r="O277" s="32"/>
      <x:c r="P277" s="30"/>
      <x:c r="Q277" s="30"/>
      <x:c r="R277" s="30"/>
      <x:c r="S277" s="30"/>
      <x:c r="T277" s="30"/>
      <x:c r="U277" s="30"/>
      <x:c r="V277" s="30"/>
      <x:c r="W277" s="30"/>
    </x:row>
    <x:row r="278">
      <x:c r="J278" s="30"/>
      <x:c r="K278" s="30"/>
      <x:c r="L278" s="32"/>
      <x:c r="M278" s="32"/>
      <x:c r="N278" s="32"/>
      <x:c r="O278" s="32"/>
      <x:c r="P278" s="30"/>
      <x:c r="Q278" s="30"/>
      <x:c r="R278" s="30"/>
      <x:c r="S278" s="30"/>
      <x:c r="T278" s="30"/>
      <x:c r="U278" s="30"/>
      <x:c r="V278" s="30"/>
      <x:c r="W278" s="30"/>
    </x:row>
    <x:row r="279">
      <x:c r="J279" s="30"/>
      <x:c r="K279" s="30"/>
      <x:c r="L279" s="32"/>
      <x:c r="M279" s="32"/>
      <x:c r="N279" s="32"/>
      <x:c r="O279" s="32"/>
      <x:c r="P279" s="30"/>
      <x:c r="Q279" s="30"/>
      <x:c r="R279" s="30"/>
      <x:c r="S279" s="30"/>
      <x:c r="T279" s="30"/>
      <x:c r="U279" s="30"/>
      <x:c r="V279" s="30"/>
      <x:c r="W279" s="30"/>
    </x:row>
    <x:row r="280">
      <x:c r="J280" s="30"/>
      <x:c r="K280" s="30"/>
      <x:c r="L280" s="32"/>
      <x:c r="M280" s="32"/>
      <x:c r="N280" s="32"/>
      <x:c r="O280" s="32"/>
      <x:c r="P280" s="30"/>
      <x:c r="Q280" s="30"/>
      <x:c r="R280" s="30"/>
      <x:c r="S280" s="30"/>
      <x:c r="T280" s="30"/>
      <x:c r="U280" s="30"/>
      <x:c r="V280" s="30"/>
      <x:c r="W280" s="30"/>
    </x:row>
    <x:row r="281">
      <x:c r="J281" s="30"/>
      <x:c r="K281" s="30"/>
      <x:c r="L281" s="32"/>
      <x:c r="M281" s="32"/>
      <x:c r="N281" s="32"/>
      <x:c r="O281" s="32"/>
      <x:c r="P281" s="30"/>
      <x:c r="Q281" s="30"/>
      <x:c r="R281" s="30"/>
      <x:c r="S281" s="30"/>
      <x:c r="T281" s="30"/>
      <x:c r="U281" s="30"/>
      <x:c r="V281" s="30"/>
      <x:c r="W281" s="30"/>
    </x:row>
    <x:row r="282">
      <x:c r="J282" s="30"/>
      <x:c r="K282" s="30"/>
      <x:c r="L282" s="32"/>
      <x:c r="M282" s="32"/>
      <x:c r="N282" s="32"/>
      <x:c r="O282" s="32"/>
      <x:c r="P282" s="30"/>
      <x:c r="Q282" s="30"/>
      <x:c r="R282" s="30"/>
      <x:c r="S282" s="30"/>
      <x:c r="T282" s="30"/>
      <x:c r="U282" s="30"/>
      <x:c r="V282" s="30"/>
      <x:c r="W282" s="30"/>
    </x:row>
    <x:row r="283">
      <x:c r="J283" s="30"/>
      <x:c r="K283" s="30"/>
      <x:c r="L283" s="32"/>
      <x:c r="M283" s="32"/>
      <x:c r="N283" s="32"/>
      <x:c r="O283" s="32"/>
      <x:c r="P283" s="30"/>
      <x:c r="Q283" s="30"/>
      <x:c r="R283" s="30"/>
      <x:c r="S283" s="30"/>
      <x:c r="T283" s="30"/>
      <x:c r="U283" s="30"/>
      <x:c r="V283" s="30"/>
      <x:c r="W283" s="30"/>
    </x:row>
    <x:row r="284">
      <x:c r="J284" s="30"/>
      <x:c r="K284" s="30"/>
      <x:c r="L284" s="32"/>
      <x:c r="M284" s="32"/>
      <x:c r="N284" s="32"/>
      <x:c r="O284" s="32"/>
      <x:c r="P284" s="30"/>
      <x:c r="Q284" s="30"/>
      <x:c r="R284" s="30"/>
      <x:c r="S284" s="30"/>
      <x:c r="T284" s="30"/>
      <x:c r="U284" s="30"/>
      <x:c r="V284" s="30"/>
      <x:c r="W284" s="30"/>
    </x:row>
    <x:row r="285">
      <x:c r="J285" s="30"/>
      <x:c r="K285" s="30"/>
      <x:c r="L285" s="32"/>
      <x:c r="M285" s="32"/>
      <x:c r="N285" s="32"/>
      <x:c r="O285" s="32"/>
      <x:c r="P285" s="30"/>
      <x:c r="Q285" s="30"/>
      <x:c r="R285" s="30"/>
      <x:c r="S285" s="30"/>
      <x:c r="T285" s="30"/>
      <x:c r="U285" s="30"/>
      <x:c r="V285" s="30"/>
      <x:c r="W285" s="30"/>
    </x:row>
    <x:row r="286">
      <x:c r="J286" s="30"/>
      <x:c r="K286" s="30"/>
      <x:c r="L286" s="32"/>
      <x:c r="M286" s="32"/>
      <x:c r="N286" s="32"/>
      <x:c r="O286" s="32"/>
      <x:c r="P286" s="30"/>
      <x:c r="Q286" s="30"/>
      <x:c r="R286" s="30"/>
      <x:c r="S286" s="30"/>
      <x:c r="T286" s="30"/>
      <x:c r="U286" s="30"/>
      <x:c r="V286" s="30"/>
      <x:c r="W286" s="30"/>
    </x:row>
    <x:row r="287">
      <x:c r="J287" s="30"/>
      <x:c r="K287" s="30"/>
      <x:c r="L287" s="32"/>
      <x:c r="M287" s="32"/>
      <x:c r="N287" s="32"/>
      <x:c r="O287" s="32"/>
      <x:c r="P287" s="30"/>
      <x:c r="Q287" s="30"/>
      <x:c r="R287" s="30"/>
      <x:c r="S287" s="30"/>
      <x:c r="T287" s="30"/>
      <x:c r="U287" s="30"/>
      <x:c r="V287" s="30"/>
      <x:c r="W287" s="30"/>
    </x:row>
    <x:row r="288">
      <x:c r="J288" s="30"/>
      <x:c r="K288" s="30"/>
      <x:c r="L288" s="32"/>
      <x:c r="M288" s="32"/>
      <x:c r="N288" s="32"/>
      <x:c r="O288" s="32"/>
      <x:c r="P288" s="30"/>
      <x:c r="Q288" s="30"/>
      <x:c r="R288" s="30"/>
      <x:c r="S288" s="30"/>
      <x:c r="T288" s="30"/>
      <x:c r="U288" s="30"/>
      <x:c r="V288" s="30"/>
      <x:c r="W288" s="30"/>
    </x:row>
    <x:row r="289">
      <x:c r="J289" s="30"/>
      <x:c r="K289" s="30"/>
      <x:c r="L289" s="32"/>
      <x:c r="M289" s="32"/>
      <x:c r="N289" s="32"/>
      <x:c r="O289" s="32"/>
      <x:c r="P289" s="30"/>
      <x:c r="Q289" s="30"/>
      <x:c r="R289" s="30"/>
      <x:c r="S289" s="30"/>
      <x:c r="T289" s="30"/>
      <x:c r="U289" s="30"/>
      <x:c r="V289" s="30"/>
      <x:c r="W289" s="30"/>
    </x:row>
    <x:row r="290">
      <x:c r="J290" s="30"/>
      <x:c r="K290" s="30"/>
      <x:c r="L290" s="32"/>
      <x:c r="M290" s="32"/>
      <x:c r="N290" s="32"/>
      <x:c r="O290" s="32"/>
      <x:c r="P290" s="30"/>
      <x:c r="Q290" s="30"/>
      <x:c r="R290" s="30"/>
      <x:c r="S290" s="30"/>
      <x:c r="T290" s="30"/>
      <x:c r="U290" s="30"/>
      <x:c r="V290" s="30"/>
      <x:c r="W290" s="30"/>
    </x:row>
    <x:row r="291">
      <x:c r="J291" s="30"/>
      <x:c r="K291" s="30"/>
      <x:c r="L291" s="32"/>
      <x:c r="M291" s="32"/>
      <x:c r="N291" s="32"/>
      <x:c r="O291" s="32"/>
      <x:c r="P291" s="30"/>
      <x:c r="Q291" s="30"/>
      <x:c r="R291" s="30"/>
      <x:c r="S291" s="30"/>
      <x:c r="T291" s="30"/>
      <x:c r="U291" s="30"/>
      <x:c r="V291" s="30"/>
      <x:c r="W291" s="30"/>
    </x:row>
    <x:row r="292">
      <x:c r="J292" s="30"/>
      <x:c r="K292" s="30"/>
      <x:c r="L292" s="32"/>
      <x:c r="M292" s="32"/>
      <x:c r="N292" s="32"/>
      <x:c r="O292" s="32"/>
      <x:c r="P292" s="30"/>
      <x:c r="Q292" s="30"/>
      <x:c r="R292" s="30"/>
      <x:c r="S292" s="30"/>
      <x:c r="T292" s="30"/>
      <x:c r="U292" s="30"/>
      <x:c r="V292" s="30"/>
      <x:c r="W292" s="30"/>
    </x:row>
    <x:row r="293">
      <x:c r="J293" s="30"/>
      <x:c r="K293" s="30"/>
      <x:c r="L293" s="32"/>
      <x:c r="M293" s="32"/>
      <x:c r="N293" s="32"/>
      <x:c r="O293" s="32"/>
      <x:c r="P293" s="30"/>
      <x:c r="Q293" s="30"/>
      <x:c r="R293" s="30"/>
      <x:c r="S293" s="30"/>
      <x:c r="T293" s="30"/>
      <x:c r="U293" s="30"/>
      <x:c r="V293" s="30"/>
      <x:c r="W293" s="30"/>
    </x:row>
    <x:row r="294">
      <x:c r="J294" s="30"/>
      <x:c r="K294" s="30"/>
      <x:c r="L294" s="32"/>
      <x:c r="M294" s="32"/>
      <x:c r="N294" s="32"/>
      <x:c r="O294" s="32"/>
      <x:c r="P294" s="30"/>
      <x:c r="Q294" s="30"/>
      <x:c r="R294" s="30"/>
      <x:c r="S294" s="30"/>
      <x:c r="T294" s="30"/>
      <x:c r="U294" s="30"/>
      <x:c r="V294" s="30"/>
      <x:c r="W294" s="30"/>
    </x:row>
    <x:row r="295">
      <x:c r="J295" s="30"/>
      <x:c r="K295" s="30"/>
      <x:c r="L295" s="32"/>
      <x:c r="M295" s="32"/>
      <x:c r="N295" s="32"/>
      <x:c r="O295" s="32"/>
      <x:c r="P295" s="30"/>
      <x:c r="Q295" s="30"/>
      <x:c r="R295" s="30"/>
      <x:c r="S295" s="30"/>
      <x:c r="T295" s="30"/>
      <x:c r="U295" s="30"/>
      <x:c r="V295" s="30"/>
      <x:c r="W295" s="30"/>
    </x:row>
    <x:row r="296">
      <x:c r="J296" s="30"/>
      <x:c r="K296" s="30"/>
      <x:c r="L296" s="32"/>
      <x:c r="M296" s="32"/>
      <x:c r="N296" s="32"/>
      <x:c r="O296" s="32"/>
      <x:c r="P296" s="30"/>
      <x:c r="Q296" s="30"/>
      <x:c r="R296" s="30"/>
      <x:c r="S296" s="30"/>
      <x:c r="T296" s="30"/>
      <x:c r="U296" s="30"/>
      <x:c r="V296" s="30"/>
      <x:c r="W296" s="30"/>
    </x:row>
    <x:row r="297">
      <x:c r="J297" s="30"/>
      <x:c r="K297" s="30"/>
      <x:c r="L297" s="32"/>
      <x:c r="M297" s="32"/>
      <x:c r="N297" s="32"/>
      <x:c r="O297" s="32"/>
      <x:c r="P297" s="30"/>
      <x:c r="Q297" s="30"/>
      <x:c r="R297" s="30"/>
      <x:c r="S297" s="30"/>
      <x:c r="T297" s="30"/>
      <x:c r="U297" s="30"/>
      <x:c r="V297" s="30"/>
      <x:c r="W297" s="30"/>
    </x:row>
    <x:row r="298">
      <x:c r="J298" s="30"/>
      <x:c r="K298" s="30"/>
      <x:c r="L298" s="32"/>
      <x:c r="M298" s="32"/>
      <x:c r="N298" s="32"/>
      <x:c r="O298" s="32"/>
      <x:c r="P298" s="30"/>
      <x:c r="Q298" s="30"/>
      <x:c r="R298" s="30"/>
      <x:c r="S298" s="30"/>
      <x:c r="T298" s="30"/>
      <x:c r="U298" s="30"/>
      <x:c r="V298" s="30"/>
      <x:c r="W298" s="30"/>
    </x:row>
    <x:row r="299">
      <x:c r="J299" s="30"/>
      <x:c r="K299" s="30"/>
      <x:c r="L299" s="32"/>
      <x:c r="M299" s="32"/>
      <x:c r="N299" s="32"/>
      <x:c r="O299" s="32"/>
      <x:c r="P299" s="30"/>
      <x:c r="Q299" s="30"/>
      <x:c r="R299" s="30"/>
      <x:c r="S299" s="30"/>
      <x:c r="T299" s="30"/>
      <x:c r="U299" s="30"/>
      <x:c r="V299" s="30"/>
      <x:c r="W299" s="30"/>
    </x:row>
    <x:row r="300">
      <x:c r="J300" s="30"/>
      <x:c r="K300" s="30"/>
      <x:c r="L300" s="32"/>
      <x:c r="M300" s="32"/>
      <x:c r="N300" s="32"/>
      <x:c r="O300" s="32"/>
      <x:c r="P300" s="30"/>
      <x:c r="Q300" s="30"/>
      <x:c r="R300" s="30"/>
      <x:c r="S300" s="30"/>
      <x:c r="T300" s="30"/>
      <x:c r="U300" s="30"/>
      <x:c r="V300" s="30"/>
      <x:c r="W300" s="30"/>
    </x:row>
    <x:row r="301">
      <x:c r="J301" s="30"/>
      <x:c r="K301" s="30"/>
      <x:c r="L301" s="32"/>
      <x:c r="M301" s="32"/>
      <x:c r="N301" s="32"/>
      <x:c r="O301" s="32"/>
      <x:c r="P301" s="30"/>
      <x:c r="Q301" s="30"/>
      <x:c r="R301" s="30"/>
      <x:c r="S301" s="30"/>
      <x:c r="T301" s="30"/>
      <x:c r="U301" s="30"/>
      <x:c r="V301" s="30"/>
      <x:c r="W301" s="30"/>
    </x:row>
    <x:row r="302">
      <x:c r="J302" s="30"/>
      <x:c r="K302" s="30"/>
      <x:c r="L302" s="32"/>
      <x:c r="M302" s="32"/>
      <x:c r="N302" s="32"/>
      <x:c r="O302" s="32"/>
      <x:c r="P302" s="30"/>
      <x:c r="Q302" s="30"/>
      <x:c r="R302" s="30"/>
      <x:c r="S302" s="30"/>
      <x:c r="T302" s="30"/>
      <x:c r="U302" s="30"/>
      <x:c r="V302" s="30"/>
      <x:c r="W302" s="30"/>
    </x:row>
    <x:row r="303">
      <x:c r="J303" s="30"/>
      <x:c r="K303" s="30"/>
      <x:c r="L303" s="32"/>
      <x:c r="M303" s="32"/>
      <x:c r="N303" s="32"/>
      <x:c r="O303" s="32"/>
      <x:c r="P303" s="30"/>
      <x:c r="Q303" s="30"/>
      <x:c r="R303" s="30"/>
      <x:c r="S303" s="30"/>
      <x:c r="T303" s="30"/>
      <x:c r="U303" s="30"/>
      <x:c r="V303" s="30"/>
      <x:c r="W303" s="30"/>
    </x:row>
    <x:row r="304">
      <x:c r="J304" s="30"/>
      <x:c r="K304" s="30"/>
      <x:c r="L304" s="32"/>
      <x:c r="M304" s="32"/>
      <x:c r="N304" s="32"/>
      <x:c r="O304" s="32"/>
      <x:c r="P304" s="30"/>
      <x:c r="Q304" s="30"/>
      <x:c r="R304" s="30"/>
      <x:c r="S304" s="30"/>
      <x:c r="T304" s="30"/>
      <x:c r="U304" s="30"/>
      <x:c r="V304" s="30"/>
      <x:c r="W304" s="30"/>
    </x:row>
    <x:row r="305">
      <x:c r="J305" s="30"/>
      <x:c r="K305" s="30"/>
      <x:c r="L305" s="32"/>
      <x:c r="M305" s="32"/>
      <x:c r="N305" s="32"/>
      <x:c r="O305" s="32"/>
      <x:c r="P305" s="30"/>
      <x:c r="Q305" s="30"/>
      <x:c r="R305" s="30"/>
      <x:c r="S305" s="30"/>
      <x:c r="T305" s="30"/>
      <x:c r="U305" s="30"/>
      <x:c r="V305" s="30"/>
      <x:c r="W305" s="30"/>
    </x:row>
    <x:row r="306">
      <x:c r="J306" s="30"/>
      <x:c r="K306" s="30"/>
      <x:c r="L306" s="32"/>
      <x:c r="M306" s="32"/>
      <x:c r="N306" s="32"/>
      <x:c r="O306" s="32"/>
      <x:c r="P306" s="30"/>
      <x:c r="Q306" s="30"/>
      <x:c r="R306" s="30"/>
      <x:c r="S306" s="30"/>
      <x:c r="T306" s="30"/>
      <x:c r="U306" s="30"/>
      <x:c r="V306" s="30"/>
      <x:c r="W306" s="30"/>
    </x:row>
    <x:row r="307">
      <x:c r="J307" s="30"/>
      <x:c r="K307" s="30"/>
      <x:c r="L307" s="32"/>
      <x:c r="M307" s="32"/>
      <x:c r="N307" s="32"/>
      <x:c r="O307" s="32"/>
      <x:c r="P307" s="30"/>
      <x:c r="Q307" s="30"/>
      <x:c r="R307" s="30"/>
      <x:c r="S307" s="30"/>
      <x:c r="T307" s="30"/>
      <x:c r="U307" s="30"/>
      <x:c r="V307" s="30"/>
      <x:c r="W307" s="30"/>
    </x:row>
    <x:row r="308">
      <x:c r="J308" s="30"/>
      <x:c r="K308" s="30"/>
      <x:c r="L308" s="32"/>
      <x:c r="M308" s="32"/>
      <x:c r="N308" s="32"/>
      <x:c r="O308" s="32"/>
      <x:c r="P308" s="30"/>
      <x:c r="Q308" s="30"/>
      <x:c r="R308" s="30"/>
      <x:c r="S308" s="30"/>
      <x:c r="T308" s="30"/>
      <x:c r="U308" s="30"/>
      <x:c r="V308" s="30"/>
      <x:c r="W308" s="30"/>
    </x:row>
    <x:row r="309">
      <x:c r="J309" s="30"/>
      <x:c r="K309" s="30"/>
      <x:c r="L309" s="32"/>
      <x:c r="M309" s="32"/>
      <x:c r="N309" s="32"/>
      <x:c r="O309" s="32"/>
      <x:c r="P309" s="30"/>
      <x:c r="Q309" s="30"/>
      <x:c r="R309" s="30"/>
      <x:c r="S309" s="30"/>
      <x:c r="T309" s="30"/>
      <x:c r="U309" s="30"/>
      <x:c r="V309" s="30"/>
      <x:c r="W309" s="30"/>
    </x:row>
    <x:row r="310">
      <x:c r="J310" s="30"/>
      <x:c r="K310" s="30"/>
      <x:c r="L310" s="32"/>
      <x:c r="M310" s="32"/>
      <x:c r="N310" s="32"/>
      <x:c r="O310" s="32"/>
      <x:c r="P310" s="30"/>
      <x:c r="Q310" s="30"/>
      <x:c r="R310" s="30"/>
      <x:c r="S310" s="30"/>
      <x:c r="T310" s="30"/>
      <x:c r="U310" s="30"/>
      <x:c r="V310" s="30"/>
      <x:c r="W310" s="30"/>
    </x:row>
    <x:row r="311">
      <x:c r="J311" s="30"/>
      <x:c r="K311" s="30"/>
      <x:c r="L311" s="32"/>
      <x:c r="M311" s="32"/>
      <x:c r="N311" s="32"/>
      <x:c r="O311" s="32"/>
      <x:c r="P311" s="30"/>
      <x:c r="Q311" s="30"/>
      <x:c r="R311" s="30"/>
      <x:c r="S311" s="30"/>
      <x:c r="T311" s="30"/>
      <x:c r="U311" s="30"/>
      <x:c r="V311" s="30"/>
      <x:c r="W311" s="30"/>
    </x:row>
    <x:row r="312">
      <x:c r="J312" s="30"/>
      <x:c r="K312" s="30"/>
      <x:c r="L312" s="32"/>
      <x:c r="M312" s="32"/>
      <x:c r="N312" s="32"/>
      <x:c r="O312" s="32"/>
      <x:c r="P312" s="30"/>
      <x:c r="Q312" s="30"/>
      <x:c r="R312" s="30"/>
      <x:c r="S312" s="30"/>
      <x:c r="T312" s="30"/>
      <x:c r="U312" s="30"/>
      <x:c r="V312" s="30"/>
      <x:c r="W312" s="30"/>
    </x:row>
    <x:row r="313">
      <x:c r="J313" s="30"/>
      <x:c r="K313" s="30"/>
      <x:c r="L313" s="32"/>
      <x:c r="M313" s="32"/>
      <x:c r="N313" s="32"/>
      <x:c r="O313" s="32"/>
      <x:c r="P313" s="30"/>
      <x:c r="Q313" s="30"/>
      <x:c r="R313" s="30"/>
      <x:c r="S313" s="30"/>
      <x:c r="T313" s="30"/>
      <x:c r="U313" s="30"/>
      <x:c r="V313" s="30"/>
      <x:c r="W313" s="30"/>
    </x:row>
    <x:row r="314">
      <x:c r="J314" s="30"/>
      <x:c r="K314" s="30"/>
      <x:c r="L314" s="32"/>
      <x:c r="M314" s="32"/>
      <x:c r="N314" s="32"/>
      <x:c r="O314" s="32"/>
      <x:c r="P314" s="30"/>
      <x:c r="Q314" s="30"/>
      <x:c r="R314" s="30"/>
      <x:c r="S314" s="30"/>
      <x:c r="T314" s="30"/>
      <x:c r="U314" s="30"/>
      <x:c r="V314" s="30"/>
      <x:c r="W314" s="30"/>
    </x:row>
    <x:row r="315">
      <x:c r="J315" s="30"/>
      <x:c r="K315" s="30"/>
      <x:c r="L315" s="32"/>
      <x:c r="M315" s="32"/>
      <x:c r="N315" s="32"/>
      <x:c r="O315" s="32"/>
      <x:c r="P315" s="30"/>
      <x:c r="Q315" s="30"/>
      <x:c r="R315" s="30"/>
      <x:c r="S315" s="30"/>
      <x:c r="T315" s="30"/>
      <x:c r="U315" s="30"/>
      <x:c r="V315" s="30"/>
      <x:c r="W315" s="30"/>
    </x:row>
    <x:row r="316">
      <x:c r="J316" s="30"/>
      <x:c r="K316" s="30"/>
      <x:c r="L316" s="32"/>
      <x:c r="M316" s="32"/>
      <x:c r="N316" s="32"/>
      <x:c r="O316" s="32"/>
      <x:c r="P316" s="30"/>
      <x:c r="Q316" s="30"/>
      <x:c r="R316" s="30"/>
      <x:c r="S316" s="30"/>
      <x:c r="T316" s="30"/>
      <x:c r="U316" s="30"/>
      <x:c r="V316" s="30"/>
      <x:c r="W316" s="30"/>
    </x:row>
    <x:row r="317">
      <x:c r="J317" s="30"/>
      <x:c r="K317" s="30"/>
      <x:c r="L317" s="32"/>
      <x:c r="M317" s="32"/>
      <x:c r="N317" s="32"/>
      <x:c r="O317" s="32"/>
      <x:c r="P317" s="30"/>
      <x:c r="Q317" s="30"/>
      <x:c r="R317" s="30"/>
      <x:c r="S317" s="30"/>
      <x:c r="T317" s="30"/>
      <x:c r="U317" s="30"/>
      <x:c r="V317" s="30"/>
      <x:c r="W317" s="30"/>
    </x:row>
    <x:row r="318">
      <x:c r="J318" s="30"/>
      <x:c r="K318" s="30"/>
      <x:c r="L318" s="32"/>
      <x:c r="M318" s="32"/>
      <x:c r="N318" s="32"/>
      <x:c r="O318" s="32"/>
      <x:c r="P318" s="30"/>
      <x:c r="Q318" s="30"/>
      <x:c r="R318" s="30"/>
      <x:c r="S318" s="30"/>
      <x:c r="T318" s="30"/>
      <x:c r="U318" s="30"/>
      <x:c r="V318" s="30"/>
      <x:c r="W318" s="30"/>
    </x:row>
    <x:row r="319">
      <x:c r="J319" s="30"/>
      <x:c r="K319" s="30"/>
      <x:c r="L319" s="32"/>
      <x:c r="M319" s="32"/>
      <x:c r="N319" s="32"/>
      <x:c r="O319" s="32"/>
      <x:c r="P319" s="30"/>
      <x:c r="Q319" s="30"/>
      <x:c r="R319" s="30"/>
      <x:c r="S319" s="30"/>
      <x:c r="T319" s="30"/>
      <x:c r="U319" s="30"/>
      <x:c r="V319" s="30"/>
      <x:c r="W319" s="30"/>
    </x:row>
    <x:row r="320">
      <x:c r="J320" s="30"/>
      <x:c r="K320" s="30"/>
      <x:c r="L320" s="32"/>
      <x:c r="M320" s="32"/>
      <x:c r="N320" s="32"/>
      <x:c r="O320" s="32"/>
      <x:c r="P320" s="30"/>
      <x:c r="Q320" s="30"/>
      <x:c r="R320" s="30"/>
      <x:c r="S320" s="30"/>
      <x:c r="T320" s="30"/>
      <x:c r="U320" s="30"/>
      <x:c r="V320" s="30"/>
      <x:c r="W320" s="30"/>
    </x:row>
    <x:row r="321">
      <x:c r="J321" s="30"/>
      <x:c r="K321" s="30"/>
      <x:c r="L321" s="32"/>
      <x:c r="M321" s="32"/>
      <x:c r="N321" s="32"/>
      <x:c r="O321" s="32"/>
      <x:c r="P321" s="30"/>
      <x:c r="Q321" s="30"/>
      <x:c r="R321" s="30"/>
      <x:c r="S321" s="30"/>
      <x:c r="T321" s="30"/>
      <x:c r="U321" s="30"/>
      <x:c r="V321" s="30"/>
      <x:c r="W321" s="30"/>
    </x:row>
    <x:row r="322">
      <x:c r="J322" s="30"/>
      <x:c r="K322" s="30"/>
      <x:c r="L322" s="32"/>
      <x:c r="M322" s="32"/>
      <x:c r="N322" s="32"/>
      <x:c r="O322" s="32"/>
      <x:c r="P322" s="30"/>
      <x:c r="Q322" s="30"/>
      <x:c r="R322" s="30"/>
      <x:c r="S322" s="30"/>
      <x:c r="T322" s="30"/>
      <x:c r="U322" s="30"/>
      <x:c r="V322" s="30"/>
      <x:c r="W322" s="30"/>
    </x:row>
    <x:row r="323">
      <x:c r="J323" s="30"/>
      <x:c r="K323" s="30"/>
      <x:c r="L323" s="32"/>
      <x:c r="M323" s="32"/>
      <x:c r="N323" s="32"/>
      <x:c r="O323" s="32"/>
      <x:c r="P323" s="30"/>
      <x:c r="Q323" s="30"/>
      <x:c r="R323" s="30"/>
      <x:c r="S323" s="30"/>
      <x:c r="T323" s="30"/>
      <x:c r="U323" s="30"/>
      <x:c r="V323" s="30"/>
      <x:c r="W323" s="30"/>
    </x:row>
    <x:row r="324">
      <x:c r="J324" s="30"/>
      <x:c r="K324" s="30"/>
      <x:c r="L324" s="32"/>
      <x:c r="M324" s="32"/>
      <x:c r="N324" s="32"/>
      <x:c r="O324" s="32"/>
      <x:c r="P324" s="30"/>
      <x:c r="Q324" s="30"/>
      <x:c r="R324" s="30"/>
      <x:c r="S324" s="30"/>
      <x:c r="T324" s="30"/>
      <x:c r="U324" s="30"/>
      <x:c r="V324" s="30"/>
      <x:c r="W324" s="30"/>
    </x:row>
    <x:row r="325">
      <x:c r="J325" s="30"/>
      <x:c r="K325" s="30"/>
      <x:c r="L325" s="32"/>
      <x:c r="M325" s="32"/>
      <x:c r="N325" s="32"/>
      <x:c r="O325" s="32"/>
      <x:c r="P325" s="30"/>
      <x:c r="Q325" s="30"/>
      <x:c r="R325" s="30"/>
      <x:c r="S325" s="30"/>
      <x:c r="T325" s="30"/>
      <x:c r="U325" s="30"/>
      <x:c r="V325" s="30"/>
      <x:c r="W325" s="30"/>
    </x:row>
    <x:row r="326">
      <x:c r="J326" s="30"/>
      <x:c r="K326" s="30"/>
      <x:c r="L326" s="32"/>
      <x:c r="M326" s="32"/>
      <x:c r="N326" s="32"/>
      <x:c r="O326" s="32"/>
      <x:c r="P326" s="30"/>
      <x:c r="Q326" s="30"/>
      <x:c r="R326" s="30"/>
      <x:c r="S326" s="30"/>
      <x:c r="T326" s="30"/>
      <x:c r="U326" s="30"/>
      <x:c r="V326" s="30"/>
      <x:c r="W326" s="30"/>
    </x:row>
    <x:row r="327">
      <x:c r="J327" s="30"/>
      <x:c r="K327" s="30"/>
      <x:c r="L327" s="32"/>
      <x:c r="M327" s="32"/>
      <x:c r="N327" s="32"/>
      <x:c r="O327" s="32"/>
      <x:c r="P327" s="30"/>
      <x:c r="Q327" s="30"/>
      <x:c r="R327" s="30"/>
      <x:c r="S327" s="30"/>
      <x:c r="T327" s="30"/>
      <x:c r="U327" s="30"/>
      <x:c r="V327" s="30"/>
      <x:c r="W327" s="30"/>
    </x:row>
    <x:row r="328">
      <x:c r="J328" s="30"/>
      <x:c r="K328" s="30"/>
      <x:c r="L328" s="32"/>
      <x:c r="M328" s="32"/>
      <x:c r="N328" s="32"/>
      <x:c r="O328" s="32"/>
      <x:c r="P328" s="30"/>
      <x:c r="Q328" s="30"/>
      <x:c r="R328" s="30"/>
      <x:c r="S328" s="30"/>
      <x:c r="T328" s="30"/>
      <x:c r="U328" s="30"/>
      <x:c r="V328" s="30"/>
      <x:c r="W328" s="30"/>
    </x:row>
    <x:row r="329">
      <x:c r="J329" s="30"/>
      <x:c r="K329" s="30"/>
      <x:c r="L329" s="32"/>
      <x:c r="M329" s="32"/>
      <x:c r="N329" s="32"/>
      <x:c r="O329" s="32"/>
      <x:c r="P329" s="30"/>
      <x:c r="Q329" s="30"/>
      <x:c r="R329" s="30"/>
      <x:c r="S329" s="30"/>
      <x:c r="T329" s="30"/>
      <x:c r="U329" s="30"/>
      <x:c r="V329" s="30"/>
      <x:c r="W329" s="30"/>
    </x:row>
    <x:row r="330">
      <x:c r="J330" s="30"/>
      <x:c r="K330" s="30"/>
      <x:c r="L330" s="32"/>
      <x:c r="M330" s="32"/>
      <x:c r="N330" s="32"/>
      <x:c r="O330" s="32"/>
      <x:c r="P330" s="30"/>
      <x:c r="Q330" s="30"/>
      <x:c r="R330" s="30"/>
      <x:c r="S330" s="30"/>
      <x:c r="T330" s="30"/>
      <x:c r="U330" s="30"/>
      <x:c r="V330" s="30"/>
      <x:c r="W330" s="30"/>
    </x:row>
    <x:row r="331">
      <x:c r="J331" s="30"/>
      <x:c r="K331" s="30"/>
      <x:c r="L331" s="32"/>
      <x:c r="M331" s="32"/>
      <x:c r="N331" s="32"/>
      <x:c r="O331" s="32"/>
      <x:c r="P331" s="30"/>
      <x:c r="Q331" s="30"/>
      <x:c r="R331" s="30"/>
      <x:c r="S331" s="30"/>
      <x:c r="T331" s="30"/>
      <x:c r="U331" s="30"/>
      <x:c r="V331" s="30"/>
      <x:c r="W331" s="30"/>
    </x:row>
    <x:row r="332">
      <x:c r="J332" s="30"/>
      <x:c r="K332" s="30"/>
      <x:c r="L332" s="32"/>
      <x:c r="M332" s="32"/>
      <x:c r="N332" s="32"/>
      <x:c r="O332" s="32"/>
      <x:c r="P332" s="30"/>
      <x:c r="Q332" s="30"/>
      <x:c r="R332" s="30"/>
      <x:c r="S332" s="30"/>
      <x:c r="T332" s="30"/>
      <x:c r="U332" s="30"/>
      <x:c r="V332" s="30"/>
      <x:c r="W332" s="30"/>
    </x:row>
    <x:row r="333">
      <x:c r="J333" s="30"/>
      <x:c r="K333" s="30"/>
      <x:c r="L333" s="32"/>
      <x:c r="M333" s="32"/>
      <x:c r="N333" s="32"/>
      <x:c r="O333" s="32"/>
      <x:c r="P333" s="30"/>
      <x:c r="Q333" s="30"/>
      <x:c r="R333" s="30"/>
      <x:c r="S333" s="30"/>
      <x:c r="T333" s="30"/>
      <x:c r="U333" s="30"/>
      <x:c r="V333" s="30"/>
      <x:c r="W333" s="30"/>
    </x:row>
    <x:row r="334">
      <x:c r="J334" s="30"/>
      <x:c r="K334" s="30"/>
      <x:c r="L334" s="32"/>
      <x:c r="M334" s="32"/>
      <x:c r="N334" s="32"/>
      <x:c r="O334" s="32"/>
      <x:c r="P334" s="30"/>
      <x:c r="Q334" s="30"/>
      <x:c r="R334" s="30"/>
      <x:c r="S334" s="30"/>
      <x:c r="T334" s="30"/>
      <x:c r="U334" s="30"/>
      <x:c r="V334" s="30"/>
      <x:c r="W334" s="30"/>
    </x:row>
    <x:row r="335">
      <x:c r="J335" s="30"/>
      <x:c r="K335" s="30"/>
      <x:c r="L335" s="32"/>
      <x:c r="M335" s="32"/>
      <x:c r="N335" s="32"/>
      <x:c r="O335" s="32"/>
      <x:c r="P335" s="30"/>
      <x:c r="Q335" s="30"/>
      <x:c r="R335" s="30"/>
      <x:c r="S335" s="30"/>
      <x:c r="T335" s="30"/>
      <x:c r="U335" s="30"/>
      <x:c r="V335" s="30"/>
      <x:c r="W335" s="30"/>
    </x:row>
    <x:row r="336">
      <x:c r="J336" s="30"/>
      <x:c r="K336" s="30"/>
      <x:c r="L336" s="32"/>
      <x:c r="M336" s="32"/>
      <x:c r="N336" s="32"/>
      <x:c r="O336" s="32"/>
      <x:c r="P336" s="30"/>
      <x:c r="Q336" s="30"/>
      <x:c r="R336" s="30"/>
      <x:c r="S336" s="30"/>
      <x:c r="T336" s="30"/>
      <x:c r="U336" s="30"/>
      <x:c r="V336" s="30"/>
      <x:c r="W336" s="30"/>
    </x:row>
    <x:row r="337">
      <x:c r="J337" s="30"/>
      <x:c r="K337" s="30"/>
      <x:c r="L337" s="32"/>
      <x:c r="M337" s="32"/>
      <x:c r="N337" s="32"/>
      <x:c r="O337" s="32"/>
      <x:c r="P337" s="30"/>
      <x:c r="Q337" s="30"/>
      <x:c r="R337" s="30"/>
      <x:c r="S337" s="30"/>
      <x:c r="T337" s="30"/>
      <x:c r="U337" s="30"/>
      <x:c r="V337" s="30"/>
      <x:c r="W337" s="30"/>
    </x:row>
    <x:row r="338">
      <x:c r="J338" s="30"/>
      <x:c r="K338" s="30"/>
      <x:c r="L338" s="32"/>
      <x:c r="M338" s="32"/>
      <x:c r="N338" s="32"/>
      <x:c r="O338" s="32"/>
      <x:c r="P338" s="30"/>
      <x:c r="Q338" s="30"/>
      <x:c r="R338" s="30"/>
      <x:c r="S338" s="30"/>
      <x:c r="T338" s="30"/>
      <x:c r="U338" s="30"/>
      <x:c r="V338" s="30"/>
      <x:c r="W338" s="30"/>
    </x:row>
    <x:row r="339">
      <x:c r="J339" s="30"/>
      <x:c r="K339" s="30"/>
      <x:c r="L339" s="32"/>
      <x:c r="M339" s="32"/>
      <x:c r="N339" s="32"/>
      <x:c r="O339" s="32"/>
      <x:c r="P339" s="30"/>
      <x:c r="Q339" s="30"/>
      <x:c r="R339" s="30"/>
      <x:c r="S339" s="30"/>
      <x:c r="T339" s="30"/>
      <x:c r="U339" s="30"/>
      <x:c r="V339" s="30"/>
      <x:c r="W339" s="30"/>
    </x:row>
    <x:row r="340">
      <x:c r="J340" s="30"/>
      <x:c r="K340" s="30"/>
      <x:c r="L340" s="32"/>
      <x:c r="M340" s="32"/>
      <x:c r="N340" s="32"/>
      <x:c r="O340" s="32"/>
      <x:c r="P340" s="30"/>
      <x:c r="Q340" s="30"/>
      <x:c r="R340" s="30"/>
      <x:c r="S340" s="30"/>
      <x:c r="T340" s="30"/>
      <x:c r="U340" s="30"/>
      <x:c r="V340" s="30"/>
      <x:c r="W340" s="30"/>
    </x:row>
    <x:row r="341">
      <x:c r="J341" s="30"/>
      <x:c r="K341" s="30"/>
      <x:c r="L341" s="32"/>
      <x:c r="M341" s="32"/>
      <x:c r="N341" s="32"/>
      <x:c r="O341" s="32"/>
      <x:c r="P341" s="30"/>
      <x:c r="Q341" s="30"/>
      <x:c r="R341" s="30"/>
      <x:c r="S341" s="30"/>
      <x:c r="T341" s="30"/>
      <x:c r="U341" s="30"/>
      <x:c r="V341" s="30"/>
      <x:c r="W341" s="30"/>
    </x:row>
    <x:row r="342">
      <x:c r="J342" s="30"/>
      <x:c r="K342" s="30"/>
      <x:c r="L342" s="32"/>
      <x:c r="M342" s="32"/>
      <x:c r="N342" s="32"/>
      <x:c r="O342" s="32"/>
      <x:c r="P342" s="30"/>
      <x:c r="Q342" s="30"/>
      <x:c r="R342" s="30"/>
      <x:c r="S342" s="30"/>
      <x:c r="T342" s="30"/>
      <x:c r="U342" s="30"/>
      <x:c r="V342" s="30"/>
      <x:c r="W342" s="30"/>
    </x:row>
    <x:row r="343">
      <x:c r="J343" s="30"/>
      <x:c r="K343" s="30"/>
      <x:c r="L343" s="32"/>
      <x:c r="M343" s="32"/>
      <x:c r="N343" s="32"/>
      <x:c r="O343" s="32"/>
      <x:c r="P343" s="30"/>
      <x:c r="Q343" s="30"/>
      <x:c r="R343" s="30"/>
      <x:c r="S343" s="30"/>
      <x:c r="T343" s="30"/>
      <x:c r="U343" s="30"/>
      <x:c r="V343" s="30"/>
      <x:c r="W343" s="30"/>
    </x:row>
    <x:row r="344">
      <x:c r="J344" s="30"/>
      <x:c r="K344" s="30"/>
      <x:c r="L344" s="32"/>
      <x:c r="M344" s="32"/>
      <x:c r="N344" s="32"/>
      <x:c r="O344" s="32"/>
      <x:c r="P344" s="30"/>
      <x:c r="Q344" s="30"/>
      <x:c r="R344" s="30"/>
      <x:c r="S344" s="30"/>
      <x:c r="T344" s="30"/>
      <x:c r="U344" s="30"/>
      <x:c r="V344" s="30"/>
      <x:c r="W344" s="30"/>
    </x:row>
    <x:row r="345">
      <x:c r="J345" s="30"/>
      <x:c r="K345" s="30"/>
      <x:c r="L345" s="32"/>
      <x:c r="M345" s="32"/>
      <x:c r="N345" s="32"/>
      <x:c r="O345" s="32"/>
      <x:c r="P345" s="30"/>
      <x:c r="Q345" s="30"/>
      <x:c r="R345" s="30"/>
      <x:c r="S345" s="30"/>
      <x:c r="T345" s="30"/>
      <x:c r="U345" s="30"/>
      <x:c r="V345" s="30"/>
      <x:c r="W345" s="30"/>
    </x:row>
    <x:row r="346">
      <x:c r="J346" s="30"/>
      <x:c r="K346" s="30"/>
      <x:c r="L346" s="32"/>
      <x:c r="M346" s="32"/>
      <x:c r="N346" s="32"/>
      <x:c r="O346" s="32"/>
      <x:c r="P346" s="30"/>
      <x:c r="Q346" s="30"/>
      <x:c r="R346" s="30"/>
      <x:c r="S346" s="30"/>
      <x:c r="T346" s="30"/>
      <x:c r="U346" s="30"/>
      <x:c r="V346" s="30"/>
      <x:c r="W346" s="30"/>
    </x:row>
    <x:row r="347">
      <x:c r="J347" s="30"/>
      <x:c r="K347" s="30"/>
      <x:c r="L347" s="32"/>
      <x:c r="M347" s="32"/>
      <x:c r="N347" s="32"/>
      <x:c r="O347" s="32"/>
      <x:c r="P347" s="30"/>
      <x:c r="Q347" s="30"/>
      <x:c r="R347" s="30"/>
      <x:c r="S347" s="30"/>
      <x:c r="T347" s="30"/>
      <x:c r="U347" s="30"/>
      <x:c r="V347" s="30"/>
      <x:c r="W347" s="30"/>
    </x:row>
    <x:row r="348">
      <x:c r="J348" s="30"/>
      <x:c r="K348" s="30"/>
      <x:c r="L348" s="32"/>
      <x:c r="M348" s="32"/>
      <x:c r="N348" s="32"/>
      <x:c r="O348" s="32"/>
      <x:c r="P348" s="30"/>
      <x:c r="Q348" s="30"/>
      <x:c r="R348" s="30"/>
      <x:c r="S348" s="30"/>
      <x:c r="T348" s="30"/>
      <x:c r="U348" s="30"/>
      <x:c r="V348" s="30"/>
      <x:c r="W348" s="30"/>
    </x:row>
    <x:row r="349">
      <x:c r="J349" s="30"/>
      <x:c r="K349" s="30"/>
      <x:c r="L349" s="32"/>
      <x:c r="M349" s="32"/>
      <x:c r="N349" s="32"/>
      <x:c r="O349" s="32"/>
      <x:c r="P349" s="30"/>
      <x:c r="Q349" s="30"/>
      <x:c r="R349" s="30"/>
      <x:c r="S349" s="30"/>
      <x:c r="T349" s="30"/>
      <x:c r="U349" s="30"/>
      <x:c r="V349" s="30"/>
      <x:c r="W349" s="30"/>
    </x:row>
    <x:row r="350">
      <x:c r="J350" s="30"/>
      <x:c r="K350" s="30"/>
      <x:c r="L350" s="32"/>
      <x:c r="M350" s="32"/>
      <x:c r="N350" s="32"/>
      <x:c r="O350" s="32"/>
      <x:c r="P350" s="30"/>
      <x:c r="Q350" s="30"/>
      <x:c r="R350" s="30"/>
      <x:c r="S350" s="30"/>
      <x:c r="T350" s="30"/>
      <x:c r="U350" s="30"/>
      <x:c r="V350" s="30"/>
      <x:c r="W350" s="30"/>
    </x:row>
    <x:row r="351">
      <x:c r="J351" s="30"/>
      <x:c r="K351" s="30"/>
      <x:c r="L351" s="32"/>
      <x:c r="M351" s="32"/>
      <x:c r="N351" s="32"/>
      <x:c r="O351" s="32"/>
      <x:c r="P351" s="30"/>
      <x:c r="Q351" s="30"/>
      <x:c r="R351" s="30"/>
      <x:c r="S351" s="30"/>
      <x:c r="T351" s="30"/>
      <x:c r="U351" s="30"/>
      <x:c r="V351" s="30"/>
      <x:c r="W351" s="30"/>
    </x:row>
    <x:row r="352">
      <x:c r="J352" s="30"/>
      <x:c r="K352" s="30"/>
      <x:c r="L352" s="32"/>
      <x:c r="M352" s="32"/>
      <x:c r="N352" s="32"/>
      <x:c r="O352" s="32"/>
      <x:c r="P352" s="30"/>
      <x:c r="Q352" s="30"/>
      <x:c r="R352" s="30"/>
      <x:c r="S352" s="30"/>
      <x:c r="T352" s="30"/>
      <x:c r="U352" s="30"/>
      <x:c r="V352" s="30"/>
      <x:c r="W352" s="30"/>
    </x:row>
    <x:row r="353">
      <x:c r="J353" s="30"/>
      <x:c r="K353" s="30"/>
      <x:c r="L353" s="32"/>
      <x:c r="M353" s="32"/>
      <x:c r="N353" s="32"/>
      <x:c r="O353" s="32"/>
      <x:c r="P353" s="30"/>
      <x:c r="Q353" s="30"/>
      <x:c r="R353" s="30"/>
      <x:c r="S353" s="30"/>
      <x:c r="T353" s="30"/>
      <x:c r="U353" s="30"/>
      <x:c r="V353" s="30"/>
      <x:c r="W353" s="30"/>
    </x:row>
    <x:row r="354">
      <x:c r="J354" s="30"/>
      <x:c r="K354" s="30"/>
      <x:c r="L354" s="32"/>
      <x:c r="M354" s="32"/>
      <x:c r="N354" s="32"/>
      <x:c r="O354" s="32"/>
      <x:c r="P354" s="30"/>
      <x:c r="Q354" s="30"/>
      <x:c r="R354" s="30"/>
      <x:c r="S354" s="30"/>
      <x:c r="T354" s="30"/>
      <x:c r="U354" s="30"/>
      <x:c r="V354" s="30"/>
      <x:c r="W354" s="30"/>
    </x:row>
    <x:row r="355">
      <x:c r="J355" s="30"/>
      <x:c r="K355" s="30"/>
      <x:c r="L355" s="32"/>
      <x:c r="M355" s="32"/>
      <x:c r="N355" s="32"/>
      <x:c r="O355" s="32"/>
      <x:c r="P355" s="30"/>
      <x:c r="Q355" s="30"/>
      <x:c r="R355" s="30"/>
      <x:c r="S355" s="30"/>
      <x:c r="T355" s="30"/>
      <x:c r="U355" s="30"/>
      <x:c r="V355" s="30"/>
      <x:c r="W355" s="30"/>
    </x:row>
    <x:row r="356">
      <x:c r="J356" s="30"/>
      <x:c r="K356" s="30"/>
      <x:c r="L356" s="32"/>
      <x:c r="M356" s="32"/>
      <x:c r="N356" s="32"/>
      <x:c r="O356" s="32"/>
      <x:c r="P356" s="30"/>
      <x:c r="Q356" s="30"/>
      <x:c r="R356" s="30"/>
      <x:c r="S356" s="30"/>
      <x:c r="T356" s="30"/>
      <x:c r="U356" s="30"/>
      <x:c r="V356" s="30"/>
      <x:c r="W356" s="30"/>
    </x:row>
    <x:row r="357">
      <x:c r="J357" s="30"/>
      <x:c r="K357" s="30"/>
      <x:c r="L357" s="32"/>
      <x:c r="M357" s="32"/>
      <x:c r="N357" s="32"/>
      <x:c r="O357" s="32"/>
      <x:c r="P357" s="30"/>
      <x:c r="Q357" s="30"/>
      <x:c r="R357" s="30"/>
      <x:c r="S357" s="30"/>
      <x:c r="T357" s="30"/>
      <x:c r="U357" s="30"/>
      <x:c r="V357" s="30"/>
      <x:c r="W357" s="30"/>
    </x:row>
    <x:row r="358">
      <x:c r="J358" s="30"/>
      <x:c r="K358" s="30"/>
      <x:c r="L358" s="32"/>
      <x:c r="M358" s="32"/>
      <x:c r="N358" s="32"/>
      <x:c r="O358" s="32"/>
      <x:c r="P358" s="30"/>
      <x:c r="Q358" s="30"/>
      <x:c r="R358" s="30"/>
      <x:c r="S358" s="30"/>
      <x:c r="T358" s="30"/>
      <x:c r="U358" s="30"/>
      <x:c r="V358" s="30"/>
      <x:c r="W358" s="30"/>
    </x:row>
    <x:row r="359">
      <x:c r="J359" s="30"/>
      <x:c r="K359" s="30"/>
      <x:c r="L359" s="32"/>
      <x:c r="M359" s="32"/>
      <x:c r="N359" s="32"/>
      <x:c r="O359" s="32"/>
      <x:c r="P359" s="30"/>
      <x:c r="Q359" s="30"/>
      <x:c r="R359" s="30"/>
      <x:c r="S359" s="30"/>
      <x:c r="T359" s="30"/>
      <x:c r="U359" s="30"/>
      <x:c r="V359" s="30"/>
      <x:c r="W359" s="30"/>
    </x:row>
    <x:row r="360">
      <x:c r="J360" s="30"/>
      <x:c r="K360" s="30"/>
      <x:c r="L360" s="32"/>
      <x:c r="M360" s="32"/>
      <x:c r="N360" s="32"/>
      <x:c r="O360" s="32"/>
      <x:c r="P360" s="30"/>
      <x:c r="Q360" s="30"/>
      <x:c r="R360" s="30"/>
      <x:c r="S360" s="30"/>
      <x:c r="T360" s="30"/>
      <x:c r="U360" s="30"/>
      <x:c r="V360" s="30"/>
      <x:c r="W360" s="30"/>
    </x:row>
    <x:row r="361">
      <x:c r="J361" s="30"/>
      <x:c r="K361" s="30"/>
      <x:c r="L361" s="32"/>
      <x:c r="M361" s="32"/>
      <x:c r="N361" s="32"/>
      <x:c r="O361" s="32"/>
      <x:c r="P361" s="30"/>
      <x:c r="Q361" s="30"/>
      <x:c r="R361" s="30"/>
      <x:c r="S361" s="30"/>
      <x:c r="T361" s="30"/>
      <x:c r="U361" s="30"/>
      <x:c r="V361" s="30"/>
      <x:c r="W361" s="30"/>
    </x:row>
    <x:row r="362">
      <x:c r="J362" s="30"/>
      <x:c r="K362" s="30"/>
      <x:c r="L362" s="32"/>
      <x:c r="M362" s="32"/>
      <x:c r="N362" s="32"/>
      <x:c r="O362" s="32"/>
      <x:c r="P362" s="30"/>
      <x:c r="Q362" s="30"/>
      <x:c r="R362" s="30"/>
      <x:c r="S362" s="30"/>
      <x:c r="T362" s="30"/>
      <x:c r="U362" s="30"/>
      <x:c r="V362" s="30"/>
      <x:c r="W362" s="30"/>
    </x:row>
    <x:row r="363">
      <x:c r="J363" s="30"/>
      <x:c r="K363" s="30"/>
      <x:c r="L363" s="32"/>
      <x:c r="M363" s="32"/>
      <x:c r="N363" s="32"/>
      <x:c r="O363" s="32"/>
      <x:c r="P363" s="30"/>
      <x:c r="Q363" s="30"/>
      <x:c r="R363" s="30"/>
      <x:c r="S363" s="30"/>
      <x:c r="T363" s="30"/>
      <x:c r="U363" s="30"/>
      <x:c r="V363" s="30"/>
      <x:c r="W363" s="30"/>
    </x:row>
    <x:row r="364">
      <x:c r="J364" s="30"/>
      <x:c r="K364" s="30"/>
      <x:c r="L364" s="32"/>
      <x:c r="M364" s="32"/>
      <x:c r="N364" s="32"/>
      <x:c r="O364" s="32"/>
      <x:c r="P364" s="30"/>
      <x:c r="Q364" s="30"/>
      <x:c r="R364" s="30"/>
      <x:c r="S364" s="30"/>
      <x:c r="T364" s="30"/>
      <x:c r="U364" s="30"/>
      <x:c r="V364" s="30"/>
      <x:c r="W364" s="30"/>
    </x:row>
    <x:row r="365">
      <x:c r="J365" s="30"/>
      <x:c r="K365" s="30"/>
      <x:c r="L365" s="32"/>
      <x:c r="M365" s="32"/>
      <x:c r="N365" s="32"/>
      <x:c r="O365" s="32"/>
      <x:c r="P365" s="30"/>
      <x:c r="Q365" s="30"/>
      <x:c r="R365" s="30"/>
      <x:c r="S365" s="30"/>
      <x:c r="T365" s="30"/>
      <x:c r="U365" s="30"/>
      <x:c r="V365" s="30"/>
      <x:c r="W365" s="30"/>
    </x:row>
    <x:row r="366">
      <x:c r="J366" s="30"/>
      <x:c r="K366" s="30"/>
      <x:c r="L366" s="32"/>
      <x:c r="M366" s="32"/>
      <x:c r="N366" s="32"/>
      <x:c r="O366" s="32"/>
      <x:c r="P366" s="30"/>
      <x:c r="Q366" s="30"/>
      <x:c r="R366" s="30"/>
      <x:c r="S366" s="30"/>
      <x:c r="T366" s="30"/>
      <x:c r="U366" s="30"/>
      <x:c r="V366" s="30"/>
      <x:c r="W366" s="30"/>
    </x:row>
    <x:row r="367">
      <x:c r="J367" s="30"/>
      <x:c r="K367" s="30"/>
      <x:c r="L367" s="32"/>
      <x:c r="M367" s="32"/>
      <x:c r="N367" s="32"/>
      <x:c r="O367" s="32"/>
      <x:c r="P367" s="30"/>
      <x:c r="Q367" s="30"/>
      <x:c r="R367" s="30"/>
      <x:c r="S367" s="30"/>
      <x:c r="T367" s="30"/>
      <x:c r="U367" s="30"/>
      <x:c r="V367" s="30"/>
      <x:c r="W367" s="30"/>
    </x:row>
    <x:row r="368">
      <x:c r="J368" s="30"/>
      <x:c r="K368" s="30"/>
      <x:c r="L368" s="32"/>
      <x:c r="M368" s="32"/>
      <x:c r="N368" s="32"/>
      <x:c r="O368" s="32"/>
      <x:c r="P368" s="30"/>
      <x:c r="Q368" s="30"/>
      <x:c r="R368" s="30"/>
      <x:c r="S368" s="30"/>
      <x:c r="T368" s="30"/>
      <x:c r="U368" s="30"/>
      <x:c r="V368" s="30"/>
      <x:c r="W368" s="30"/>
    </x:row>
    <x:row r="369">
      <x:c r="J369" s="30"/>
      <x:c r="K369" s="30"/>
      <x:c r="L369" s="32"/>
      <x:c r="M369" s="32"/>
      <x:c r="N369" s="32"/>
      <x:c r="O369" s="32"/>
      <x:c r="P369" s="30"/>
      <x:c r="Q369" s="30"/>
      <x:c r="R369" s="30"/>
      <x:c r="S369" s="30"/>
      <x:c r="T369" s="30"/>
      <x:c r="U369" s="30"/>
      <x:c r="V369" s="30"/>
      <x:c r="W369" s="30"/>
    </x:row>
    <x:row r="370">
      <x:c r="J370" s="30"/>
      <x:c r="K370" s="30"/>
      <x:c r="L370" s="32"/>
      <x:c r="M370" s="32"/>
      <x:c r="N370" s="32"/>
      <x:c r="O370" s="32"/>
      <x:c r="P370" s="30"/>
      <x:c r="Q370" s="30"/>
      <x:c r="R370" s="30"/>
      <x:c r="S370" s="30"/>
      <x:c r="T370" s="30"/>
      <x:c r="U370" s="30"/>
      <x:c r="V370" s="30"/>
      <x:c r="W370" s="30"/>
    </x:row>
    <x:row r="371">
      <x:c r="J371" s="30"/>
      <x:c r="K371" s="30"/>
      <x:c r="L371" s="32"/>
      <x:c r="M371" s="32"/>
      <x:c r="N371" s="32"/>
      <x:c r="O371" s="32"/>
      <x:c r="P371" s="30"/>
      <x:c r="Q371" s="30"/>
      <x:c r="R371" s="30"/>
      <x:c r="S371" s="30"/>
      <x:c r="T371" s="30"/>
      <x:c r="U371" s="30"/>
      <x:c r="V371" s="30"/>
      <x:c r="W371" s="30"/>
    </x:row>
    <x:row r="372">
      <x:c r="J372" s="30"/>
      <x:c r="K372" s="30"/>
      <x:c r="L372" s="32"/>
      <x:c r="M372" s="32"/>
      <x:c r="N372" s="32"/>
      <x:c r="O372" s="32"/>
      <x:c r="P372" s="30"/>
      <x:c r="Q372" s="30"/>
      <x:c r="R372" s="30"/>
      <x:c r="S372" s="30"/>
      <x:c r="T372" s="30"/>
      <x:c r="U372" s="30"/>
      <x:c r="V372" s="30"/>
      <x:c r="W372" s="30"/>
    </x:row>
    <x:row r="373">
      <x:c r="J373" s="30"/>
      <x:c r="K373" s="30"/>
      <x:c r="L373" s="32"/>
      <x:c r="M373" s="32"/>
      <x:c r="N373" s="32"/>
      <x:c r="O373" s="32"/>
      <x:c r="P373" s="30"/>
      <x:c r="Q373" s="30"/>
      <x:c r="R373" s="30"/>
      <x:c r="S373" s="30"/>
      <x:c r="T373" s="30"/>
      <x:c r="U373" s="30"/>
      <x:c r="V373" s="30"/>
      <x:c r="W373" s="30"/>
    </x:row>
    <x:row r="374">
      <x:c r="J374" s="30"/>
      <x:c r="K374" s="30"/>
      <x:c r="L374" s="32"/>
      <x:c r="M374" s="32"/>
      <x:c r="N374" s="32"/>
      <x:c r="O374" s="32"/>
      <x:c r="P374" s="30"/>
      <x:c r="Q374" s="30"/>
      <x:c r="R374" s="30"/>
      <x:c r="S374" s="30"/>
      <x:c r="T374" s="30"/>
      <x:c r="U374" s="30"/>
      <x:c r="V374" s="30"/>
      <x:c r="W374" s="30"/>
    </x:row>
    <x:row r="375">
      <x:c r="J375" s="30"/>
      <x:c r="K375" s="30"/>
      <x:c r="L375" s="32"/>
      <x:c r="M375" s="32"/>
      <x:c r="N375" s="32"/>
      <x:c r="O375" s="32"/>
      <x:c r="P375" s="30"/>
      <x:c r="Q375" s="30"/>
      <x:c r="R375" s="30"/>
      <x:c r="S375" s="30"/>
      <x:c r="T375" s="30"/>
      <x:c r="U375" s="30"/>
      <x:c r="V375" s="30"/>
      <x:c r="W375" s="30"/>
    </x:row>
    <x:row r="376">
      <x:c r="J376" s="30"/>
      <x:c r="K376" s="30"/>
      <x:c r="L376" s="32"/>
      <x:c r="M376" s="32"/>
      <x:c r="N376" s="32"/>
      <x:c r="O376" s="32"/>
      <x:c r="P376" s="30"/>
      <x:c r="Q376" s="30"/>
      <x:c r="R376" s="30"/>
      <x:c r="S376" s="30"/>
      <x:c r="T376" s="30"/>
      <x:c r="U376" s="30"/>
      <x:c r="V376" s="30"/>
      <x:c r="W376" s="30"/>
    </x:row>
    <x:row r="377">
      <x:c r="J377" s="30"/>
      <x:c r="K377" s="30"/>
      <x:c r="L377" s="32"/>
      <x:c r="M377" s="32"/>
      <x:c r="N377" s="32"/>
      <x:c r="O377" s="32"/>
      <x:c r="P377" s="30"/>
      <x:c r="Q377" s="30"/>
      <x:c r="R377" s="30"/>
      <x:c r="S377" s="30"/>
      <x:c r="T377" s="30"/>
      <x:c r="U377" s="30"/>
      <x:c r="V377" s="30"/>
      <x:c r="W377" s="30"/>
    </x:row>
    <x:row r="378">
      <x:c r="J378" s="30"/>
      <x:c r="K378" s="30"/>
      <x:c r="L378" s="32"/>
      <x:c r="M378" s="32"/>
      <x:c r="N378" s="32"/>
      <x:c r="O378" s="32"/>
      <x:c r="P378" s="30"/>
      <x:c r="Q378" s="30"/>
      <x:c r="R378" s="30"/>
      <x:c r="S378" s="30"/>
      <x:c r="T378" s="30"/>
      <x:c r="U378" s="30"/>
      <x:c r="V378" s="30"/>
      <x:c r="W378" s="30"/>
    </x:row>
    <x:row r="379">
      <x:c r="J379" s="30"/>
      <x:c r="K379" s="30"/>
      <x:c r="L379" s="32"/>
      <x:c r="M379" s="32"/>
      <x:c r="N379" s="32"/>
      <x:c r="O379" s="32"/>
      <x:c r="P379" s="30"/>
      <x:c r="Q379" s="30"/>
      <x:c r="R379" s="30"/>
      <x:c r="S379" s="30"/>
      <x:c r="T379" s="30"/>
      <x:c r="U379" s="30"/>
      <x:c r="V379" s="30"/>
      <x:c r="W379" s="30"/>
    </x:row>
    <x:row r="380">
      <x:c r="J380" s="30"/>
      <x:c r="K380" s="30"/>
      <x:c r="L380" s="32"/>
      <x:c r="M380" s="32"/>
      <x:c r="N380" s="32"/>
      <x:c r="O380" s="32"/>
      <x:c r="P380" s="30"/>
      <x:c r="Q380" s="30"/>
      <x:c r="R380" s="30"/>
      <x:c r="S380" s="30"/>
      <x:c r="T380" s="30"/>
      <x:c r="U380" s="30"/>
      <x:c r="V380" s="30"/>
      <x:c r="W380" s="30"/>
    </x:row>
    <x:row r="381">
      <x:c r="J381" s="30"/>
      <x:c r="K381" s="30"/>
      <x:c r="L381" s="32"/>
      <x:c r="M381" s="32"/>
      <x:c r="N381" s="32"/>
      <x:c r="O381" s="32"/>
      <x:c r="P381" s="30"/>
      <x:c r="Q381" s="30"/>
      <x:c r="R381" s="30"/>
      <x:c r="S381" s="30"/>
      <x:c r="T381" s="30"/>
      <x:c r="U381" s="30"/>
      <x:c r="V381" s="30"/>
      <x:c r="W381" s="30"/>
    </x:row>
    <x:row r="382">
      <x:c r="J382" s="30"/>
      <x:c r="K382" s="30"/>
      <x:c r="L382" s="32"/>
      <x:c r="M382" s="32"/>
      <x:c r="N382" s="32"/>
      <x:c r="O382" s="32"/>
      <x:c r="P382" s="30"/>
      <x:c r="Q382" s="30"/>
      <x:c r="R382" s="30"/>
      <x:c r="S382" s="30"/>
      <x:c r="T382" s="30"/>
      <x:c r="U382" s="30"/>
      <x:c r="V382" s="30"/>
      <x:c r="W382" s="30"/>
    </x:row>
    <x:row r="383">
      <x:c r="J383" s="30"/>
      <x:c r="K383" s="30"/>
      <x:c r="L383" s="32"/>
      <x:c r="M383" s="32"/>
      <x:c r="N383" s="32"/>
      <x:c r="O383" s="32"/>
      <x:c r="P383" s="30"/>
      <x:c r="Q383" s="30"/>
      <x:c r="R383" s="30"/>
      <x:c r="S383" s="30"/>
      <x:c r="T383" s="30"/>
      <x:c r="U383" s="30"/>
      <x:c r="V383" s="30"/>
      <x:c r="W383" s="30"/>
    </x:row>
    <x:row r="384">
      <x:c r="J384" s="30"/>
      <x:c r="K384" s="30"/>
      <x:c r="L384" s="32"/>
      <x:c r="M384" s="32"/>
      <x:c r="N384" s="32"/>
      <x:c r="O384" s="32"/>
      <x:c r="P384" s="30"/>
      <x:c r="Q384" s="30"/>
      <x:c r="R384" s="30"/>
      <x:c r="S384" s="30"/>
      <x:c r="T384" s="30"/>
      <x:c r="U384" s="30"/>
      <x:c r="V384" s="30"/>
      <x:c r="W384" s="30"/>
    </x:row>
    <x:row r="385">
      <x:c r="J385" s="30"/>
      <x:c r="K385" s="30"/>
      <x:c r="L385" s="32"/>
      <x:c r="M385" s="32"/>
      <x:c r="N385" s="32"/>
      <x:c r="O385" s="32"/>
      <x:c r="P385" s="30"/>
      <x:c r="Q385" s="30"/>
      <x:c r="R385" s="30"/>
      <x:c r="S385" s="30"/>
      <x:c r="T385" s="30"/>
      <x:c r="U385" s="30"/>
      <x:c r="V385" s="30"/>
      <x:c r="W385" s="30"/>
    </x:row>
    <x:row r="386">
      <x:c r="J386" s="30"/>
      <x:c r="K386" s="30"/>
      <x:c r="L386" s="32"/>
      <x:c r="M386" s="32"/>
      <x:c r="N386" s="32"/>
      <x:c r="O386" s="32"/>
      <x:c r="P386" s="30"/>
      <x:c r="Q386" s="30"/>
      <x:c r="R386" s="30"/>
      <x:c r="S386" s="30"/>
      <x:c r="T386" s="30"/>
      <x:c r="U386" s="30"/>
      <x:c r="V386" s="30"/>
      <x:c r="W386" s="30"/>
    </x:row>
    <x:row r="387">
      <x:c r="J387" s="30"/>
      <x:c r="K387" s="30"/>
      <x:c r="L387" s="32"/>
      <x:c r="M387" s="32"/>
      <x:c r="N387" s="32"/>
      <x:c r="O387" s="32"/>
      <x:c r="P387" s="30"/>
      <x:c r="Q387" s="30"/>
      <x:c r="R387" s="30"/>
      <x:c r="S387" s="30"/>
      <x:c r="T387" s="30"/>
      <x:c r="U387" s="30"/>
      <x:c r="V387" s="30"/>
      <x:c r="W387" s="30"/>
    </x:row>
    <x:row r="388">
      <x:c r="J388" s="30"/>
      <x:c r="K388" s="30"/>
      <x:c r="L388" s="32"/>
      <x:c r="M388" s="32"/>
      <x:c r="N388" s="32"/>
      <x:c r="O388" s="32"/>
      <x:c r="P388" s="30"/>
      <x:c r="Q388" s="30"/>
      <x:c r="R388" s="30"/>
      <x:c r="S388" s="30"/>
      <x:c r="T388" s="30"/>
      <x:c r="U388" s="30"/>
      <x:c r="V388" s="30"/>
      <x:c r="W388" s="30"/>
    </x:row>
    <x:row r="389">
      <x:c r="J389" s="30"/>
      <x:c r="K389" s="30"/>
      <x:c r="L389" s="32"/>
      <x:c r="M389" s="32"/>
      <x:c r="N389" s="32"/>
      <x:c r="O389" s="32"/>
      <x:c r="P389" s="30"/>
      <x:c r="Q389" s="30"/>
      <x:c r="R389" s="30"/>
      <x:c r="S389" s="30"/>
      <x:c r="T389" s="30"/>
      <x:c r="U389" s="30"/>
      <x:c r="V389" s="30"/>
      <x:c r="W389" s="30"/>
    </x:row>
    <x:row r="390">
      <x:c r="J390" s="30"/>
      <x:c r="K390" s="30"/>
      <x:c r="L390" s="32"/>
      <x:c r="M390" s="32"/>
      <x:c r="N390" s="32"/>
      <x:c r="O390" s="32"/>
      <x:c r="P390" s="30"/>
      <x:c r="Q390" s="30"/>
      <x:c r="R390" s="30"/>
      <x:c r="S390" s="30"/>
      <x:c r="T390" s="30"/>
      <x:c r="U390" s="30"/>
      <x:c r="V390" s="30"/>
      <x:c r="W390" s="30"/>
    </x:row>
    <x:row r="391">
      <x:c r="J391" s="30"/>
      <x:c r="K391" s="30"/>
      <x:c r="L391" s="32"/>
      <x:c r="M391" s="32"/>
      <x:c r="N391" s="32"/>
      <x:c r="O391" s="32"/>
      <x:c r="P391" s="30"/>
      <x:c r="Q391" s="30"/>
      <x:c r="R391" s="30"/>
      <x:c r="S391" s="30"/>
      <x:c r="T391" s="30"/>
      <x:c r="U391" s="30"/>
      <x:c r="V391" s="30"/>
      <x:c r="W391" s="30"/>
    </x:row>
    <x:row r="392">
      <x:c r="J392" s="30"/>
      <x:c r="K392" s="30"/>
      <x:c r="L392" s="32"/>
      <x:c r="M392" s="32"/>
      <x:c r="N392" s="32"/>
      <x:c r="O392" s="32"/>
      <x:c r="P392" s="30"/>
      <x:c r="Q392" s="30"/>
      <x:c r="R392" s="30"/>
      <x:c r="S392" s="30"/>
      <x:c r="T392" s="30"/>
      <x:c r="U392" s="30"/>
      <x:c r="V392" s="30"/>
      <x:c r="W392" s="30"/>
    </x:row>
    <x:row r="393">
      <x:c r="J393" s="30"/>
      <x:c r="K393" s="30"/>
      <x:c r="L393" s="32"/>
      <x:c r="M393" s="32"/>
      <x:c r="N393" s="32"/>
      <x:c r="O393" s="32"/>
      <x:c r="P393" s="30"/>
      <x:c r="Q393" s="30"/>
      <x:c r="R393" s="30"/>
      <x:c r="S393" s="30"/>
      <x:c r="T393" s="30"/>
      <x:c r="U393" s="30"/>
      <x:c r="V393" s="30"/>
      <x:c r="W393" s="30"/>
    </x:row>
    <x:row r="394">
      <x:c r="J394" s="30"/>
      <x:c r="K394" s="30"/>
      <x:c r="L394" s="32"/>
      <x:c r="M394" s="32"/>
      <x:c r="N394" s="32"/>
      <x:c r="O394" s="32"/>
      <x:c r="P394" s="30"/>
      <x:c r="Q394" s="30"/>
      <x:c r="R394" s="30"/>
      <x:c r="S394" s="30"/>
      <x:c r="T394" s="30"/>
      <x:c r="U394" s="30"/>
      <x:c r="V394" s="30"/>
      <x:c r="W394" s="30"/>
    </x:row>
    <x:row r="395">
      <x:c r="J395" s="30"/>
      <x:c r="K395" s="30"/>
      <x:c r="L395" s="32"/>
      <x:c r="M395" s="32"/>
      <x:c r="N395" s="32"/>
      <x:c r="O395" s="32"/>
      <x:c r="P395" s="30"/>
      <x:c r="Q395" s="30"/>
      <x:c r="R395" s="30"/>
      <x:c r="S395" s="30"/>
      <x:c r="T395" s="30"/>
      <x:c r="U395" s="30"/>
      <x:c r="V395" s="30"/>
      <x:c r="W395" s="30"/>
    </x:row>
    <x:row r="396">
      <x:c r="J396" s="30"/>
      <x:c r="K396" s="30"/>
      <x:c r="L396" s="32"/>
      <x:c r="M396" s="32"/>
      <x:c r="N396" s="32"/>
      <x:c r="O396" s="32"/>
      <x:c r="P396" s="30"/>
      <x:c r="Q396" s="30"/>
      <x:c r="R396" s="30"/>
      <x:c r="S396" s="30"/>
      <x:c r="T396" s="30"/>
      <x:c r="U396" s="30"/>
      <x:c r="V396" s="30"/>
      <x:c r="W396" s="30"/>
    </x:row>
    <x:row r="397">
      <x:c r="J397" s="30"/>
      <x:c r="K397" s="30"/>
      <x:c r="L397" s="32"/>
      <x:c r="M397" s="32"/>
      <x:c r="N397" s="32"/>
      <x:c r="O397" s="32"/>
      <x:c r="P397" s="30"/>
      <x:c r="Q397" s="30"/>
      <x:c r="R397" s="30"/>
      <x:c r="S397" s="30"/>
      <x:c r="T397" s="30"/>
      <x:c r="U397" s="30"/>
      <x:c r="V397" s="30"/>
      <x:c r="W397" s="30"/>
    </x:row>
    <x:row r="398">
      <x:c r="J398" s="30"/>
      <x:c r="K398" s="30"/>
      <x:c r="L398" s="32"/>
      <x:c r="M398" s="32"/>
      <x:c r="N398" s="32"/>
      <x:c r="O398" s="32"/>
      <x:c r="P398" s="30"/>
      <x:c r="Q398" s="30"/>
      <x:c r="R398" s="30"/>
      <x:c r="S398" s="30"/>
      <x:c r="T398" s="30"/>
      <x:c r="U398" s="30"/>
      <x:c r="V398" s="30"/>
      <x:c r="W398" s="30"/>
    </x:row>
    <x:row r="399">
      <x:c r="J399" s="30"/>
      <x:c r="K399" s="30"/>
      <x:c r="L399" s="32"/>
      <x:c r="M399" s="32"/>
      <x:c r="N399" s="32"/>
      <x:c r="O399" s="32"/>
      <x:c r="P399" s="30"/>
      <x:c r="Q399" s="30"/>
      <x:c r="R399" s="30"/>
      <x:c r="S399" s="30"/>
      <x:c r="T399" s="30"/>
      <x:c r="U399" s="30"/>
      <x:c r="V399" s="30"/>
      <x:c r="W399" s="30"/>
    </x:row>
    <x:row r="400">
      <x:c r="J400" s="30"/>
      <x:c r="K400" s="30"/>
      <x:c r="L400" s="32"/>
      <x:c r="M400" s="32"/>
      <x:c r="N400" s="32"/>
      <x:c r="O400" s="32"/>
      <x:c r="P400" s="30"/>
      <x:c r="Q400" s="30"/>
      <x:c r="R400" s="30"/>
      <x:c r="S400" s="30"/>
      <x:c r="T400" s="30"/>
      <x:c r="U400" s="30"/>
      <x:c r="V400" s="30"/>
      <x:c r="W400" s="30"/>
    </x:row>
    <x:row r="401">
      <x:c r="J401" s="30"/>
      <x:c r="K401" s="30"/>
      <x:c r="L401" s="32"/>
      <x:c r="M401" s="32"/>
      <x:c r="N401" s="32"/>
      <x:c r="O401" s="32"/>
      <x:c r="P401" s="30"/>
      <x:c r="Q401" s="30"/>
      <x:c r="R401" s="30"/>
      <x:c r="S401" s="30"/>
      <x:c r="T401" s="30"/>
      <x:c r="U401" s="30"/>
      <x:c r="V401" s="30"/>
      <x:c r="W401" s="30"/>
    </x:row>
    <x:row r="402">
      <x:c r="J402" s="30"/>
      <x:c r="K402" s="30"/>
      <x:c r="L402" s="32"/>
      <x:c r="M402" s="32"/>
      <x:c r="N402" s="32"/>
      <x:c r="O402" s="32"/>
      <x:c r="P402" s="30"/>
      <x:c r="Q402" s="30"/>
      <x:c r="R402" s="30"/>
      <x:c r="S402" s="30"/>
      <x:c r="T402" s="30"/>
      <x:c r="U402" s="30"/>
      <x:c r="V402" s="30"/>
      <x:c r="W402" s="30"/>
    </x:row>
    <x:row r="403">
      <x:c r="J403" s="30"/>
      <x:c r="K403" s="30"/>
      <x:c r="L403" s="32"/>
      <x:c r="M403" s="32"/>
      <x:c r="N403" s="32"/>
      <x:c r="O403" s="32"/>
      <x:c r="P403" s="30"/>
      <x:c r="Q403" s="30"/>
      <x:c r="R403" s="30"/>
      <x:c r="S403" s="30"/>
      <x:c r="T403" s="30"/>
      <x:c r="U403" s="30"/>
      <x:c r="V403" s="30"/>
      <x:c r="W403" s="30"/>
    </x:row>
    <x:row r="404">
      <x:c r="J404" s="30"/>
      <x:c r="K404" s="30"/>
      <x:c r="L404" s="32"/>
      <x:c r="M404" s="32"/>
      <x:c r="N404" s="32"/>
      <x:c r="O404" s="32"/>
      <x:c r="P404" s="30"/>
      <x:c r="Q404" s="30"/>
      <x:c r="R404" s="30"/>
      <x:c r="S404" s="30"/>
      <x:c r="T404" s="30"/>
      <x:c r="U404" s="30"/>
      <x:c r="V404" s="30"/>
      <x:c r="W404" s="30"/>
    </x:row>
    <x:row r="405">
      <x:c r="J405" s="30"/>
      <x:c r="K405" s="30"/>
      <x:c r="L405" s="32"/>
      <x:c r="M405" s="32"/>
      <x:c r="N405" s="32"/>
      <x:c r="O405" s="32"/>
      <x:c r="P405" s="30"/>
      <x:c r="Q405" s="30"/>
      <x:c r="R405" s="30"/>
      <x:c r="S405" s="30"/>
      <x:c r="T405" s="30"/>
      <x:c r="U405" s="30"/>
      <x:c r="V405" s="30"/>
      <x:c r="W405" s="30"/>
    </x:row>
    <x:row r="406">
      <x:c r="J406" s="30"/>
      <x:c r="K406" s="30"/>
      <x:c r="L406" s="32"/>
      <x:c r="M406" s="32"/>
      <x:c r="N406" s="32"/>
      <x:c r="O406" s="32"/>
      <x:c r="P406" s="30"/>
      <x:c r="Q406" s="30"/>
      <x:c r="R406" s="30"/>
      <x:c r="S406" s="30"/>
      <x:c r="T406" s="30"/>
      <x:c r="U406" s="30"/>
      <x:c r="V406" s="30"/>
      <x:c r="W406" s="30"/>
    </x:row>
    <x:row r="407">
      <x:c r="J407" s="30"/>
      <x:c r="K407" s="30"/>
      <x:c r="L407" s="32"/>
      <x:c r="M407" s="32"/>
      <x:c r="N407" s="32"/>
      <x:c r="O407" s="32"/>
      <x:c r="P407" s="30"/>
      <x:c r="Q407" s="30"/>
      <x:c r="R407" s="30"/>
      <x:c r="S407" s="30"/>
      <x:c r="T407" s="30"/>
      <x:c r="U407" s="30"/>
      <x:c r="V407" s="30"/>
      <x:c r="W407" s="30"/>
    </x:row>
    <x:row r="408">
      <x:c r="J408" s="30"/>
      <x:c r="K408" s="30"/>
      <x:c r="L408" s="32"/>
      <x:c r="M408" s="32"/>
      <x:c r="N408" s="32"/>
      <x:c r="O408" s="32"/>
      <x:c r="P408" s="30"/>
      <x:c r="Q408" s="30"/>
      <x:c r="R408" s="30"/>
      <x:c r="S408" s="30"/>
      <x:c r="T408" s="30"/>
      <x:c r="U408" s="30"/>
      <x:c r="V408" s="30"/>
      <x:c r="W408" s="30"/>
    </x:row>
    <x:row r="409">
      <x:c r="J409" s="30"/>
      <x:c r="K409" s="30"/>
      <x:c r="L409" s="32"/>
      <x:c r="M409" s="32"/>
      <x:c r="N409" s="32"/>
      <x:c r="O409" s="32"/>
      <x:c r="P409" s="30"/>
      <x:c r="Q409" s="30"/>
      <x:c r="R409" s="30"/>
      <x:c r="S409" s="30"/>
      <x:c r="T409" s="30"/>
      <x:c r="U409" s="30"/>
      <x:c r="V409" s="30"/>
      <x:c r="W409" s="30"/>
    </x:row>
    <x:row r="410">
      <x:c r="J410" s="30"/>
      <x:c r="K410" s="30"/>
      <x:c r="L410" s="32"/>
      <x:c r="M410" s="32"/>
      <x:c r="N410" s="32"/>
      <x:c r="O410" s="32"/>
      <x:c r="P410" s="30"/>
      <x:c r="Q410" s="30"/>
      <x:c r="R410" s="30"/>
      <x:c r="S410" s="30"/>
      <x:c r="T410" s="30"/>
      <x:c r="U410" s="30"/>
      <x:c r="V410" s="30"/>
      <x:c r="W410" s="30"/>
    </x:row>
    <x:row r="411">
      <x:c r="J411" s="30"/>
      <x:c r="K411" s="30"/>
      <x:c r="L411" s="32"/>
      <x:c r="M411" s="32"/>
      <x:c r="N411" s="32"/>
      <x:c r="O411" s="32"/>
      <x:c r="P411" s="30"/>
      <x:c r="Q411" s="30"/>
      <x:c r="R411" s="30"/>
      <x:c r="S411" s="30"/>
      <x:c r="T411" s="30"/>
      <x:c r="U411" s="30"/>
      <x:c r="V411" s="30"/>
      <x:c r="W411" s="30"/>
    </x:row>
    <x:row r="412">
      <x:c r="J412" s="30"/>
      <x:c r="K412" s="30"/>
      <x:c r="L412" s="32"/>
      <x:c r="M412" s="32"/>
      <x:c r="N412" s="32"/>
      <x:c r="O412" s="32"/>
      <x:c r="P412" s="30"/>
      <x:c r="Q412" s="30"/>
      <x:c r="R412" s="30"/>
      <x:c r="S412" s="30"/>
      <x:c r="T412" s="30"/>
      <x:c r="U412" s="30"/>
      <x:c r="V412" s="30"/>
      <x:c r="W412" s="30"/>
    </x:row>
    <x:row r="413">
      <x:c r="J413" s="30"/>
      <x:c r="K413" s="30"/>
      <x:c r="L413" s="32"/>
      <x:c r="M413" s="32"/>
      <x:c r="N413" s="32"/>
      <x:c r="O413" s="32"/>
      <x:c r="P413" s="30"/>
      <x:c r="Q413" s="30"/>
      <x:c r="R413" s="30"/>
      <x:c r="S413" s="30"/>
      <x:c r="T413" s="30"/>
      <x:c r="U413" s="30"/>
      <x:c r="V413" s="30"/>
      <x:c r="W413" s="30"/>
    </x:row>
    <x:row r="414">
      <x:c r="J414" s="30"/>
      <x:c r="K414" s="30"/>
      <x:c r="L414" s="32"/>
      <x:c r="M414" s="32"/>
      <x:c r="N414" s="32"/>
      <x:c r="O414" s="32"/>
      <x:c r="P414" s="30"/>
      <x:c r="Q414" s="30"/>
      <x:c r="R414" s="30"/>
      <x:c r="S414" s="30"/>
      <x:c r="T414" s="30"/>
      <x:c r="U414" s="30"/>
      <x:c r="V414" s="30"/>
      <x:c r="W414" s="30"/>
    </x:row>
    <x:row r="415">
      <x:c r="J415" s="30"/>
      <x:c r="K415" s="30"/>
      <x:c r="L415" s="32"/>
      <x:c r="M415" s="32"/>
      <x:c r="N415" s="32"/>
      <x:c r="O415" s="32"/>
      <x:c r="P415" s="30"/>
      <x:c r="Q415" s="30"/>
      <x:c r="R415" s="30"/>
      <x:c r="S415" s="30"/>
      <x:c r="T415" s="30"/>
      <x:c r="U415" s="30"/>
      <x:c r="V415" s="30"/>
      <x:c r="W415" s="30"/>
    </x:row>
    <x:row r="416">
      <x:c r="J416" s="30"/>
      <x:c r="K416" s="30"/>
      <x:c r="L416" s="32"/>
      <x:c r="M416" s="32"/>
      <x:c r="N416" s="32"/>
      <x:c r="O416" s="32"/>
      <x:c r="P416" s="30"/>
      <x:c r="Q416" s="30"/>
      <x:c r="R416" s="30"/>
      <x:c r="S416" s="30"/>
      <x:c r="T416" s="30"/>
      <x:c r="U416" s="30"/>
      <x:c r="V416" s="30"/>
      <x:c r="W416" s="30"/>
    </x:row>
    <x:row r="417">
      <x:c r="J417" s="30"/>
      <x:c r="K417" s="30"/>
      <x:c r="L417" s="32"/>
      <x:c r="M417" s="32"/>
      <x:c r="N417" s="32"/>
      <x:c r="O417" s="32"/>
      <x:c r="P417" s="30"/>
      <x:c r="Q417" s="30"/>
      <x:c r="R417" s="30"/>
      <x:c r="S417" s="30"/>
      <x:c r="T417" s="30"/>
      <x:c r="U417" s="30"/>
      <x:c r="V417" s="30"/>
      <x:c r="W417" s="30"/>
    </x:row>
    <x:row r="418">
      <x:c r="J418" s="30"/>
      <x:c r="K418" s="30"/>
      <x:c r="L418" s="32"/>
      <x:c r="M418" s="32"/>
      <x:c r="N418" s="32"/>
      <x:c r="O418" s="32"/>
      <x:c r="P418" s="30"/>
      <x:c r="Q418" s="30"/>
      <x:c r="R418" s="30"/>
      <x:c r="S418" s="30"/>
      <x:c r="T418" s="30"/>
      <x:c r="U418" s="30"/>
      <x:c r="V418" s="30"/>
      <x:c r="W418" s="30"/>
    </x:row>
    <x:row r="419">
      <x:c r="J419" s="30"/>
      <x:c r="K419" s="30"/>
      <x:c r="L419" s="32"/>
      <x:c r="M419" s="32"/>
      <x:c r="N419" s="32"/>
      <x:c r="O419" s="32"/>
      <x:c r="P419" s="30"/>
      <x:c r="Q419" s="30"/>
      <x:c r="R419" s="30"/>
      <x:c r="S419" s="30"/>
      <x:c r="T419" s="30"/>
      <x:c r="U419" s="30"/>
      <x:c r="V419" s="30"/>
      <x:c r="W419" s="30"/>
    </x:row>
    <x:row r="420">
      <x:c r="J420" s="30"/>
      <x:c r="K420" s="30"/>
      <x:c r="L420" s="32"/>
      <x:c r="M420" s="32"/>
      <x:c r="N420" s="32"/>
      <x:c r="O420" s="32"/>
      <x:c r="P420" s="30"/>
      <x:c r="Q420" s="30"/>
      <x:c r="R420" s="30"/>
      <x:c r="S420" s="30"/>
      <x:c r="T420" s="30"/>
      <x:c r="U420" s="30"/>
      <x:c r="V420" s="30"/>
      <x:c r="W420" s="30"/>
    </x:row>
    <x:row r="421">
      <x:c r="J421" s="30"/>
      <x:c r="K421" s="30"/>
      <x:c r="L421" s="32"/>
      <x:c r="M421" s="32"/>
      <x:c r="N421" s="32"/>
      <x:c r="O421" s="32"/>
      <x:c r="P421" s="30"/>
      <x:c r="Q421" s="30"/>
      <x:c r="R421" s="30"/>
      <x:c r="S421" s="30"/>
      <x:c r="T421" s="30"/>
      <x:c r="U421" s="30"/>
      <x:c r="V421" s="30"/>
      <x:c r="W421" s="30"/>
    </x:row>
    <x:row r="422">
      <x:c r="J422" s="30"/>
      <x:c r="K422" s="30"/>
      <x:c r="L422" s="32"/>
      <x:c r="M422" s="32"/>
      <x:c r="N422" s="32"/>
      <x:c r="O422" s="32"/>
      <x:c r="P422" s="30"/>
      <x:c r="Q422" s="30"/>
      <x:c r="R422" s="30"/>
      <x:c r="S422" s="30"/>
      <x:c r="T422" s="30"/>
      <x:c r="U422" s="30"/>
      <x:c r="V422" s="30"/>
      <x:c r="W422" s="30"/>
    </x:row>
    <x:row r="423">
      <x:c r="J423" s="30"/>
      <x:c r="K423" s="30"/>
      <x:c r="L423" s="32"/>
      <x:c r="M423" s="32"/>
      <x:c r="N423" s="32"/>
      <x:c r="O423" s="32"/>
      <x:c r="P423" s="30"/>
      <x:c r="Q423" s="30"/>
      <x:c r="R423" s="30"/>
      <x:c r="S423" s="30"/>
      <x:c r="T423" s="30"/>
      <x:c r="U423" s="30"/>
      <x:c r="V423" s="30"/>
      <x:c r="W423" s="30"/>
    </x:row>
    <x:row r="424">
      <x:c r="J424" s="30"/>
      <x:c r="K424" s="30"/>
      <x:c r="L424" s="32"/>
      <x:c r="M424" s="32"/>
      <x:c r="N424" s="32"/>
      <x:c r="O424" s="32"/>
      <x:c r="P424" s="30"/>
      <x:c r="Q424" s="30"/>
      <x:c r="R424" s="30"/>
      <x:c r="S424" s="30"/>
      <x:c r="T424" s="30"/>
      <x:c r="U424" s="30"/>
      <x:c r="V424" s="30"/>
      <x:c r="W424" s="30"/>
    </x:row>
    <x:row r="425">
      <x:c r="J425" s="30"/>
      <x:c r="K425" s="30"/>
      <x:c r="L425" s="32"/>
      <x:c r="M425" s="32"/>
      <x:c r="N425" s="32"/>
      <x:c r="O425" s="32"/>
      <x:c r="P425" s="30"/>
      <x:c r="Q425" s="30"/>
      <x:c r="R425" s="30"/>
      <x:c r="S425" s="30"/>
      <x:c r="T425" s="30"/>
      <x:c r="U425" s="30"/>
      <x:c r="V425" s="30"/>
      <x:c r="W425" s="30"/>
    </x:row>
    <x:row r="426">
      <x:c r="J426" s="30"/>
      <x:c r="K426" s="30"/>
      <x:c r="L426" s="32"/>
      <x:c r="M426" s="32"/>
      <x:c r="N426" s="32"/>
      <x:c r="O426" s="32"/>
      <x:c r="P426" s="30"/>
      <x:c r="Q426" s="30"/>
      <x:c r="R426" s="30"/>
      <x:c r="S426" s="30"/>
      <x:c r="T426" s="30"/>
      <x:c r="U426" s="30"/>
      <x:c r="V426" s="30"/>
      <x:c r="W426" s="30"/>
    </x:row>
    <x:row r="427">
      <x:c r="J427" s="30"/>
      <x:c r="K427" s="30"/>
      <x:c r="L427" s="32"/>
      <x:c r="M427" s="32"/>
      <x:c r="N427" s="32"/>
      <x:c r="O427" s="32"/>
      <x:c r="P427" s="30"/>
      <x:c r="Q427" s="30"/>
      <x:c r="R427" s="30"/>
      <x:c r="S427" s="30"/>
      <x:c r="T427" s="30"/>
      <x:c r="U427" s="30"/>
      <x:c r="V427" s="30"/>
      <x:c r="W427" s="30"/>
    </x:row>
    <x:row r="428">
      <x:c r="J428" s="30"/>
      <x:c r="K428" s="30"/>
      <x:c r="L428" s="32"/>
      <x:c r="M428" s="32"/>
      <x:c r="N428" s="32"/>
      <x:c r="O428" s="32"/>
      <x:c r="P428" s="30"/>
      <x:c r="Q428" s="30"/>
      <x:c r="R428" s="30"/>
      <x:c r="S428" s="30"/>
      <x:c r="T428" s="30"/>
      <x:c r="U428" s="30"/>
      <x:c r="V428" s="30"/>
      <x:c r="W428" s="30"/>
    </x:row>
    <x:row r="429">
      <x:c r="J429" s="30"/>
      <x:c r="K429" s="30"/>
      <x:c r="L429" s="32"/>
      <x:c r="M429" s="32"/>
      <x:c r="N429" s="32"/>
      <x:c r="O429" s="32"/>
      <x:c r="P429" s="30"/>
      <x:c r="Q429" s="30"/>
      <x:c r="R429" s="30"/>
      <x:c r="S429" s="30"/>
      <x:c r="T429" s="30"/>
      <x:c r="U429" s="30"/>
      <x:c r="V429" s="30"/>
      <x:c r="W429" s="30"/>
    </x:row>
    <x:row r="430">
      <x:c r="J430" s="30"/>
      <x:c r="K430" s="30"/>
      <x:c r="L430" s="32"/>
      <x:c r="M430" s="32"/>
      <x:c r="N430" s="32"/>
      <x:c r="O430" s="32"/>
      <x:c r="P430" s="30"/>
      <x:c r="Q430" s="30"/>
      <x:c r="R430" s="30"/>
      <x:c r="S430" s="30"/>
      <x:c r="T430" s="30"/>
      <x:c r="U430" s="30"/>
      <x:c r="V430" s="30"/>
      <x:c r="W430" s="30"/>
    </x:row>
    <x:row r="431">
      <x:c r="J431" s="30"/>
      <x:c r="K431" s="30"/>
      <x:c r="L431" s="32"/>
      <x:c r="M431" s="32"/>
      <x:c r="N431" s="32"/>
      <x:c r="O431" s="32"/>
      <x:c r="P431" s="30"/>
      <x:c r="Q431" s="30"/>
      <x:c r="R431" s="30"/>
      <x:c r="S431" s="30"/>
      <x:c r="T431" s="30"/>
      <x:c r="U431" s="30"/>
      <x:c r="V431" s="30"/>
      <x:c r="W431" s="30"/>
    </x:row>
    <x:row r="432">
      <x:c r="J432" s="30"/>
      <x:c r="K432" s="30"/>
      <x:c r="L432" s="32"/>
      <x:c r="M432" s="32"/>
      <x:c r="N432" s="32"/>
      <x:c r="O432" s="32"/>
      <x:c r="P432" s="30"/>
      <x:c r="Q432" s="30"/>
      <x:c r="R432" s="30"/>
      <x:c r="S432" s="30"/>
      <x:c r="T432" s="30"/>
      <x:c r="U432" s="30"/>
      <x:c r="V432" s="30"/>
      <x:c r="W432" s="30"/>
    </x:row>
    <x:row r="433">
      <x:c r="J433" s="30"/>
      <x:c r="K433" s="30"/>
      <x:c r="L433" s="32"/>
      <x:c r="M433" s="32"/>
      <x:c r="N433" s="32"/>
      <x:c r="O433" s="32"/>
      <x:c r="P433" s="30"/>
      <x:c r="Q433" s="30"/>
      <x:c r="R433" s="30"/>
      <x:c r="S433" s="30"/>
      <x:c r="T433" s="30"/>
      <x:c r="U433" s="30"/>
      <x:c r="V433" s="30"/>
      <x:c r="W433" s="30"/>
    </x:row>
    <x:row r="434">
      <x:c r="J434" s="30"/>
      <x:c r="K434" s="30"/>
      <x:c r="L434" s="32"/>
      <x:c r="M434" s="32"/>
      <x:c r="N434" s="32"/>
      <x:c r="O434" s="32"/>
      <x:c r="P434" s="30"/>
      <x:c r="Q434" s="30"/>
      <x:c r="R434" s="30"/>
      <x:c r="S434" s="30"/>
      <x:c r="T434" s="30"/>
      <x:c r="U434" s="30"/>
      <x:c r="V434" s="30"/>
      <x:c r="W434" s="30"/>
    </x:row>
    <x:row r="435">
      <x:c r="J435" s="30"/>
      <x:c r="K435" s="30"/>
      <x:c r="L435" s="32"/>
      <x:c r="M435" s="32"/>
      <x:c r="N435" s="32"/>
      <x:c r="O435" s="32"/>
      <x:c r="P435" s="30"/>
      <x:c r="Q435" s="30"/>
      <x:c r="R435" s="30"/>
      <x:c r="S435" s="30"/>
      <x:c r="T435" s="30"/>
      <x:c r="U435" s="30"/>
      <x:c r="V435" s="30"/>
      <x:c r="W435" s="30"/>
    </x:row>
    <x:row r="436">
      <x:c r="J436" s="30"/>
      <x:c r="K436" s="30"/>
      <x:c r="L436" s="32"/>
      <x:c r="M436" s="32"/>
      <x:c r="N436" s="32"/>
      <x:c r="O436" s="32"/>
      <x:c r="P436" s="30"/>
      <x:c r="Q436" s="30"/>
      <x:c r="R436" s="30"/>
      <x:c r="S436" s="30"/>
      <x:c r="T436" s="30"/>
      <x:c r="U436" s="30"/>
      <x:c r="V436" s="30"/>
      <x:c r="W436" s="30"/>
    </x:row>
    <x:row r="437">
      <x:c r="J437" s="30"/>
      <x:c r="K437" s="30"/>
      <x:c r="L437" s="32"/>
      <x:c r="M437" s="32"/>
      <x:c r="N437" s="32"/>
      <x:c r="O437" s="32"/>
      <x:c r="P437" s="30"/>
      <x:c r="Q437" s="30"/>
      <x:c r="R437" s="30"/>
      <x:c r="S437" s="30"/>
      <x:c r="T437" s="30"/>
      <x:c r="U437" s="30"/>
      <x:c r="V437" s="30"/>
      <x:c r="W437" s="30"/>
    </x:row>
    <x:row r="438">
      <x:c r="J438" s="30"/>
      <x:c r="K438" s="30"/>
      <x:c r="L438" s="32"/>
      <x:c r="M438" s="32"/>
      <x:c r="N438" s="32"/>
      <x:c r="O438" s="32"/>
      <x:c r="P438" s="30"/>
      <x:c r="Q438" s="30"/>
      <x:c r="R438" s="30"/>
      <x:c r="S438" s="30"/>
      <x:c r="T438" s="30"/>
      <x:c r="U438" s="30"/>
      <x:c r="V438" s="30"/>
      <x:c r="W438" s="30"/>
    </x:row>
    <x:row r="439">
      <x:c r="J439" s="30"/>
      <x:c r="K439" s="30"/>
      <x:c r="L439" s="32"/>
      <x:c r="M439" s="32"/>
      <x:c r="N439" s="32"/>
      <x:c r="O439" s="32"/>
      <x:c r="P439" s="30"/>
      <x:c r="Q439" s="30"/>
      <x:c r="R439" s="30"/>
      <x:c r="S439" s="30"/>
      <x:c r="T439" s="30"/>
      <x:c r="U439" s="30"/>
      <x:c r="V439" s="30"/>
      <x:c r="W439" s="30"/>
    </x:row>
    <x:row r="440">
      <x:c r="J440" s="30"/>
      <x:c r="K440" s="30"/>
      <x:c r="L440" s="32"/>
      <x:c r="M440" s="32"/>
      <x:c r="N440" s="32"/>
      <x:c r="O440" s="32"/>
      <x:c r="P440" s="30"/>
      <x:c r="Q440" s="30"/>
      <x:c r="R440" s="30"/>
      <x:c r="S440" s="30"/>
      <x:c r="T440" s="30"/>
      <x:c r="U440" s="30"/>
      <x:c r="V440" s="30"/>
      <x:c r="W440" s="30"/>
    </x:row>
    <x:row r="441">
      <x:c r="J441" s="30"/>
      <x:c r="K441" s="30"/>
      <x:c r="L441" s="32"/>
      <x:c r="M441" s="32"/>
      <x:c r="N441" s="32"/>
      <x:c r="O441" s="32"/>
      <x:c r="P441" s="30"/>
      <x:c r="Q441" s="30"/>
      <x:c r="R441" s="30"/>
      <x:c r="S441" s="30"/>
      <x:c r="T441" s="30"/>
      <x:c r="U441" s="30"/>
      <x:c r="V441" s="30"/>
      <x:c r="W441" s="30"/>
    </x:row>
    <x:row r="442">
      <x:c r="J442" s="30"/>
      <x:c r="K442" s="30"/>
      <x:c r="L442" s="32"/>
      <x:c r="M442" s="32"/>
      <x:c r="N442" s="32"/>
      <x:c r="O442" s="32"/>
      <x:c r="P442" s="30"/>
      <x:c r="Q442" s="30"/>
      <x:c r="R442" s="30"/>
      <x:c r="S442" s="30"/>
      <x:c r="T442" s="30"/>
      <x:c r="U442" s="30"/>
      <x:c r="V442" s="30"/>
      <x:c r="W442" s="30"/>
    </x:row>
    <x:row r="443">
      <x:c r="J443" s="30"/>
      <x:c r="K443" s="30"/>
      <x:c r="L443" s="32"/>
      <x:c r="M443" s="32"/>
      <x:c r="N443" s="32"/>
      <x:c r="O443" s="32"/>
      <x:c r="P443" s="30"/>
      <x:c r="Q443" s="30"/>
      <x:c r="R443" s="30"/>
      <x:c r="S443" s="30"/>
      <x:c r="T443" s="30"/>
      <x:c r="U443" s="30"/>
      <x:c r="V443" s="30"/>
      <x:c r="W443" s="30"/>
    </x:row>
    <x:row r="444">
      <x:c r="J444" s="30"/>
      <x:c r="K444" s="30"/>
      <x:c r="L444" s="32"/>
      <x:c r="M444" s="32"/>
      <x:c r="N444" s="32"/>
      <x:c r="O444" s="32"/>
      <x:c r="P444" s="30"/>
      <x:c r="Q444" s="30"/>
      <x:c r="R444" s="30"/>
      <x:c r="S444" s="30"/>
      <x:c r="T444" s="30"/>
      <x:c r="U444" s="30"/>
      <x:c r="V444" s="30"/>
      <x:c r="W444" s="30"/>
    </x:row>
    <x:row r="445">
      <x:c r="J445" s="30"/>
      <x:c r="K445" s="30"/>
      <x:c r="L445" s="32"/>
      <x:c r="M445" s="32"/>
      <x:c r="N445" s="32"/>
      <x:c r="O445" s="32"/>
      <x:c r="P445" s="30"/>
      <x:c r="Q445" s="30"/>
      <x:c r="R445" s="30"/>
      <x:c r="S445" s="30"/>
      <x:c r="T445" s="30"/>
      <x:c r="U445" s="30"/>
      <x:c r="V445" s="30"/>
      <x:c r="W445" s="30"/>
    </x:row>
    <x:row r="446">
      <x:c r="J446" s="30"/>
      <x:c r="K446" s="30"/>
      <x:c r="L446" s="32"/>
      <x:c r="M446" s="32"/>
      <x:c r="N446" s="32"/>
      <x:c r="O446" s="32"/>
      <x:c r="P446" s="30"/>
      <x:c r="Q446" s="30"/>
      <x:c r="R446" s="30"/>
      <x:c r="S446" s="30"/>
      <x:c r="T446" s="30"/>
      <x:c r="U446" s="30"/>
      <x:c r="V446" s="30"/>
      <x:c r="W446" s="30"/>
    </x:row>
    <x:row r="447">
      <x:c r="J447" s="30"/>
      <x:c r="K447" s="30"/>
      <x:c r="L447" s="32"/>
      <x:c r="M447" s="32"/>
      <x:c r="N447" s="32"/>
      <x:c r="O447" s="32"/>
      <x:c r="P447" s="30"/>
      <x:c r="Q447" s="30"/>
      <x:c r="R447" s="30"/>
      <x:c r="S447" s="30"/>
      <x:c r="T447" s="30"/>
      <x:c r="U447" s="30"/>
      <x:c r="V447" s="30"/>
      <x:c r="W447" s="30"/>
    </x:row>
    <x:row r="448">
      <x:c r="J448" s="30"/>
      <x:c r="K448" s="30"/>
      <x:c r="L448" s="32"/>
      <x:c r="M448" s="32"/>
      <x:c r="N448" s="32"/>
      <x:c r="O448" s="32"/>
      <x:c r="P448" s="30"/>
      <x:c r="Q448" s="30"/>
      <x:c r="R448" s="30"/>
      <x:c r="S448" s="30"/>
      <x:c r="T448" s="30"/>
      <x:c r="U448" s="30"/>
      <x:c r="V448" s="30"/>
      <x:c r="W448" s="30"/>
    </x:row>
    <x:row r="449">
      <x:c r="J449" s="30"/>
      <x:c r="K449" s="30"/>
      <x:c r="L449" s="32"/>
      <x:c r="M449" s="32"/>
      <x:c r="N449" s="32"/>
      <x:c r="O449" s="32"/>
      <x:c r="P449" s="30"/>
      <x:c r="Q449" s="30"/>
      <x:c r="R449" s="30"/>
      <x:c r="S449" s="30"/>
      <x:c r="T449" s="30"/>
      <x:c r="U449" s="30"/>
      <x:c r="V449" s="30"/>
      <x:c r="W449" s="30"/>
    </x:row>
    <x:row r="450">
      <x:c r="J450" s="30"/>
      <x:c r="K450" s="30"/>
      <x:c r="L450" s="32"/>
      <x:c r="M450" s="32"/>
      <x:c r="N450" s="32"/>
      <x:c r="O450" s="32"/>
      <x:c r="P450" s="30"/>
      <x:c r="Q450" s="30"/>
      <x:c r="R450" s="30"/>
      <x:c r="S450" s="30"/>
      <x:c r="T450" s="30"/>
      <x:c r="U450" s="30"/>
      <x:c r="V450" s="30"/>
      <x:c r="W450" s="30"/>
    </x:row>
    <x:row r="451">
      <x:c r="J451" s="30"/>
      <x:c r="K451" s="30"/>
      <x:c r="L451" s="32"/>
      <x:c r="M451" s="32"/>
      <x:c r="N451" s="32"/>
      <x:c r="O451" s="32"/>
      <x:c r="P451" s="30"/>
      <x:c r="Q451" s="30"/>
      <x:c r="R451" s="30"/>
      <x:c r="S451" s="30"/>
      <x:c r="T451" s="30"/>
      <x:c r="U451" s="30"/>
      <x:c r="V451" s="30"/>
      <x:c r="W451" s="30"/>
    </x:row>
    <x:row r="452">
      <x:c r="J452" s="30"/>
      <x:c r="K452" s="30"/>
      <x:c r="L452" s="32"/>
      <x:c r="M452" s="32"/>
      <x:c r="N452" s="32"/>
      <x:c r="O452" s="32"/>
      <x:c r="P452" s="30"/>
      <x:c r="Q452" s="30"/>
      <x:c r="R452" s="30"/>
      <x:c r="S452" s="30"/>
      <x:c r="T452" s="30"/>
      <x:c r="U452" s="30"/>
      <x:c r="V452" s="30"/>
      <x:c r="W452" s="30"/>
    </x:row>
    <x:row r="453">
      <x:c r="J453" s="30"/>
      <x:c r="K453" s="30"/>
      <x:c r="L453" s="32"/>
      <x:c r="M453" s="32"/>
      <x:c r="N453" s="32"/>
      <x:c r="O453" s="32"/>
      <x:c r="P453" s="30"/>
      <x:c r="Q453" s="30"/>
      <x:c r="R453" s="30"/>
      <x:c r="S453" s="30"/>
      <x:c r="T453" s="30"/>
      <x:c r="U453" s="30"/>
      <x:c r="V453" s="30"/>
      <x:c r="W453" s="30"/>
    </x:row>
    <x:row r="454">
      <x:c r="J454" s="30"/>
      <x:c r="K454" s="30"/>
      <x:c r="L454" s="32"/>
      <x:c r="M454" s="32"/>
      <x:c r="N454" s="32"/>
      <x:c r="O454" s="32"/>
      <x:c r="P454" s="30"/>
      <x:c r="Q454" s="30"/>
      <x:c r="R454" s="30"/>
      <x:c r="S454" s="30"/>
      <x:c r="T454" s="30"/>
      <x:c r="U454" s="30"/>
      <x:c r="V454" s="30"/>
      <x:c r="W454" s="30"/>
    </x:row>
    <x:row r="455">
      <x:c r="J455" s="30"/>
      <x:c r="K455" s="30"/>
      <x:c r="L455" s="32"/>
      <x:c r="M455" s="32"/>
      <x:c r="N455" s="32"/>
      <x:c r="O455" s="32"/>
      <x:c r="P455" s="30"/>
      <x:c r="Q455" s="30"/>
      <x:c r="R455" s="30"/>
      <x:c r="S455" s="30"/>
      <x:c r="T455" s="30"/>
      <x:c r="U455" s="30"/>
      <x:c r="V455" s="30"/>
      <x:c r="W455" s="30"/>
    </x:row>
    <x:row r="456">
      <x:c r="J456" s="30"/>
      <x:c r="K456" s="30"/>
      <x:c r="L456" s="32"/>
      <x:c r="M456" s="32"/>
      <x:c r="N456" s="32"/>
      <x:c r="O456" s="32"/>
      <x:c r="P456" s="30"/>
      <x:c r="Q456" s="30"/>
      <x:c r="R456" s="30"/>
      <x:c r="S456" s="30"/>
      <x:c r="T456" s="30"/>
      <x:c r="U456" s="30"/>
      <x:c r="V456" s="30"/>
      <x:c r="W456" s="30"/>
    </x:row>
    <x:row r="457">
      <x:c r="J457" s="30"/>
      <x:c r="K457" s="30"/>
      <x:c r="L457" s="32"/>
      <x:c r="M457" s="32"/>
      <x:c r="N457" s="32"/>
      <x:c r="O457" s="32"/>
      <x:c r="P457" s="30"/>
      <x:c r="Q457" s="30"/>
      <x:c r="R457" s="30"/>
      <x:c r="S457" s="30"/>
      <x:c r="T457" s="30"/>
      <x:c r="U457" s="30"/>
      <x:c r="V457" s="30"/>
      <x:c r="W457" s="30"/>
    </x:row>
    <x:row r="458">
      <x:c r="J458" s="30"/>
      <x:c r="K458" s="30"/>
      <x:c r="L458" s="32"/>
      <x:c r="M458" s="32"/>
      <x:c r="N458" s="32"/>
      <x:c r="O458" s="32"/>
      <x:c r="P458" s="30"/>
      <x:c r="Q458" s="30"/>
      <x:c r="R458" s="30"/>
      <x:c r="S458" s="30"/>
      <x:c r="T458" s="30"/>
      <x:c r="U458" s="30"/>
      <x:c r="V458" s="30"/>
      <x:c r="W458" s="30"/>
    </x:row>
    <x:row r="459">
      <x:c r="J459" s="30"/>
      <x:c r="K459" s="30"/>
      <x:c r="L459" s="32"/>
      <x:c r="M459" s="32"/>
      <x:c r="N459" s="32"/>
      <x:c r="O459" s="32"/>
      <x:c r="P459" s="30"/>
      <x:c r="Q459" s="30"/>
      <x:c r="R459" s="30"/>
      <x:c r="S459" s="30"/>
      <x:c r="T459" s="30"/>
      <x:c r="U459" s="30"/>
      <x:c r="V459" s="30"/>
      <x:c r="W459" s="30"/>
    </x:row>
    <x:row r="460">
      <x:c r="J460" s="30"/>
      <x:c r="K460" s="30"/>
      <x:c r="L460" s="32"/>
      <x:c r="M460" s="32"/>
      <x:c r="N460" s="32"/>
      <x:c r="O460" s="32"/>
      <x:c r="P460" s="30"/>
      <x:c r="Q460" s="30"/>
      <x:c r="R460" s="30"/>
      <x:c r="S460" s="30"/>
      <x:c r="T460" s="30"/>
      <x:c r="U460" s="30"/>
      <x:c r="V460" s="30"/>
      <x:c r="W460" s="30"/>
    </x:row>
    <x:row r="461">
      <x:c r="J461" s="30"/>
      <x:c r="K461" s="30"/>
      <x:c r="L461" s="32"/>
      <x:c r="M461" s="32"/>
      <x:c r="N461" s="32"/>
      <x:c r="O461" s="32"/>
      <x:c r="P461" s="30"/>
      <x:c r="Q461" s="30"/>
      <x:c r="R461" s="30"/>
      <x:c r="S461" s="30"/>
      <x:c r="T461" s="30"/>
      <x:c r="U461" s="30"/>
      <x:c r="V461" s="30"/>
      <x:c r="W461" s="30"/>
    </x:row>
    <x:row r="462">
      <x:c r="J462" s="30"/>
      <x:c r="K462" s="30"/>
      <x:c r="L462" s="32"/>
      <x:c r="M462" s="32"/>
      <x:c r="N462" s="32"/>
      <x:c r="O462" s="32"/>
      <x:c r="P462" s="30"/>
      <x:c r="Q462" s="30"/>
      <x:c r="R462" s="30"/>
      <x:c r="S462" s="30"/>
      <x:c r="T462" s="30"/>
      <x:c r="U462" s="30"/>
      <x:c r="V462" s="30"/>
      <x:c r="W462" s="30"/>
    </x:row>
    <x:row r="463">
      <x:c r="J463" s="30"/>
      <x:c r="K463" s="30"/>
      <x:c r="L463" s="32"/>
      <x:c r="M463" s="32"/>
      <x:c r="N463" s="32"/>
      <x:c r="O463" s="32"/>
      <x:c r="P463" s="30"/>
      <x:c r="Q463" s="30"/>
      <x:c r="R463" s="30"/>
      <x:c r="S463" s="30"/>
      <x:c r="T463" s="30"/>
      <x:c r="U463" s="30"/>
      <x:c r="V463" s="30"/>
      <x:c r="W463" s="30"/>
    </x:row>
    <x:row r="464">
      <x:c r="J464" s="30"/>
      <x:c r="K464" s="30"/>
      <x:c r="L464" s="32"/>
      <x:c r="M464" s="32"/>
      <x:c r="N464" s="32"/>
      <x:c r="O464" s="32"/>
      <x:c r="P464" s="30"/>
      <x:c r="Q464" s="30"/>
      <x:c r="R464" s="30"/>
      <x:c r="S464" s="30"/>
      <x:c r="T464" s="30"/>
      <x:c r="U464" s="30"/>
      <x:c r="V464" s="30"/>
      <x:c r="W464" s="30"/>
    </x:row>
    <x:row r="465">
      <x:c r="J465" s="30"/>
      <x:c r="K465" s="30"/>
      <x:c r="L465" s="32"/>
      <x:c r="M465" s="32"/>
      <x:c r="N465" s="32"/>
      <x:c r="O465" s="32"/>
      <x:c r="P465" s="30"/>
      <x:c r="Q465" s="30"/>
      <x:c r="R465" s="30"/>
      <x:c r="S465" s="30"/>
      <x:c r="T465" s="30"/>
      <x:c r="U465" s="30"/>
      <x:c r="V465" s="30"/>
      <x:c r="W465" s="30"/>
    </x:row>
    <x:row r="466">
      <x:c r="J466" s="30"/>
      <x:c r="K466" s="30"/>
      <x:c r="L466" s="32"/>
      <x:c r="M466" s="32"/>
      <x:c r="N466" s="32"/>
      <x:c r="O466" s="32"/>
      <x:c r="P466" s="30"/>
      <x:c r="Q466" s="30"/>
      <x:c r="R466" s="30"/>
      <x:c r="S466" s="30"/>
      <x:c r="T466" s="30"/>
      <x:c r="U466" s="30"/>
      <x:c r="V466" s="30"/>
      <x:c r="W466" s="30"/>
    </x:row>
    <x:row r="467">
      <x:c r="J467" s="30"/>
      <x:c r="K467" s="30"/>
      <x:c r="L467" s="32"/>
      <x:c r="M467" s="32"/>
      <x:c r="N467" s="32"/>
      <x:c r="O467" s="32"/>
      <x:c r="P467" s="30"/>
      <x:c r="Q467" s="30"/>
      <x:c r="R467" s="30"/>
      <x:c r="S467" s="30"/>
      <x:c r="T467" s="30"/>
      <x:c r="U467" s="30"/>
      <x:c r="V467" s="30"/>
      <x:c r="W467" s="30"/>
    </x:row>
    <x:row r="468">
      <x:c r="J468" s="30"/>
      <x:c r="K468" s="30"/>
      <x:c r="L468" s="32"/>
      <x:c r="M468" s="32"/>
      <x:c r="N468" s="32"/>
      <x:c r="O468" s="32"/>
      <x:c r="P468" s="30"/>
      <x:c r="Q468" s="30"/>
      <x:c r="R468" s="30"/>
      <x:c r="S468" s="30"/>
      <x:c r="T468" s="30"/>
      <x:c r="U468" s="30"/>
      <x:c r="V468" s="30"/>
      <x:c r="W468" s="30"/>
    </x:row>
    <x:row r="469">
      <x:c r="J469" s="30"/>
      <x:c r="K469" s="30"/>
      <x:c r="L469" s="32"/>
      <x:c r="M469" s="32"/>
      <x:c r="N469" s="32"/>
      <x:c r="O469" s="32"/>
      <x:c r="P469" s="30"/>
      <x:c r="Q469" s="30"/>
      <x:c r="R469" s="30"/>
      <x:c r="S469" s="30"/>
      <x:c r="T469" s="30"/>
      <x:c r="U469" s="30"/>
      <x:c r="V469" s="30"/>
      <x:c r="W469" s="30"/>
    </x:row>
    <x:row r="470">
      <x:c r="J470" s="30"/>
      <x:c r="K470" s="30"/>
      <x:c r="L470" s="32"/>
      <x:c r="M470" s="32"/>
      <x:c r="N470" s="32"/>
      <x:c r="O470" s="32"/>
      <x:c r="P470" s="30"/>
      <x:c r="Q470" s="30"/>
      <x:c r="R470" s="30"/>
      <x:c r="S470" s="30"/>
      <x:c r="T470" s="30"/>
      <x:c r="U470" s="30"/>
      <x:c r="V470" s="30"/>
      <x:c r="W470" s="30"/>
    </x:row>
    <x:row r="471">
      <x:c r="J471" s="30"/>
      <x:c r="K471" s="30"/>
      <x:c r="L471" s="32"/>
      <x:c r="M471" s="32"/>
      <x:c r="N471" s="32"/>
      <x:c r="O471" s="32"/>
      <x:c r="P471" s="30"/>
      <x:c r="Q471" s="30"/>
      <x:c r="R471" s="30"/>
      <x:c r="S471" s="30"/>
      <x:c r="T471" s="30"/>
      <x:c r="U471" s="30"/>
      <x:c r="V471" s="30"/>
      <x:c r="W471" s="30"/>
    </x:row>
    <x:row r="472">
      <x:c r="J472" s="30"/>
      <x:c r="K472" s="30"/>
      <x:c r="L472" s="32"/>
      <x:c r="M472" s="32"/>
      <x:c r="N472" s="32"/>
      <x:c r="O472" s="32"/>
      <x:c r="P472" s="30"/>
      <x:c r="Q472" s="30"/>
      <x:c r="R472" s="30"/>
      <x:c r="S472" s="30"/>
      <x:c r="T472" s="30"/>
      <x:c r="U472" s="30"/>
      <x:c r="V472" s="30"/>
      <x:c r="W472" s="30"/>
    </x:row>
    <x:row r="473">
      <x:c r="J473" s="30"/>
      <x:c r="K473" s="30"/>
      <x:c r="L473" s="32"/>
      <x:c r="M473" s="32"/>
      <x:c r="N473" s="32"/>
      <x:c r="O473" s="32"/>
      <x:c r="P473" s="30"/>
      <x:c r="Q473" s="30"/>
      <x:c r="R473" s="30"/>
      <x:c r="S473" s="30"/>
      <x:c r="T473" s="30"/>
      <x:c r="U473" s="30"/>
      <x:c r="V473" s="30"/>
      <x:c r="W473" s="30"/>
    </x:row>
    <x:row r="474">
      <x:c r="J474" s="30"/>
      <x:c r="K474" s="30"/>
      <x:c r="L474" s="32"/>
      <x:c r="M474" s="32"/>
      <x:c r="N474" s="32"/>
      <x:c r="O474" s="32"/>
      <x:c r="P474" s="30"/>
      <x:c r="Q474" s="30"/>
      <x:c r="R474" s="30"/>
      <x:c r="S474" s="30"/>
      <x:c r="T474" s="30"/>
      <x:c r="U474" s="30"/>
      <x:c r="V474" s="30"/>
      <x:c r="W474" s="30"/>
    </x:row>
    <x:row r="475">
      <x:c r="J475" s="30"/>
      <x:c r="K475" s="30"/>
      <x:c r="L475" s="32"/>
      <x:c r="M475" s="32"/>
      <x:c r="N475" s="32"/>
      <x:c r="O475" s="32"/>
      <x:c r="P475" s="30"/>
      <x:c r="Q475" s="30"/>
      <x:c r="R475" s="30"/>
      <x:c r="S475" s="30"/>
      <x:c r="T475" s="30"/>
      <x:c r="U475" s="30"/>
      <x:c r="V475" s="30"/>
      <x:c r="W475" s="30"/>
    </x:row>
    <x:row r="476">
      <x:c r="J476" s="30"/>
      <x:c r="K476" s="30"/>
      <x:c r="L476" s="32"/>
      <x:c r="M476" s="32"/>
      <x:c r="N476" s="32"/>
      <x:c r="O476" s="32"/>
      <x:c r="P476" s="30"/>
      <x:c r="Q476" s="30"/>
      <x:c r="R476" s="30"/>
      <x:c r="S476" s="30"/>
      <x:c r="T476" s="30"/>
      <x:c r="U476" s="30"/>
      <x:c r="V476" s="30"/>
      <x:c r="W476" s="30"/>
    </x:row>
    <x:row r="477">
      <x:c r="J477" s="30"/>
      <x:c r="K477" s="30"/>
      <x:c r="L477" s="32"/>
      <x:c r="M477" s="32"/>
      <x:c r="N477" s="32"/>
      <x:c r="O477" s="32"/>
      <x:c r="P477" s="30"/>
      <x:c r="Q477" s="30"/>
      <x:c r="R477" s="30"/>
      <x:c r="S477" s="30"/>
      <x:c r="T477" s="30"/>
      <x:c r="U477" s="30"/>
      <x:c r="V477" s="30"/>
      <x:c r="W477" s="30"/>
    </x:row>
    <x:row r="478">
      <x:c r="J478" s="30"/>
      <x:c r="K478" s="30"/>
      <x:c r="L478" s="32"/>
      <x:c r="M478" s="32"/>
      <x:c r="N478" s="32"/>
      <x:c r="O478" s="32"/>
      <x:c r="P478" s="30"/>
      <x:c r="Q478" s="30"/>
      <x:c r="R478" s="30"/>
      <x:c r="S478" s="30"/>
      <x:c r="T478" s="30"/>
      <x:c r="U478" s="30"/>
      <x:c r="V478" s="30"/>
      <x:c r="W478" s="30"/>
    </x:row>
    <x:row r="479">
      <x:c r="J479" s="30"/>
      <x:c r="K479" s="30"/>
      <x:c r="L479" s="32"/>
      <x:c r="M479" s="32"/>
      <x:c r="N479" s="32"/>
      <x:c r="O479" s="32"/>
      <x:c r="P479" s="30"/>
      <x:c r="Q479" s="30"/>
      <x:c r="R479" s="30"/>
      <x:c r="S479" s="30"/>
      <x:c r="T479" s="30"/>
      <x:c r="U479" s="30"/>
      <x:c r="V479" s="30"/>
      <x:c r="W479" s="30"/>
    </x:row>
    <x:row r="480">
      <x:c r="J480" s="30"/>
      <x:c r="K480" s="30"/>
      <x:c r="L480" s="32"/>
      <x:c r="M480" s="32"/>
      <x:c r="N480" s="32"/>
      <x:c r="O480" s="32"/>
      <x:c r="P480" s="30"/>
      <x:c r="Q480" s="30"/>
      <x:c r="R480" s="30"/>
      <x:c r="S480" s="30"/>
      <x:c r="T480" s="30"/>
      <x:c r="U480" s="30"/>
      <x:c r="V480" s="30"/>
      <x:c r="W480" s="30"/>
    </x:row>
    <x:row r="481">
      <x:c r="J481" s="30"/>
      <x:c r="K481" s="30"/>
      <x:c r="L481" s="32"/>
      <x:c r="M481" s="32"/>
      <x:c r="N481" s="32"/>
      <x:c r="O481" s="32"/>
      <x:c r="P481" s="30"/>
      <x:c r="Q481" s="30"/>
      <x:c r="R481" s="30"/>
      <x:c r="S481" s="30"/>
      <x:c r="T481" s="30"/>
      <x:c r="U481" s="30"/>
      <x:c r="V481" s="30"/>
      <x:c r="W481" s="30"/>
    </x:row>
    <x:row r="482">
      <x:c r="J482" s="30"/>
      <x:c r="K482" s="30"/>
      <x:c r="L482" s="32"/>
      <x:c r="M482" s="32"/>
      <x:c r="N482" s="32"/>
      <x:c r="O482" s="32"/>
      <x:c r="P482" s="30"/>
      <x:c r="Q482" s="30"/>
      <x:c r="R482" s="30"/>
      <x:c r="S482" s="30"/>
      <x:c r="T482" s="30"/>
      <x:c r="U482" s="30"/>
      <x:c r="V482" s="30"/>
      <x:c r="W482" s="30"/>
    </x:row>
    <x:row r="483">
      <x:c r="J483" s="30"/>
      <x:c r="K483" s="30"/>
      <x:c r="L483" s="32"/>
      <x:c r="M483" s="32"/>
      <x:c r="N483" s="32"/>
      <x:c r="O483" s="32"/>
      <x:c r="P483" s="30"/>
      <x:c r="Q483" s="30"/>
      <x:c r="R483" s="30"/>
      <x:c r="S483" s="30"/>
      <x:c r="T483" s="30"/>
      <x:c r="U483" s="30"/>
      <x:c r="V483" s="30"/>
      <x:c r="W483" s="30"/>
    </x:row>
    <x:row r="484">
      <x:c r="J484" s="30"/>
      <x:c r="K484" s="30"/>
      <x:c r="L484" s="32"/>
      <x:c r="M484" s="32"/>
      <x:c r="N484" s="32"/>
      <x:c r="O484" s="32"/>
      <x:c r="P484" s="30"/>
      <x:c r="Q484" s="30"/>
      <x:c r="R484" s="30"/>
      <x:c r="S484" s="30"/>
      <x:c r="T484" s="30"/>
      <x:c r="U484" s="30"/>
      <x:c r="V484" s="30"/>
      <x:c r="W484" s="30"/>
    </x:row>
    <x:row r="485">
      <x:c r="J485" s="30"/>
      <x:c r="K485" s="30"/>
      <x:c r="L485" s="32"/>
      <x:c r="M485" s="32"/>
      <x:c r="N485" s="32"/>
      <x:c r="O485" s="32"/>
      <x:c r="P485" s="30"/>
      <x:c r="Q485" s="30"/>
      <x:c r="R485" s="30"/>
      <x:c r="S485" s="30"/>
      <x:c r="T485" s="30"/>
      <x:c r="U485" s="30"/>
      <x:c r="V485" s="30"/>
      <x:c r="W485" s="30"/>
    </x:row>
    <x:row r="486">
      <x:c r="J486" s="30"/>
      <x:c r="K486" s="30"/>
      <x:c r="L486" s="32"/>
      <x:c r="M486" s="32"/>
      <x:c r="N486" s="32"/>
      <x:c r="O486" s="32"/>
      <x:c r="P486" s="30"/>
      <x:c r="Q486" s="30"/>
      <x:c r="R486" s="30"/>
      <x:c r="S486" s="30"/>
      <x:c r="T486" s="30"/>
      <x:c r="U486" s="30"/>
      <x:c r="V486" s="30"/>
      <x:c r="W486" s="30"/>
    </x:row>
    <x:row r="487">
      <x:c r="J487" s="30"/>
      <x:c r="K487" s="30"/>
      <x:c r="L487" s="32"/>
      <x:c r="M487" s="32"/>
      <x:c r="N487" s="32"/>
      <x:c r="O487" s="32"/>
      <x:c r="P487" s="30"/>
      <x:c r="Q487" s="30"/>
      <x:c r="R487" s="30"/>
      <x:c r="S487" s="30"/>
      <x:c r="T487" s="30"/>
      <x:c r="U487" s="30"/>
      <x:c r="V487" s="30"/>
      <x:c r="W487" s="30"/>
    </x:row>
    <x:row r="488">
      <x:c r="J488" s="30"/>
      <x:c r="K488" s="30"/>
      <x:c r="L488" s="32"/>
      <x:c r="M488" s="32"/>
      <x:c r="N488" s="32"/>
      <x:c r="O488" s="32"/>
      <x:c r="P488" s="30"/>
      <x:c r="Q488" s="30"/>
      <x:c r="R488" s="30"/>
      <x:c r="S488" s="30"/>
      <x:c r="T488" s="30"/>
      <x:c r="U488" s="30"/>
      <x:c r="V488" s="30"/>
      <x:c r="W488" s="30"/>
    </x:row>
    <x:row r="489">
      <x:c r="J489" s="30"/>
      <x:c r="K489" s="30"/>
      <x:c r="L489" s="32"/>
      <x:c r="M489" s="32"/>
      <x:c r="N489" s="32"/>
      <x:c r="O489" s="32"/>
      <x:c r="P489" s="30"/>
      <x:c r="Q489" s="30"/>
      <x:c r="R489" s="30"/>
      <x:c r="S489" s="30"/>
      <x:c r="T489" s="30"/>
      <x:c r="U489" s="30"/>
      <x:c r="V489" s="30"/>
      <x:c r="W489" s="30"/>
    </x:row>
    <x:row r="490">
      <x:c r="J490" s="30"/>
      <x:c r="K490" s="30"/>
      <x:c r="L490" s="32"/>
      <x:c r="M490" s="32"/>
      <x:c r="N490" s="32"/>
      <x:c r="O490" s="32"/>
      <x:c r="P490" s="30"/>
      <x:c r="Q490" s="30"/>
      <x:c r="R490" s="30"/>
      <x:c r="S490" s="30"/>
      <x:c r="T490" s="30"/>
      <x:c r="U490" s="30"/>
      <x:c r="V490" s="30"/>
      <x:c r="W490" s="30"/>
    </x:row>
    <x:row r="491">
      <x:c r="J491" s="30"/>
      <x:c r="K491" s="30"/>
      <x:c r="L491" s="32"/>
      <x:c r="M491" s="32"/>
      <x:c r="N491" s="32"/>
      <x:c r="O491" s="32"/>
      <x:c r="P491" s="30"/>
      <x:c r="Q491" s="30"/>
      <x:c r="R491" s="30"/>
      <x:c r="S491" s="30"/>
      <x:c r="T491" s="30"/>
      <x:c r="U491" s="30"/>
      <x:c r="V491" s="30"/>
      <x:c r="W491" s="30"/>
    </x:row>
    <x:row r="492">
      <x:c r="J492" s="30"/>
      <x:c r="K492" s="30"/>
      <x:c r="L492" s="32"/>
      <x:c r="M492" s="32"/>
      <x:c r="N492" s="32"/>
      <x:c r="O492" s="32"/>
      <x:c r="P492" s="30"/>
      <x:c r="Q492" s="30"/>
      <x:c r="R492" s="30"/>
      <x:c r="S492" s="30"/>
      <x:c r="T492" s="30"/>
      <x:c r="U492" s="30"/>
      <x:c r="V492" s="30"/>
      <x:c r="W492" s="30"/>
    </x:row>
    <x:row r="493">
      <x:c r="J493" s="30"/>
      <x:c r="K493" s="30"/>
      <x:c r="L493" s="32"/>
      <x:c r="M493" s="32"/>
      <x:c r="N493" s="32"/>
      <x:c r="O493" s="32"/>
      <x:c r="P493" s="30"/>
      <x:c r="Q493" s="30"/>
      <x:c r="R493" s="30"/>
      <x:c r="S493" s="30"/>
      <x:c r="T493" s="30"/>
      <x:c r="U493" s="30"/>
      <x:c r="V493" s="30"/>
      <x:c r="W493" s="30"/>
    </x:row>
    <x:row r="494">
      <x:c r="J494" s="30"/>
      <x:c r="K494" s="30"/>
      <x:c r="L494" s="32"/>
      <x:c r="M494" s="32"/>
      <x:c r="N494" s="32"/>
      <x:c r="O494" s="32"/>
      <x:c r="P494" s="30"/>
      <x:c r="Q494" s="30"/>
      <x:c r="R494" s="30"/>
      <x:c r="S494" s="30"/>
      <x:c r="T494" s="30"/>
      <x:c r="U494" s="30"/>
      <x:c r="V494" s="30"/>
      <x:c r="W494" s="30"/>
    </x:row>
    <x:row r="495">
      <x:c r="J495" s="30"/>
      <x:c r="K495" s="30"/>
      <x:c r="L495" s="32"/>
      <x:c r="M495" s="32"/>
      <x:c r="N495" s="32"/>
      <x:c r="O495" s="32"/>
      <x:c r="P495" s="30"/>
      <x:c r="Q495" s="30"/>
      <x:c r="R495" s="30"/>
      <x:c r="S495" s="30"/>
      <x:c r="T495" s="30"/>
      <x:c r="U495" s="30"/>
      <x:c r="V495" s="30"/>
      <x:c r="W495" s="30"/>
    </x:row>
    <x:row r="496">
      <x:c r="J496" s="30"/>
      <x:c r="K496" s="30"/>
      <x:c r="L496" s="32"/>
      <x:c r="M496" s="32"/>
      <x:c r="N496" s="32"/>
      <x:c r="O496" s="32"/>
      <x:c r="P496" s="30"/>
      <x:c r="Q496" s="30"/>
      <x:c r="R496" s="30"/>
      <x:c r="S496" s="30"/>
      <x:c r="T496" s="30"/>
      <x:c r="U496" s="30"/>
      <x:c r="V496" s="30"/>
      <x:c r="W496" s="30"/>
    </x:row>
    <x:row r="497">
      <x:c r="J497" s="30"/>
      <x:c r="K497" s="30"/>
      <x:c r="L497" s="32"/>
      <x:c r="M497" s="32"/>
      <x:c r="N497" s="32"/>
      <x:c r="O497" s="32"/>
      <x:c r="P497" s="30"/>
      <x:c r="Q497" s="30"/>
      <x:c r="R497" s="30"/>
      <x:c r="S497" s="30"/>
      <x:c r="T497" s="30"/>
      <x:c r="U497" s="30"/>
      <x:c r="V497" s="30"/>
      <x:c r="W497" s="30"/>
    </x:row>
    <x:row r="498">
      <x:c r="J498" s="30"/>
      <x:c r="K498" s="30"/>
      <x:c r="L498" s="32"/>
      <x:c r="M498" s="32"/>
      <x:c r="N498" s="32"/>
      <x:c r="O498" s="32"/>
      <x:c r="P498" s="30"/>
      <x:c r="Q498" s="30"/>
      <x:c r="R498" s="30"/>
      <x:c r="S498" s="30"/>
      <x:c r="T498" s="30"/>
      <x:c r="U498" s="30"/>
      <x:c r="V498" s="30"/>
      <x:c r="W498" s="30"/>
    </x:row>
    <x:row r="499">
      <x:c r="J499" s="30"/>
      <x:c r="K499" s="30"/>
      <x:c r="L499" s="32"/>
      <x:c r="M499" s="32"/>
      <x:c r="N499" s="32"/>
      <x:c r="O499" s="32"/>
      <x:c r="P499" s="30"/>
      <x:c r="Q499" s="30"/>
      <x:c r="R499" s="30"/>
      <x:c r="S499" s="30"/>
      <x:c r="T499" s="30"/>
      <x:c r="U499" s="30"/>
      <x:c r="V499" s="30"/>
      <x:c r="W499" s="30"/>
    </x:row>
    <x:row r="500">
      <x:c r="J500" s="30"/>
      <x:c r="K500" s="30"/>
      <x:c r="L500" s="32"/>
      <x:c r="M500" s="32"/>
      <x:c r="N500" s="32"/>
      <x:c r="O500" s="32"/>
      <x:c r="P500" s="30"/>
      <x:c r="Q500" s="30"/>
      <x:c r="R500" s="30"/>
      <x:c r="S500" s="30"/>
      <x:c r="T500" s="30"/>
      <x:c r="U500" s="30"/>
      <x:c r="V500" s="30"/>
      <x:c r="W500" s="30"/>
    </x:row>
    <x:row r="501">
      <x:c r="J501" s="30"/>
      <x:c r="K501" s="30"/>
      <x:c r="L501" s="32"/>
      <x:c r="M501" s="32"/>
      <x:c r="N501" s="32"/>
      <x:c r="O501" s="32"/>
      <x:c r="P501" s="30"/>
      <x:c r="Q501" s="30"/>
      <x:c r="R501" s="30"/>
      <x:c r="S501" s="30"/>
      <x:c r="T501" s="30"/>
      <x:c r="U501" s="30"/>
      <x:c r="V501" s="30"/>
      <x:c r="W501" s="30"/>
    </x:row>
    <x:row r="502">
      <x:c r="J502" s="30"/>
      <x:c r="K502" s="30"/>
      <x:c r="L502" s="32"/>
      <x:c r="M502" s="32"/>
      <x:c r="N502" s="32"/>
      <x:c r="O502" s="32"/>
      <x:c r="P502" s="30"/>
      <x:c r="Q502" s="30"/>
      <x:c r="R502" s="30"/>
      <x:c r="S502" s="30"/>
      <x:c r="T502" s="30"/>
      <x:c r="U502" s="30"/>
      <x:c r="V502" s="30"/>
      <x:c r="W502" s="30"/>
    </x:row>
    <x:row r="503">
      <x:c r="J503" s="30"/>
      <x:c r="K503" s="30"/>
      <x:c r="L503" s="32"/>
      <x:c r="M503" s="32"/>
      <x:c r="N503" s="32"/>
      <x:c r="O503" s="32"/>
      <x:c r="P503" s="30"/>
      <x:c r="Q503" s="30"/>
      <x:c r="R503" s="30"/>
      <x:c r="S503" s="30"/>
      <x:c r="T503" s="30"/>
      <x:c r="U503" s="30"/>
      <x:c r="V503" s="30"/>
      <x:c r="W503" s="30"/>
    </x:row>
    <x:row r="504">
      <x:c r="J504" s="30"/>
      <x:c r="K504" s="30"/>
      <x:c r="L504" s="32"/>
      <x:c r="M504" s="32"/>
      <x:c r="N504" s="32"/>
      <x:c r="O504" s="32"/>
      <x:c r="P504" s="30"/>
      <x:c r="Q504" s="30"/>
      <x:c r="R504" s="30"/>
      <x:c r="S504" s="30"/>
      <x:c r="T504" s="30"/>
      <x:c r="U504" s="30"/>
      <x:c r="V504" s="30"/>
      <x:c r="W504" s="30"/>
    </x:row>
    <x:row r="505">
      <x:c r="J505" s="30"/>
      <x:c r="K505" s="30"/>
      <x:c r="L505" s="32"/>
      <x:c r="M505" s="32"/>
      <x:c r="N505" s="32"/>
      <x:c r="O505" s="32"/>
      <x:c r="P505" s="30"/>
      <x:c r="Q505" s="30"/>
      <x:c r="R505" s="30"/>
      <x:c r="S505" s="30"/>
      <x:c r="T505" s="30"/>
      <x:c r="U505" s="30"/>
      <x:c r="V505" s="30"/>
      <x:c r="W505" s="30"/>
    </x:row>
    <x:row r="506">
      <x:c r="J506" s="30"/>
      <x:c r="K506" s="30"/>
      <x:c r="L506" s="32"/>
      <x:c r="M506" s="32"/>
      <x:c r="N506" s="32"/>
      <x:c r="O506" s="32"/>
      <x:c r="P506" s="30"/>
      <x:c r="Q506" s="30"/>
      <x:c r="R506" s="30"/>
      <x:c r="S506" s="30"/>
      <x:c r="T506" s="30"/>
      <x:c r="U506" s="30"/>
      <x:c r="V506" s="30"/>
      <x:c r="W506" s="30"/>
    </x:row>
    <x:row r="507">
      <x:c r="J507" s="30"/>
      <x:c r="K507" s="30"/>
      <x:c r="L507" s="32"/>
      <x:c r="M507" s="32"/>
      <x:c r="N507" s="32"/>
      <x:c r="O507" s="32"/>
      <x:c r="P507" s="30"/>
      <x:c r="Q507" s="30"/>
      <x:c r="R507" s="30"/>
      <x:c r="S507" s="30"/>
      <x:c r="T507" s="30"/>
      <x:c r="U507" s="30"/>
      <x:c r="V507" s="30"/>
      <x:c r="W507" s="30"/>
    </x:row>
    <x:row r="508">
      <x:c r="J508" s="30"/>
      <x:c r="K508" s="30"/>
      <x:c r="L508" s="32"/>
      <x:c r="M508" s="32"/>
      <x:c r="N508" s="32"/>
      <x:c r="O508" s="32"/>
      <x:c r="P508" s="30"/>
      <x:c r="Q508" s="30"/>
      <x:c r="R508" s="30"/>
      <x:c r="S508" s="30"/>
      <x:c r="T508" s="30"/>
      <x:c r="U508" s="30"/>
      <x:c r="V508" s="30"/>
      <x:c r="W508" s="30"/>
    </x:row>
    <x:row r="509">
      <x:c r="J509" s="30"/>
      <x:c r="K509" s="30"/>
      <x:c r="L509" s="32"/>
      <x:c r="M509" s="32"/>
      <x:c r="N509" s="32"/>
      <x:c r="O509" s="32"/>
      <x:c r="P509" s="30"/>
      <x:c r="Q509" s="30"/>
      <x:c r="R509" s="30"/>
      <x:c r="S509" s="30"/>
      <x:c r="T509" s="30"/>
      <x:c r="U509" s="30"/>
      <x:c r="V509" s="30"/>
      <x:c r="W509" s="30"/>
    </x:row>
    <x:row r="510">
      <x:c r="J510" s="30"/>
      <x:c r="K510" s="30"/>
      <x:c r="L510" s="32"/>
      <x:c r="M510" s="32"/>
      <x:c r="N510" s="32"/>
      <x:c r="O510" s="32"/>
      <x:c r="P510" s="30"/>
      <x:c r="Q510" s="30"/>
      <x:c r="R510" s="30"/>
      <x:c r="S510" s="30"/>
      <x:c r="T510" s="30"/>
      <x:c r="U510" s="30"/>
      <x:c r="V510" s="30"/>
      <x:c r="W510" s="30"/>
    </x:row>
    <x:row r="511">
      <x:c r="J511" s="30"/>
      <x:c r="K511" s="30"/>
      <x:c r="L511" s="32"/>
      <x:c r="M511" s="32"/>
      <x:c r="N511" s="32"/>
      <x:c r="O511" s="32"/>
      <x:c r="P511" s="30"/>
      <x:c r="Q511" s="30"/>
      <x:c r="R511" s="30"/>
      <x:c r="S511" s="30"/>
      <x:c r="T511" s="30"/>
      <x:c r="U511" s="30"/>
      <x:c r="V511" s="30"/>
      <x:c r="W511" s="30"/>
    </x:row>
    <x:row r="512">
      <x:c r="J512" s="30"/>
      <x:c r="K512" s="30"/>
      <x:c r="L512" s="32"/>
      <x:c r="M512" s="32"/>
      <x:c r="N512" s="32"/>
      <x:c r="O512" s="32"/>
      <x:c r="P512" s="30"/>
      <x:c r="Q512" s="30"/>
      <x:c r="R512" s="30"/>
      <x:c r="S512" s="30"/>
      <x:c r="T512" s="30"/>
      <x:c r="U512" s="30"/>
      <x:c r="V512" s="30"/>
      <x:c r="W512" s="30"/>
    </x:row>
    <x:row r="513">
      <x:c r="J513" s="30"/>
      <x:c r="K513" s="30"/>
      <x:c r="L513" s="32"/>
      <x:c r="M513" s="32"/>
      <x:c r="N513" s="32"/>
      <x:c r="O513" s="32"/>
      <x:c r="P513" s="30"/>
      <x:c r="Q513" s="30"/>
      <x:c r="R513" s="30"/>
      <x:c r="S513" s="30"/>
      <x:c r="T513" s="30"/>
      <x:c r="U513" s="30"/>
      <x:c r="V513" s="30"/>
      <x:c r="W513" s="30"/>
    </x:row>
    <x:row r="514">
      <x:c r="J514" s="30"/>
      <x:c r="K514" s="30"/>
      <x:c r="L514" s="32"/>
      <x:c r="M514" s="32"/>
      <x:c r="N514" s="32"/>
      <x:c r="O514" s="32"/>
      <x:c r="P514" s="30"/>
      <x:c r="Q514" s="30"/>
      <x:c r="R514" s="30"/>
      <x:c r="S514" s="30"/>
      <x:c r="T514" s="30"/>
      <x:c r="U514" s="30"/>
      <x:c r="V514" s="30"/>
      <x:c r="W514" s="30"/>
    </x:row>
    <x:row r="515">
      <x:c r="J515" s="30"/>
      <x:c r="K515" s="30"/>
      <x:c r="L515" s="32"/>
      <x:c r="M515" s="32"/>
      <x:c r="N515" s="32"/>
      <x:c r="O515" s="32"/>
      <x:c r="P515" s="30"/>
      <x:c r="Q515" s="30"/>
      <x:c r="R515" s="30"/>
      <x:c r="S515" s="30"/>
      <x:c r="T515" s="30"/>
      <x:c r="U515" s="30"/>
      <x:c r="V515" s="30"/>
      <x:c r="W515" s="30"/>
    </x:row>
    <x:row r="516">
      <x:c r="J516" s="30"/>
      <x:c r="K516" s="30"/>
      <x:c r="L516" s="32"/>
      <x:c r="M516" s="32"/>
      <x:c r="N516" s="32"/>
      <x:c r="O516" s="32"/>
      <x:c r="P516" s="30"/>
      <x:c r="Q516" s="30"/>
      <x:c r="R516" s="30"/>
      <x:c r="S516" s="30"/>
      <x:c r="T516" s="30"/>
      <x:c r="U516" s="30"/>
      <x:c r="V516" s="30"/>
      <x:c r="W516" s="30"/>
    </x:row>
    <x:row r="517">
      <x:c r="J517" s="30"/>
      <x:c r="K517" s="30"/>
      <x:c r="L517" s="32"/>
      <x:c r="M517" s="32"/>
      <x:c r="N517" s="32"/>
      <x:c r="O517" s="32"/>
      <x:c r="P517" s="30"/>
      <x:c r="Q517" s="30"/>
      <x:c r="R517" s="30"/>
      <x:c r="S517" s="30"/>
      <x:c r="T517" s="30"/>
      <x:c r="U517" s="30"/>
      <x:c r="V517" s="30"/>
      <x:c r="W517" s="30"/>
    </x:row>
    <x:row r="518">
      <x:c r="J518" s="30"/>
      <x:c r="K518" s="30"/>
      <x:c r="L518" s="32"/>
      <x:c r="M518" s="32"/>
      <x:c r="N518" s="32"/>
      <x:c r="O518" s="32"/>
      <x:c r="P518" s="30"/>
      <x:c r="Q518" s="30"/>
      <x:c r="R518" s="30"/>
      <x:c r="S518" s="30"/>
      <x:c r="T518" s="30"/>
      <x:c r="U518" s="30"/>
      <x:c r="V518" s="30"/>
      <x:c r="W518" s="30"/>
    </x:row>
    <x:row r="519">
      <x:c r="J519" s="30"/>
      <x:c r="K519" s="30"/>
      <x:c r="L519" s="32"/>
      <x:c r="M519" s="32"/>
      <x:c r="N519" s="32"/>
      <x:c r="O519" s="32"/>
      <x:c r="P519" s="30"/>
      <x:c r="Q519" s="30"/>
      <x:c r="R519" s="30"/>
      <x:c r="S519" s="30"/>
      <x:c r="T519" s="30"/>
      <x:c r="U519" s="30"/>
      <x:c r="V519" s="30"/>
      <x:c r="W519" s="30"/>
    </x:row>
    <x:row r="520">
      <x:c r="J520" s="30"/>
      <x:c r="K520" s="30"/>
      <x:c r="L520" s="32"/>
      <x:c r="M520" s="32"/>
      <x:c r="N520" s="32"/>
      <x:c r="O520" s="32"/>
      <x:c r="P520" s="30"/>
      <x:c r="Q520" s="30"/>
      <x:c r="R520" s="30"/>
      <x:c r="S520" s="30"/>
      <x:c r="T520" s="30"/>
      <x:c r="U520" s="30"/>
      <x:c r="V520" s="30"/>
      <x:c r="W520" s="30"/>
    </x:row>
    <x:row r="521">
      <x:c r="J521" s="30"/>
      <x:c r="K521" s="30"/>
      <x:c r="L521" s="32"/>
      <x:c r="M521" s="32"/>
      <x:c r="N521" s="32"/>
      <x:c r="O521" s="32"/>
      <x:c r="P521" s="30"/>
      <x:c r="Q521" s="30"/>
      <x:c r="R521" s="30"/>
      <x:c r="S521" s="30"/>
      <x:c r="T521" s="30"/>
      <x:c r="U521" s="30"/>
      <x:c r="V521" s="30"/>
      <x:c r="W521" s="30"/>
    </x:row>
    <x:row r="522">
      <x:c r="J522" s="30"/>
      <x:c r="K522" s="30"/>
      <x:c r="L522" s="32"/>
      <x:c r="M522" s="32"/>
      <x:c r="N522" s="32"/>
      <x:c r="O522" s="32"/>
      <x:c r="P522" s="30"/>
      <x:c r="Q522" s="30"/>
      <x:c r="R522" s="30"/>
      <x:c r="S522" s="30"/>
      <x:c r="T522" s="30"/>
      <x:c r="U522" s="30"/>
      <x:c r="V522" s="30"/>
      <x:c r="W522" s="30"/>
    </x:row>
    <x:row r="523">
      <x:c r="J523" s="30"/>
      <x:c r="K523" s="30"/>
      <x:c r="L523" s="32"/>
      <x:c r="M523" s="32"/>
      <x:c r="N523" s="32"/>
      <x:c r="O523" s="32"/>
      <x:c r="P523" s="30"/>
      <x:c r="Q523" s="30"/>
      <x:c r="R523" s="30"/>
      <x:c r="S523" s="30"/>
      <x:c r="T523" s="30"/>
      <x:c r="U523" s="30"/>
      <x:c r="V523" s="30"/>
      <x:c r="W523" s="30"/>
    </x:row>
    <x:row r="524">
      <x:c r="J524" s="30"/>
      <x:c r="K524" s="30"/>
      <x:c r="L524" s="32"/>
      <x:c r="M524" s="32"/>
      <x:c r="N524" s="32"/>
      <x:c r="O524" s="32"/>
      <x:c r="P524" s="30"/>
      <x:c r="Q524" s="30"/>
      <x:c r="R524" s="30"/>
      <x:c r="S524" s="30"/>
      <x:c r="T524" s="30"/>
      <x:c r="U524" s="30"/>
      <x:c r="V524" s="30"/>
      <x:c r="W524" s="30"/>
    </x:row>
    <x:row r="525">
      <x:c r="J525" s="30"/>
      <x:c r="K525" s="30"/>
      <x:c r="L525" s="32"/>
      <x:c r="M525" s="32"/>
      <x:c r="N525" s="32"/>
      <x:c r="O525" s="32"/>
      <x:c r="P525" s="30"/>
      <x:c r="Q525" s="30"/>
      <x:c r="R525" s="30"/>
      <x:c r="S525" s="30"/>
      <x:c r="T525" s="30"/>
      <x:c r="U525" s="30"/>
      <x:c r="V525" s="30"/>
      <x:c r="W525" s="30"/>
    </x:row>
    <x:row r="526">
      <x:c r="J526" s="30"/>
      <x:c r="K526" s="30"/>
      <x:c r="L526" s="32"/>
      <x:c r="M526" s="32"/>
      <x:c r="N526" s="32"/>
      <x:c r="O526" s="32"/>
      <x:c r="P526" s="30"/>
      <x:c r="Q526" s="30"/>
      <x:c r="R526" s="30"/>
      <x:c r="S526" s="30"/>
      <x:c r="T526" s="30"/>
      <x:c r="U526" s="30"/>
      <x:c r="V526" s="30"/>
      <x:c r="W526" s="30"/>
    </x:row>
    <x:row r="527">
      <x:c r="J527" s="30"/>
      <x:c r="K527" s="30"/>
      <x:c r="L527" s="32"/>
      <x:c r="M527" s="32"/>
      <x:c r="N527" s="32"/>
      <x:c r="O527" s="32"/>
      <x:c r="P527" s="30"/>
      <x:c r="Q527" s="30"/>
      <x:c r="R527" s="30"/>
      <x:c r="S527" s="30"/>
      <x:c r="T527" s="30"/>
      <x:c r="U527" s="30"/>
      <x:c r="V527" s="30"/>
      <x:c r="W527" s="30"/>
    </x:row>
    <x:row r="528">
      <x:c r="J528" s="30"/>
      <x:c r="K528" s="30"/>
      <x:c r="L528" s="32"/>
      <x:c r="M528" s="32"/>
      <x:c r="N528" s="32"/>
      <x:c r="O528" s="32"/>
      <x:c r="P528" s="30"/>
      <x:c r="Q528" s="30"/>
      <x:c r="R528" s="30"/>
      <x:c r="S528" s="30"/>
      <x:c r="T528" s="30"/>
      <x:c r="U528" s="30"/>
      <x:c r="V528" s="30"/>
      <x:c r="W528" s="30"/>
    </x:row>
    <x:row r="529">
      <x:c r="J529" s="30"/>
      <x:c r="K529" s="30"/>
      <x:c r="L529" s="32"/>
      <x:c r="M529" s="32"/>
      <x:c r="N529" s="32"/>
      <x:c r="O529" s="32"/>
      <x:c r="P529" s="30"/>
      <x:c r="Q529" s="30"/>
      <x:c r="R529" s="30"/>
      <x:c r="S529" s="30"/>
      <x:c r="T529" s="30"/>
      <x:c r="U529" s="30"/>
      <x:c r="V529" s="30"/>
      <x:c r="W529" s="30"/>
    </x:row>
    <x:row r="530">
      <x:c r="J530" s="30"/>
      <x:c r="K530" s="30"/>
      <x:c r="L530" s="32"/>
      <x:c r="M530" s="32"/>
      <x:c r="N530" s="32"/>
      <x:c r="O530" s="32"/>
      <x:c r="P530" s="30"/>
      <x:c r="Q530" s="30"/>
      <x:c r="R530" s="30"/>
      <x:c r="S530" s="30"/>
      <x:c r="T530" s="30"/>
      <x:c r="U530" s="30"/>
      <x:c r="V530" s="30"/>
      <x:c r="W530" s="30"/>
    </x:row>
    <x:row r="531">
      <x:c r="J531" s="30"/>
      <x:c r="K531" s="30"/>
      <x:c r="L531" s="32"/>
      <x:c r="M531" s="32"/>
      <x:c r="N531" s="32"/>
      <x:c r="O531" s="32"/>
      <x:c r="P531" s="30"/>
      <x:c r="Q531" s="30"/>
      <x:c r="R531" s="30"/>
      <x:c r="S531" s="30"/>
      <x:c r="T531" s="30"/>
      <x:c r="U531" s="30"/>
      <x:c r="V531" s="30"/>
      <x:c r="W531" s="30"/>
    </x:row>
    <x:row r="532">
      <x:c r="J532" s="30"/>
      <x:c r="K532" s="30"/>
      <x:c r="L532" s="32"/>
      <x:c r="M532" s="32"/>
      <x:c r="N532" s="32"/>
      <x:c r="O532" s="32"/>
      <x:c r="P532" s="30"/>
      <x:c r="Q532" s="30"/>
      <x:c r="R532" s="30"/>
      <x:c r="S532" s="30"/>
      <x:c r="T532" s="30"/>
      <x:c r="U532" s="30"/>
      <x:c r="V532" s="30"/>
      <x:c r="W532" s="30"/>
    </x:row>
    <x:row r="533">
      <x:c r="J533" s="30"/>
      <x:c r="K533" s="30"/>
      <x:c r="L533" s="32"/>
      <x:c r="M533" s="32"/>
      <x:c r="N533" s="32"/>
      <x:c r="O533" s="32"/>
      <x:c r="P533" s="30"/>
      <x:c r="Q533" s="30"/>
      <x:c r="R533" s="30"/>
      <x:c r="S533" s="30"/>
      <x:c r="T533" s="30"/>
      <x:c r="U533" s="30"/>
      <x:c r="V533" s="30"/>
      <x:c r="W533" s="30"/>
    </x:row>
    <x:row r="534">
      <x:c r="J534" s="30"/>
      <x:c r="K534" s="30"/>
      <x:c r="L534" s="32"/>
      <x:c r="M534" s="32"/>
      <x:c r="N534" s="32"/>
      <x:c r="O534" s="32"/>
      <x:c r="P534" s="30"/>
      <x:c r="Q534" s="30"/>
      <x:c r="R534" s="30"/>
      <x:c r="S534" s="30"/>
      <x:c r="T534" s="30"/>
      <x:c r="U534" s="30"/>
      <x:c r="V534" s="30"/>
      <x:c r="W534" s="30"/>
    </x:row>
    <x:row r="535">
      <x:c r="J535" s="30"/>
      <x:c r="K535" s="30"/>
      <x:c r="L535" s="32"/>
      <x:c r="M535" s="32"/>
      <x:c r="N535" s="32"/>
      <x:c r="O535" s="32"/>
      <x:c r="P535" s="30"/>
      <x:c r="Q535" s="30"/>
      <x:c r="R535" s="30"/>
      <x:c r="S535" s="30"/>
      <x:c r="T535" s="30"/>
      <x:c r="U535" s="30"/>
      <x:c r="V535" s="30"/>
      <x:c r="W535" s="30"/>
    </x:row>
    <x:row r="536">
      <x:c r="J536" s="30"/>
      <x:c r="K536" s="30"/>
      <x:c r="L536" s="32"/>
      <x:c r="M536" s="32"/>
      <x:c r="N536" s="32"/>
      <x:c r="O536" s="32"/>
      <x:c r="P536" s="30"/>
      <x:c r="Q536" s="30"/>
      <x:c r="R536" s="30"/>
      <x:c r="S536" s="30"/>
      <x:c r="T536" s="30"/>
      <x:c r="U536" s="30"/>
      <x:c r="V536" s="30"/>
      <x:c r="W536" s="30"/>
    </x:row>
    <x:row r="537">
      <x:c r="J537" s="30"/>
      <x:c r="K537" s="30"/>
      <x:c r="L537" s="32"/>
      <x:c r="M537" s="32"/>
      <x:c r="N537" s="32"/>
      <x:c r="O537" s="32"/>
      <x:c r="P537" s="30"/>
      <x:c r="Q537" s="30"/>
      <x:c r="R537" s="30"/>
      <x:c r="S537" s="30"/>
      <x:c r="T537" s="30"/>
      <x:c r="U537" s="30"/>
      <x:c r="V537" s="30"/>
      <x:c r="W537" s="30"/>
    </x:row>
    <x:row r="538">
      <x:c r="J538" s="30"/>
      <x:c r="K538" s="30"/>
      <x:c r="L538" s="32"/>
      <x:c r="M538" s="32"/>
      <x:c r="N538" s="32"/>
      <x:c r="O538" s="32"/>
      <x:c r="P538" s="30"/>
      <x:c r="Q538" s="30"/>
      <x:c r="R538" s="30"/>
      <x:c r="S538" s="30"/>
      <x:c r="T538" s="30"/>
      <x:c r="U538" s="30"/>
      <x:c r="V538" s="30"/>
      <x:c r="W538" s="30"/>
    </x:row>
    <x:row r="539">
      <x:c r="J539" s="30"/>
      <x:c r="K539" s="30"/>
      <x:c r="L539" s="32"/>
      <x:c r="M539" s="32"/>
      <x:c r="N539" s="32"/>
      <x:c r="O539" s="32"/>
      <x:c r="P539" s="30"/>
      <x:c r="Q539" s="30"/>
      <x:c r="R539" s="30"/>
      <x:c r="S539" s="30"/>
      <x:c r="T539" s="30"/>
      <x:c r="U539" s="30"/>
      <x:c r="V539" s="30"/>
      <x:c r="W539" s="30"/>
    </x:row>
    <x:row r="540">
      <x:c r="J540" s="30"/>
      <x:c r="K540" s="30"/>
      <x:c r="L540" s="32"/>
      <x:c r="M540" s="32"/>
      <x:c r="N540" s="32"/>
      <x:c r="O540" s="32"/>
      <x:c r="P540" s="30"/>
      <x:c r="Q540" s="30"/>
      <x:c r="R540" s="30"/>
      <x:c r="S540" s="30"/>
      <x:c r="T540" s="30"/>
      <x:c r="U540" s="30"/>
      <x:c r="V540" s="30"/>
      <x:c r="W540" s="30"/>
    </x:row>
    <x:row r="541">
      <x:c r="J541" s="30"/>
      <x:c r="K541" s="30"/>
      <x:c r="L541" s="32"/>
      <x:c r="M541" s="32"/>
      <x:c r="N541" s="32"/>
      <x:c r="O541" s="32"/>
      <x:c r="P541" s="30"/>
      <x:c r="Q541" s="30"/>
      <x:c r="R541" s="30"/>
      <x:c r="S541" s="30"/>
      <x:c r="T541" s="30"/>
      <x:c r="U541" s="30"/>
      <x:c r="V541" s="30"/>
      <x:c r="W541" s="30"/>
    </x:row>
    <x:row r="542">
      <x:c r="J542" s="30"/>
      <x:c r="K542" s="30"/>
      <x:c r="L542" s="32"/>
      <x:c r="M542" s="32"/>
      <x:c r="N542" s="32"/>
      <x:c r="O542" s="32"/>
      <x:c r="P542" s="30"/>
      <x:c r="Q542" s="30"/>
      <x:c r="R542" s="30"/>
      <x:c r="S542" s="30"/>
      <x:c r="T542" s="30"/>
      <x:c r="U542" s="30"/>
      <x:c r="V542" s="30"/>
      <x:c r="W542" s="30"/>
    </x:row>
    <x:row r="543">
      <x:c r="J543" s="30"/>
      <x:c r="K543" s="30"/>
      <x:c r="L543" s="32"/>
      <x:c r="M543" s="32"/>
      <x:c r="N543" s="32"/>
      <x:c r="O543" s="32"/>
      <x:c r="P543" s="30"/>
      <x:c r="Q543" s="30"/>
      <x:c r="R543" s="30"/>
      <x:c r="S543" s="30"/>
      <x:c r="T543" s="30"/>
      <x:c r="U543" s="30"/>
      <x:c r="V543" s="30"/>
      <x:c r="W543" s="30"/>
    </x:row>
    <x:row r="544">
      <x:c r="J544" s="30"/>
      <x:c r="K544" s="30"/>
      <x:c r="L544" s="32"/>
      <x:c r="M544" s="32"/>
      <x:c r="N544" s="32"/>
      <x:c r="O544" s="32"/>
      <x:c r="P544" s="30"/>
      <x:c r="Q544" s="30"/>
      <x:c r="R544" s="30"/>
      <x:c r="S544" s="30"/>
      <x:c r="T544" s="30"/>
      <x:c r="U544" s="30"/>
      <x:c r="V544" s="30"/>
      <x:c r="W544" s="30"/>
    </x:row>
    <x:row r="545">
      <x:c r="J545" s="30"/>
      <x:c r="K545" s="30"/>
      <x:c r="L545" s="32"/>
      <x:c r="M545" s="32"/>
      <x:c r="N545" s="32"/>
      <x:c r="O545" s="32"/>
      <x:c r="P545" s="30"/>
      <x:c r="Q545" s="30"/>
      <x:c r="R545" s="30"/>
      <x:c r="S545" s="30"/>
      <x:c r="T545" s="30"/>
      <x:c r="U545" s="30"/>
      <x:c r="V545" s="30"/>
      <x:c r="W545" s="30"/>
    </x:row>
    <x:row r="546">
      <x:c r="J546" s="30"/>
      <x:c r="K546" s="30"/>
      <x:c r="L546" s="32"/>
      <x:c r="M546" s="32"/>
      <x:c r="N546" s="32"/>
      <x:c r="O546" s="32"/>
      <x:c r="P546" s="30"/>
      <x:c r="Q546" s="30"/>
      <x:c r="R546" s="30"/>
      <x:c r="S546" s="30"/>
      <x:c r="T546" s="30"/>
      <x:c r="U546" s="30"/>
      <x:c r="V546" s="30"/>
      <x:c r="W546" s="30"/>
    </x:row>
    <x:row r="547">
      <x:c r="J547" s="30"/>
      <x:c r="K547" s="30"/>
      <x:c r="L547" s="32"/>
      <x:c r="M547" s="32"/>
      <x:c r="N547" s="32"/>
      <x:c r="O547" s="32"/>
      <x:c r="P547" s="30"/>
      <x:c r="Q547" s="30"/>
      <x:c r="R547" s="30"/>
      <x:c r="S547" s="30"/>
      <x:c r="T547" s="30"/>
      <x:c r="U547" s="30"/>
      <x:c r="V547" s="30"/>
      <x:c r="W547" s="30"/>
    </x:row>
    <x:row r="548">
      <x:c r="J548" s="30"/>
      <x:c r="K548" s="30"/>
      <x:c r="L548" s="32"/>
      <x:c r="M548" s="32"/>
      <x:c r="N548" s="32"/>
      <x:c r="O548" s="32"/>
      <x:c r="P548" s="30"/>
      <x:c r="Q548" s="30"/>
      <x:c r="R548" s="30"/>
      <x:c r="S548" s="30"/>
      <x:c r="T548" s="30"/>
      <x:c r="U548" s="30"/>
      <x:c r="V548" s="30"/>
      <x:c r="W548" s="30"/>
    </x:row>
    <x:row r="549">
      <x:c r="J549" s="30"/>
      <x:c r="K549" s="30"/>
      <x:c r="L549" s="32"/>
      <x:c r="M549" s="32"/>
      <x:c r="N549" s="32"/>
      <x:c r="O549" s="32"/>
      <x:c r="P549" s="30"/>
      <x:c r="Q549" s="30"/>
      <x:c r="R549" s="30"/>
      <x:c r="S549" s="30"/>
      <x:c r="T549" s="30"/>
      <x:c r="U549" s="30"/>
      <x:c r="V549" s="30"/>
      <x:c r="W549" s="30"/>
    </x:row>
    <x:row r="550">
      <x:c r="J550" s="30"/>
      <x:c r="K550" s="30"/>
      <x:c r="L550" s="32"/>
      <x:c r="M550" s="32"/>
      <x:c r="N550" s="32"/>
      <x:c r="O550" s="32"/>
      <x:c r="P550" s="30"/>
      <x:c r="Q550" s="30"/>
      <x:c r="R550" s="30"/>
      <x:c r="S550" s="30"/>
      <x:c r="T550" s="30"/>
      <x:c r="U550" s="30"/>
      <x:c r="V550" s="30"/>
      <x:c r="W550" s="30"/>
    </x:row>
    <x:row r="551">
      <x:c r="J551" s="30"/>
      <x:c r="K551" s="30"/>
      <x:c r="L551" s="32"/>
      <x:c r="M551" s="32"/>
      <x:c r="N551" s="32"/>
      <x:c r="O551" s="32"/>
      <x:c r="P551" s="30"/>
      <x:c r="Q551" s="30"/>
      <x:c r="R551" s="30"/>
      <x:c r="S551" s="30"/>
      <x:c r="T551" s="30"/>
      <x:c r="U551" s="30"/>
      <x:c r="V551" s="30"/>
      <x:c r="W551" s="30"/>
    </x:row>
    <x:row r="552">
      <x:c r="J552" s="30"/>
      <x:c r="K552" s="30"/>
      <x:c r="L552" s="32"/>
      <x:c r="M552" s="32"/>
      <x:c r="N552" s="32"/>
      <x:c r="O552" s="32"/>
      <x:c r="P552" s="30"/>
      <x:c r="Q552" s="30"/>
      <x:c r="R552" s="30"/>
      <x:c r="S552" s="30"/>
      <x:c r="T552" s="30"/>
      <x:c r="U552" s="30"/>
      <x:c r="V552" s="30"/>
      <x:c r="W552" s="30"/>
    </x:row>
    <x:row r="553">
      <x:c r="J553" s="30"/>
      <x:c r="K553" s="30"/>
      <x:c r="L553" s="32"/>
      <x:c r="M553" s="32"/>
      <x:c r="N553" s="32"/>
      <x:c r="O553" s="32"/>
      <x:c r="P553" s="30"/>
      <x:c r="Q553" s="30"/>
      <x:c r="R553" s="30"/>
      <x:c r="S553" s="30"/>
      <x:c r="T553" s="30"/>
      <x:c r="U553" s="30"/>
      <x:c r="V553" s="30"/>
      <x:c r="W553" s="30"/>
    </x:row>
    <x:row r="554">
      <x:c r="J554" s="30"/>
      <x:c r="K554" s="30"/>
      <x:c r="L554" s="32"/>
      <x:c r="M554" s="32"/>
      <x:c r="N554" s="32"/>
      <x:c r="O554" s="32"/>
      <x:c r="P554" s="30"/>
      <x:c r="Q554" s="30"/>
      <x:c r="R554" s="30"/>
      <x:c r="S554" s="30"/>
      <x:c r="T554" s="30"/>
      <x:c r="U554" s="30"/>
      <x:c r="V554" s="30"/>
      <x:c r="W554" s="30"/>
    </x:row>
    <x:row r="555">
      <x:c r="J555" s="30"/>
      <x:c r="K555" s="30"/>
      <x:c r="L555" s="32"/>
      <x:c r="M555" s="32"/>
      <x:c r="N555" s="32"/>
      <x:c r="O555" s="32"/>
      <x:c r="P555" s="30"/>
      <x:c r="Q555" s="30"/>
      <x:c r="R555" s="30"/>
      <x:c r="S555" s="30"/>
      <x:c r="T555" s="30"/>
      <x:c r="U555" s="30"/>
      <x:c r="V555" s="30"/>
      <x:c r="W555" s="30"/>
    </x:row>
    <x:row r="556">
      <x:c r="J556" s="30"/>
      <x:c r="K556" s="30"/>
      <x:c r="L556" s="32"/>
      <x:c r="M556" s="32"/>
      <x:c r="N556" s="32"/>
      <x:c r="O556" s="32"/>
      <x:c r="P556" s="30"/>
      <x:c r="Q556" s="30"/>
      <x:c r="R556" s="30"/>
      <x:c r="S556" s="30"/>
      <x:c r="T556" s="30"/>
      <x:c r="U556" s="30"/>
      <x:c r="V556" s="30"/>
      <x:c r="W556" s="30"/>
    </x:row>
    <x:row r="557">
      <x:c r="J557" s="30"/>
      <x:c r="K557" s="30"/>
      <x:c r="L557" s="32"/>
      <x:c r="M557" s="32"/>
      <x:c r="N557" s="32"/>
      <x:c r="O557" s="32"/>
      <x:c r="P557" s="30"/>
      <x:c r="Q557" s="30"/>
      <x:c r="R557" s="30"/>
      <x:c r="S557" s="30"/>
      <x:c r="T557" s="30"/>
      <x:c r="U557" s="30"/>
      <x:c r="V557" s="30"/>
      <x:c r="W557" s="30"/>
    </x:row>
    <x:row r="558">
      <x:c r="J558" s="30"/>
      <x:c r="K558" s="30"/>
      <x:c r="L558" s="32"/>
      <x:c r="M558" s="32"/>
      <x:c r="N558" s="32"/>
      <x:c r="O558" s="32"/>
      <x:c r="P558" s="30"/>
      <x:c r="Q558" s="30"/>
      <x:c r="R558" s="30"/>
      <x:c r="S558" s="30"/>
      <x:c r="T558" s="30"/>
      <x:c r="U558" s="30"/>
      <x:c r="V558" s="30"/>
      <x:c r="W558" s="30"/>
    </x:row>
    <x:row r="559">
      <x:c r="J559" s="30"/>
      <x:c r="K559" s="30"/>
      <x:c r="L559" s="32"/>
      <x:c r="M559" s="32"/>
      <x:c r="N559" s="32"/>
      <x:c r="O559" s="32"/>
      <x:c r="P559" s="30"/>
      <x:c r="Q559" s="30"/>
      <x:c r="R559" s="30"/>
      <x:c r="S559" s="30"/>
      <x:c r="T559" s="30"/>
      <x:c r="U559" s="30"/>
      <x:c r="V559" s="30"/>
      <x:c r="W559" s="30"/>
    </x:row>
    <x:row r="560">
      <x:c r="J560" s="30"/>
      <x:c r="K560" s="30"/>
      <x:c r="L560" s="32"/>
      <x:c r="M560" s="32"/>
      <x:c r="N560" s="32"/>
      <x:c r="O560" s="32"/>
      <x:c r="P560" s="30"/>
      <x:c r="Q560" s="30"/>
      <x:c r="R560" s="30"/>
      <x:c r="S560" s="30"/>
      <x:c r="T560" s="30"/>
      <x:c r="U560" s="30"/>
      <x:c r="V560" s="30"/>
      <x:c r="W560" s="30"/>
    </x:row>
    <x:row r="561">
      <x:c r="J561" s="30"/>
      <x:c r="K561" s="30"/>
      <x:c r="L561" s="32"/>
      <x:c r="M561" s="32"/>
      <x:c r="N561" s="32"/>
      <x:c r="O561" s="32"/>
      <x:c r="P561" s="30"/>
      <x:c r="Q561" s="30"/>
      <x:c r="R561" s="30"/>
      <x:c r="S561" s="30"/>
      <x:c r="T561" s="30"/>
      <x:c r="U561" s="30"/>
      <x:c r="V561" s="30"/>
      <x:c r="W561" s="30"/>
    </x:row>
    <x:row r="562">
      <x:c r="J562" s="30"/>
      <x:c r="K562" s="30"/>
      <x:c r="L562" s="32"/>
      <x:c r="M562" s="32"/>
      <x:c r="N562" s="32"/>
      <x:c r="O562" s="32"/>
      <x:c r="P562" s="30"/>
      <x:c r="Q562" s="30"/>
      <x:c r="R562" s="30"/>
      <x:c r="S562" s="30"/>
      <x:c r="T562" s="30"/>
      <x:c r="U562" s="30"/>
      <x:c r="V562" s="30"/>
      <x:c r="W562" s="30"/>
    </x:row>
    <x:row r="563">
      <x:c r="J563" s="30"/>
      <x:c r="K563" s="30"/>
      <x:c r="L563" s="32"/>
      <x:c r="M563" s="32"/>
      <x:c r="N563" s="32"/>
      <x:c r="O563" s="32"/>
      <x:c r="P563" s="30"/>
      <x:c r="Q563" s="30"/>
      <x:c r="R563" s="30"/>
      <x:c r="S563" s="30"/>
      <x:c r="T563" s="30"/>
      <x:c r="U563" s="30"/>
      <x:c r="V563" s="30"/>
      <x:c r="W563" s="30"/>
    </x:row>
    <x:row r="564">
      <x:c r="J564" s="30"/>
      <x:c r="K564" s="30"/>
      <x:c r="L564" s="32"/>
      <x:c r="M564" s="32"/>
      <x:c r="N564" s="32"/>
      <x:c r="O564" s="32"/>
      <x:c r="P564" s="30"/>
      <x:c r="Q564" s="30"/>
      <x:c r="R564" s="30"/>
      <x:c r="S564" s="30"/>
      <x:c r="T564" s="30"/>
      <x:c r="U564" s="30"/>
      <x:c r="V564" s="30"/>
      <x:c r="W564" s="30"/>
    </x:row>
    <x:row r="565">
      <x:c r="J565" s="30"/>
      <x:c r="K565" s="30"/>
      <x:c r="L565" s="32"/>
      <x:c r="M565" s="32"/>
      <x:c r="N565" s="32"/>
      <x:c r="O565" s="32"/>
      <x:c r="P565" s="30"/>
      <x:c r="Q565" s="30"/>
      <x:c r="R565" s="30"/>
      <x:c r="S565" s="30"/>
      <x:c r="T565" s="30"/>
      <x:c r="U565" s="30"/>
      <x:c r="V565" s="30"/>
      <x:c r="W565" s="30"/>
    </x:row>
    <x:row r="566">
      <x:c r="J566" s="30"/>
      <x:c r="K566" s="30"/>
      <x:c r="L566" s="32"/>
      <x:c r="M566" s="32"/>
      <x:c r="N566" s="32"/>
      <x:c r="O566" s="32"/>
      <x:c r="P566" s="30"/>
      <x:c r="Q566" s="30"/>
      <x:c r="R566" s="30"/>
      <x:c r="S566" s="30"/>
      <x:c r="T566" s="30"/>
      <x:c r="U566" s="30"/>
      <x:c r="V566" s="30"/>
      <x:c r="W566" s="30"/>
    </x:row>
    <x:row r="567">
      <x:c r="J567" s="30"/>
      <x:c r="K567" s="30"/>
      <x:c r="L567" s="32"/>
      <x:c r="M567" s="32"/>
      <x:c r="N567" s="32"/>
      <x:c r="O567" s="32"/>
      <x:c r="P567" s="30"/>
      <x:c r="Q567" s="30"/>
      <x:c r="R567" s="30"/>
      <x:c r="S567" s="30"/>
      <x:c r="T567" s="30"/>
      <x:c r="U567" s="30"/>
      <x:c r="V567" s="30"/>
      <x:c r="W567" s="30"/>
    </x:row>
    <x:row r="568">
      <x:c r="J568" s="30"/>
      <x:c r="K568" s="30"/>
      <x:c r="L568" s="32"/>
      <x:c r="M568" s="32"/>
      <x:c r="N568" s="32"/>
      <x:c r="O568" s="32"/>
      <x:c r="P568" s="30"/>
      <x:c r="Q568" s="30"/>
      <x:c r="R568" s="30"/>
      <x:c r="S568" s="30"/>
      <x:c r="T568" s="30"/>
      <x:c r="U568" s="30"/>
      <x:c r="V568" s="30"/>
      <x:c r="W568" s="30"/>
    </x:row>
    <x:row r="569">
      <x:c r="J569" s="30"/>
      <x:c r="K569" s="30"/>
      <x:c r="L569" s="32"/>
      <x:c r="M569" s="32"/>
      <x:c r="N569" s="32"/>
      <x:c r="O569" s="32"/>
      <x:c r="P569" s="30"/>
      <x:c r="Q569" s="30"/>
      <x:c r="R569" s="30"/>
      <x:c r="S569" s="30"/>
      <x:c r="T569" s="30"/>
      <x:c r="U569" s="30"/>
      <x:c r="V569" s="30"/>
      <x:c r="W569" s="30"/>
    </x:row>
    <x:row r="570">
      <x:c r="J570" s="30"/>
      <x:c r="K570" s="30"/>
      <x:c r="L570" s="32"/>
      <x:c r="M570" s="32"/>
      <x:c r="N570" s="32"/>
      <x:c r="O570" s="32"/>
      <x:c r="P570" s="30"/>
      <x:c r="Q570" s="30"/>
      <x:c r="R570" s="30"/>
      <x:c r="S570" s="30"/>
      <x:c r="T570" s="30"/>
      <x:c r="U570" s="30"/>
      <x:c r="V570" s="30"/>
      <x:c r="W570" s="30"/>
    </x:row>
    <x:row r="571">
      <x:c r="J571" s="30"/>
      <x:c r="K571" s="30"/>
      <x:c r="L571" s="32"/>
      <x:c r="M571" s="32"/>
      <x:c r="N571" s="32"/>
      <x:c r="O571" s="32"/>
      <x:c r="P571" s="30"/>
      <x:c r="Q571" s="30"/>
      <x:c r="R571" s="30"/>
      <x:c r="S571" s="30"/>
      <x:c r="T571" s="30"/>
      <x:c r="U571" s="30"/>
      <x:c r="V571" s="30"/>
      <x:c r="W571" s="30"/>
    </x:row>
    <x:row r="572">
      <x:c r="J572" s="30"/>
      <x:c r="K572" s="30"/>
      <x:c r="L572" s="32"/>
      <x:c r="M572" s="32"/>
      <x:c r="N572" s="32"/>
      <x:c r="O572" s="32"/>
      <x:c r="P572" s="30"/>
      <x:c r="Q572" s="30"/>
      <x:c r="R572" s="30"/>
      <x:c r="S572" s="30"/>
      <x:c r="T572" s="30"/>
      <x:c r="U572" s="30"/>
      <x:c r="V572" s="30"/>
      <x:c r="W572" s="30"/>
    </x:row>
    <x:row r="573">
      <x:c r="J573" s="30"/>
      <x:c r="K573" s="30"/>
      <x:c r="L573" s="32"/>
      <x:c r="M573" s="32"/>
      <x:c r="N573" s="32"/>
      <x:c r="O573" s="32"/>
      <x:c r="P573" s="30"/>
      <x:c r="Q573" s="30"/>
      <x:c r="R573" s="30"/>
      <x:c r="S573" s="30"/>
      <x:c r="T573" s="30"/>
      <x:c r="U573" s="30"/>
      <x:c r="V573" s="30"/>
      <x:c r="W573" s="30"/>
    </x:row>
    <x:row r="574">
      <x:c r="J574" s="30"/>
      <x:c r="K574" s="30"/>
      <x:c r="L574" s="32"/>
      <x:c r="M574" s="32"/>
      <x:c r="N574" s="32"/>
      <x:c r="O574" s="32"/>
      <x:c r="P574" s="30"/>
      <x:c r="Q574" s="30"/>
      <x:c r="R574" s="30"/>
      <x:c r="S574" s="30"/>
      <x:c r="T574" s="30"/>
      <x:c r="U574" s="30"/>
      <x:c r="V574" s="30"/>
      <x:c r="W574" s="30"/>
    </x:row>
    <x:row r="575">
      <x:c r="J575" s="30"/>
      <x:c r="K575" s="30"/>
      <x:c r="L575" s="32"/>
      <x:c r="M575" s="32"/>
      <x:c r="N575" s="32"/>
      <x:c r="O575" s="32"/>
      <x:c r="P575" s="30"/>
      <x:c r="Q575" s="30"/>
      <x:c r="R575" s="30"/>
      <x:c r="S575" s="30"/>
      <x:c r="T575" s="30"/>
      <x:c r="U575" s="30"/>
      <x:c r="V575" s="30"/>
      <x:c r="W575" s="30"/>
    </x:row>
    <x:row r="576">
      <x:c r="J576" s="30"/>
      <x:c r="K576" s="30"/>
      <x:c r="L576" s="32"/>
      <x:c r="M576" s="32"/>
      <x:c r="N576" s="32"/>
      <x:c r="O576" s="32"/>
      <x:c r="P576" s="30"/>
      <x:c r="Q576" s="30"/>
      <x:c r="R576" s="30"/>
      <x:c r="S576" s="30"/>
      <x:c r="T576" s="30"/>
      <x:c r="U576" s="30"/>
      <x:c r="V576" s="30"/>
      <x:c r="W576" s="30"/>
    </x:row>
    <x:row r="577">
      <x:c r="J577" s="30"/>
      <x:c r="K577" s="30"/>
      <x:c r="L577" s="32"/>
      <x:c r="M577" s="32"/>
      <x:c r="N577" s="32"/>
      <x:c r="O577" s="32"/>
      <x:c r="P577" s="30"/>
      <x:c r="Q577" s="30"/>
      <x:c r="R577" s="30"/>
      <x:c r="S577" s="30"/>
      <x:c r="T577" s="30"/>
      <x:c r="U577" s="30"/>
      <x:c r="V577" s="30"/>
      <x:c r="W577" s="30"/>
    </x:row>
    <x:row r="578">
      <x:c r="J578" s="30"/>
      <x:c r="K578" s="30"/>
      <x:c r="L578" s="32"/>
      <x:c r="M578" s="32"/>
      <x:c r="N578" s="32"/>
      <x:c r="O578" s="32"/>
      <x:c r="P578" s="30"/>
      <x:c r="Q578" s="30"/>
      <x:c r="R578" s="30"/>
      <x:c r="S578" s="30"/>
      <x:c r="T578" s="30"/>
      <x:c r="U578" s="30"/>
      <x:c r="V578" s="30"/>
      <x:c r="W578" s="30"/>
    </x:row>
    <x:row r="579">
      <x:c r="J579" s="30"/>
      <x:c r="K579" s="30"/>
      <x:c r="L579" s="32"/>
      <x:c r="M579" s="32"/>
      <x:c r="N579" s="32"/>
      <x:c r="O579" s="32"/>
      <x:c r="P579" s="30"/>
      <x:c r="Q579" s="30"/>
      <x:c r="R579" s="30"/>
      <x:c r="S579" s="30"/>
      <x:c r="T579" s="30"/>
      <x:c r="U579" s="30"/>
      <x:c r="V579" s="30"/>
      <x:c r="W579" s="30"/>
    </x:row>
    <x:row r="580">
      <x:c r="J580" s="30"/>
      <x:c r="K580" s="30"/>
      <x:c r="L580" s="32"/>
      <x:c r="M580" s="32"/>
      <x:c r="N580" s="32"/>
      <x:c r="O580" s="32"/>
      <x:c r="P580" s="30"/>
      <x:c r="Q580" s="30"/>
      <x:c r="R580" s="30"/>
      <x:c r="S580" s="30"/>
      <x:c r="T580" s="30"/>
      <x:c r="U580" s="30"/>
      <x:c r="V580" s="30"/>
      <x:c r="W580" s="30"/>
    </x:row>
    <x:row r="581">
      <x:c r="J581" s="30"/>
      <x:c r="K581" s="30"/>
      <x:c r="L581" s="32"/>
      <x:c r="M581" s="32"/>
      <x:c r="N581" s="32"/>
      <x:c r="O581" s="32"/>
      <x:c r="P581" s="30"/>
      <x:c r="Q581" s="30"/>
      <x:c r="R581" s="30"/>
      <x:c r="S581" s="30"/>
      <x:c r="T581" s="30"/>
      <x:c r="U581" s="30"/>
      <x:c r="V581" s="30"/>
      <x:c r="W581" s="30"/>
    </x:row>
    <x:row r="582">
      <x:c r="J582" s="30"/>
      <x:c r="K582" s="30"/>
      <x:c r="L582" s="32"/>
      <x:c r="M582" s="32"/>
      <x:c r="N582" s="32"/>
      <x:c r="O582" s="32"/>
      <x:c r="P582" s="30"/>
      <x:c r="Q582" s="30"/>
      <x:c r="R582" s="30"/>
      <x:c r="S582" s="30"/>
      <x:c r="T582" s="30"/>
      <x:c r="U582" s="30"/>
      <x:c r="V582" s="30"/>
      <x:c r="W582" s="30"/>
    </x:row>
    <x:row r="583">
      <x:c r="J583" s="30"/>
      <x:c r="K583" s="30"/>
      <x:c r="L583" s="32"/>
      <x:c r="M583" s="32"/>
      <x:c r="N583" s="32"/>
      <x:c r="O583" s="32"/>
      <x:c r="P583" s="30"/>
      <x:c r="Q583" s="30"/>
      <x:c r="R583" s="30"/>
      <x:c r="S583" s="30"/>
      <x:c r="T583" s="30"/>
      <x:c r="U583" s="30"/>
      <x:c r="V583" s="30"/>
      <x:c r="W583" s="30"/>
    </x:row>
    <x:row r="584">
      <x:c r="J584" s="30"/>
      <x:c r="K584" s="30"/>
      <x:c r="L584" s="32"/>
      <x:c r="M584" s="32"/>
      <x:c r="N584" s="32"/>
      <x:c r="O584" s="32"/>
      <x:c r="P584" s="30"/>
      <x:c r="Q584" s="30"/>
      <x:c r="R584" s="30"/>
      <x:c r="S584" s="30"/>
      <x:c r="T584" s="30"/>
      <x:c r="U584" s="30"/>
      <x:c r="V584" s="30"/>
      <x:c r="W584" s="30"/>
    </x:row>
    <x:row r="585">
      <x:c r="J585" s="30"/>
      <x:c r="K585" s="30"/>
      <x:c r="L585" s="32"/>
      <x:c r="M585" s="32"/>
      <x:c r="N585" s="32"/>
      <x:c r="O585" s="32"/>
      <x:c r="P585" s="30"/>
      <x:c r="Q585" s="30"/>
      <x:c r="R585" s="30"/>
      <x:c r="S585" s="30"/>
      <x:c r="T585" s="30"/>
      <x:c r="U585" s="30"/>
      <x:c r="V585" s="30"/>
      <x:c r="W585" s="30"/>
    </x:row>
    <x:row r="586">
      <x:c r="J586" s="30"/>
      <x:c r="K586" s="30"/>
      <x:c r="L586" s="32"/>
      <x:c r="M586" s="32"/>
      <x:c r="N586" s="32"/>
      <x:c r="O586" s="32"/>
      <x:c r="P586" s="30"/>
      <x:c r="Q586" s="30"/>
      <x:c r="R586" s="30"/>
      <x:c r="S586" s="30"/>
      <x:c r="T586" s="30"/>
      <x:c r="U586" s="30"/>
      <x:c r="V586" s="30"/>
      <x:c r="W586" s="30"/>
    </x:row>
    <x:row r="587">
      <x:c r="J587" s="30"/>
      <x:c r="K587" s="30"/>
      <x:c r="L587" s="32"/>
      <x:c r="M587" s="32"/>
      <x:c r="N587" s="32"/>
      <x:c r="O587" s="32"/>
      <x:c r="P587" s="30"/>
      <x:c r="Q587" s="30"/>
      <x:c r="R587" s="30"/>
      <x:c r="S587" s="30"/>
      <x:c r="T587" s="30"/>
      <x:c r="U587" s="30"/>
      <x:c r="V587" s="30"/>
      <x:c r="W587" s="30"/>
    </x:row>
    <x:row r="588">
      <x:c r="J588" s="30"/>
      <x:c r="K588" s="30"/>
      <x:c r="L588" s="32"/>
      <x:c r="M588" s="32"/>
      <x:c r="N588" s="32"/>
      <x:c r="O588" s="32"/>
      <x:c r="P588" s="30"/>
      <x:c r="Q588" s="30"/>
      <x:c r="R588" s="30"/>
      <x:c r="S588" s="30"/>
      <x:c r="T588" s="30"/>
      <x:c r="U588" s="30"/>
      <x:c r="V588" s="30"/>
      <x:c r="W588" s="30"/>
    </x:row>
    <x:row r="589">
      <x:c r="J589" s="30"/>
      <x:c r="K589" s="30"/>
      <x:c r="L589" s="32"/>
      <x:c r="M589" s="32"/>
      <x:c r="N589" s="32"/>
      <x:c r="O589" s="32"/>
      <x:c r="P589" s="30"/>
      <x:c r="Q589" s="30"/>
      <x:c r="R589" s="30"/>
      <x:c r="S589" s="30"/>
      <x:c r="T589" s="30"/>
      <x:c r="U589" s="30"/>
      <x:c r="V589" s="30"/>
      <x:c r="W589" s="30"/>
    </x:row>
    <x:row r="590">
      <x:c r="J590" s="30"/>
      <x:c r="K590" s="30"/>
      <x:c r="L590" s="32"/>
      <x:c r="M590" s="32"/>
      <x:c r="N590" s="32"/>
      <x:c r="O590" s="32"/>
      <x:c r="P590" s="30"/>
      <x:c r="Q590" s="30"/>
      <x:c r="R590" s="30"/>
      <x:c r="S590" s="30"/>
      <x:c r="T590" s="30"/>
      <x:c r="U590" s="30"/>
      <x:c r="V590" s="30"/>
      <x:c r="W590" s="30"/>
    </x:row>
    <x:row r="591">
      <x:c r="J591" s="30"/>
      <x:c r="K591" s="30"/>
      <x:c r="L591" s="32"/>
      <x:c r="M591" s="32"/>
      <x:c r="N591" s="32"/>
      <x:c r="O591" s="32"/>
      <x:c r="P591" s="30"/>
      <x:c r="Q591" s="30"/>
      <x:c r="R591" s="30"/>
      <x:c r="S591" s="30"/>
      <x:c r="T591" s="30"/>
      <x:c r="U591" s="30"/>
      <x:c r="V591" s="30"/>
      <x:c r="W591" s="30"/>
    </x:row>
    <x:row r="592">
      <x:c r="J592" s="30"/>
      <x:c r="K592" s="30"/>
      <x:c r="L592" s="32"/>
      <x:c r="M592" s="32"/>
      <x:c r="N592" s="32"/>
      <x:c r="O592" s="32"/>
      <x:c r="P592" s="30"/>
      <x:c r="Q592" s="30"/>
      <x:c r="R592" s="30"/>
      <x:c r="S592" s="30"/>
      <x:c r="T592" s="30"/>
      <x:c r="U592" s="30"/>
      <x:c r="V592" s="30"/>
      <x:c r="W592" s="30"/>
    </x:row>
    <x:row r="593">
      <x:c r="J593" s="30"/>
      <x:c r="K593" s="30"/>
      <x:c r="L593" s="32"/>
      <x:c r="M593" s="32"/>
      <x:c r="N593" s="32"/>
      <x:c r="O593" s="32"/>
      <x:c r="P593" s="30"/>
      <x:c r="Q593" s="30"/>
      <x:c r="R593" s="30"/>
      <x:c r="S593" s="30"/>
      <x:c r="T593" s="30"/>
      <x:c r="U593" s="30"/>
      <x:c r="V593" s="30"/>
      <x:c r="W593" s="30"/>
    </x:row>
    <x:row r="594">
      <x:c r="J594" s="30"/>
      <x:c r="K594" s="30"/>
      <x:c r="L594" s="32"/>
      <x:c r="M594" s="32"/>
      <x:c r="N594" s="32"/>
      <x:c r="O594" s="32"/>
      <x:c r="P594" s="30"/>
      <x:c r="Q594" s="30"/>
      <x:c r="R594" s="30"/>
      <x:c r="S594" s="30"/>
      <x:c r="T594" s="30"/>
      <x:c r="U594" s="30"/>
      <x:c r="V594" s="30"/>
      <x:c r="W594" s="30"/>
    </x:row>
    <x:row r="595">
      <x:c r="J595" s="30"/>
      <x:c r="K595" s="30"/>
      <x:c r="L595" s="32"/>
      <x:c r="M595" s="32"/>
      <x:c r="N595" s="32"/>
      <x:c r="O595" s="32"/>
      <x:c r="P595" s="30"/>
      <x:c r="Q595" s="30"/>
      <x:c r="R595" s="30"/>
      <x:c r="S595" s="30"/>
      <x:c r="T595" s="30"/>
      <x:c r="U595" s="30"/>
      <x:c r="V595" s="30"/>
      <x:c r="W595" s="30"/>
    </x:row>
    <x:row r="596">
      <x:c r="J596" s="30"/>
      <x:c r="K596" s="30"/>
      <x:c r="L596" s="32"/>
      <x:c r="M596" s="32"/>
      <x:c r="N596" s="32"/>
      <x:c r="O596" s="32"/>
      <x:c r="P596" s="30"/>
      <x:c r="Q596" s="30"/>
      <x:c r="R596" s="30"/>
      <x:c r="S596" s="30"/>
      <x:c r="T596" s="30"/>
      <x:c r="U596" s="30"/>
      <x:c r="V596" s="30"/>
      <x:c r="W596" s="30"/>
    </x:row>
    <x:row r="597">
      <x:c r="J597" s="30"/>
      <x:c r="K597" s="30"/>
      <x:c r="L597" s="32"/>
      <x:c r="M597" s="32"/>
      <x:c r="N597" s="32"/>
      <x:c r="O597" s="32"/>
      <x:c r="P597" s="30"/>
      <x:c r="Q597" s="30"/>
      <x:c r="R597" s="30"/>
      <x:c r="S597" s="30"/>
      <x:c r="T597" s="30"/>
      <x:c r="U597" s="30"/>
      <x:c r="V597" s="30"/>
      <x:c r="W597" s="30"/>
    </x:row>
    <x:row r="598">
      <x:c r="J598" s="30"/>
      <x:c r="K598" s="30"/>
      <x:c r="L598" s="32"/>
      <x:c r="M598" s="32"/>
      <x:c r="N598" s="32"/>
      <x:c r="O598" s="32"/>
      <x:c r="P598" s="30"/>
      <x:c r="Q598" s="30"/>
      <x:c r="R598" s="30"/>
      <x:c r="S598" s="30"/>
      <x:c r="T598" s="30"/>
      <x:c r="U598" s="30"/>
      <x:c r="V598" s="30"/>
      <x:c r="W598" s="30"/>
    </x:row>
    <x:row r="599">
      <x:c r="J599" s="30"/>
      <x:c r="K599" s="30"/>
      <x:c r="L599" s="32"/>
      <x:c r="M599" s="32"/>
      <x:c r="N599" s="32"/>
      <x:c r="O599" s="32"/>
      <x:c r="P599" s="30"/>
      <x:c r="Q599" s="30"/>
      <x:c r="R599" s="30"/>
      <x:c r="S599" s="30"/>
      <x:c r="T599" s="30"/>
      <x:c r="U599" s="30"/>
      <x:c r="V599" s="30"/>
      <x:c r="W599" s="30"/>
    </x:row>
    <x:row r="600">
      <x:c r="J600" s="30"/>
      <x:c r="K600" s="30"/>
      <x:c r="L600" s="32"/>
      <x:c r="M600" s="32"/>
      <x:c r="N600" s="32"/>
      <x:c r="O600" s="32"/>
      <x:c r="P600" s="30"/>
      <x:c r="Q600" s="30"/>
      <x:c r="R600" s="30"/>
      <x:c r="S600" s="30"/>
      <x:c r="T600" s="30"/>
      <x:c r="U600" s="30"/>
      <x:c r="V600" s="30"/>
      <x:c r="W600" s="30"/>
    </x:row>
    <x:row r="601">
      <x:c r="J601" s="30"/>
      <x:c r="K601" s="30"/>
      <x:c r="L601" s="32"/>
      <x:c r="M601" s="32"/>
      <x:c r="N601" s="32"/>
      <x:c r="O601" s="32"/>
      <x:c r="P601" s="30"/>
      <x:c r="Q601" s="30"/>
      <x:c r="R601" s="30"/>
      <x:c r="S601" s="30"/>
      <x:c r="T601" s="30"/>
      <x:c r="U601" s="30"/>
      <x:c r="V601" s="30"/>
      <x:c r="W601" s="30"/>
    </x:row>
    <x:row r="602">
      <x:c r="J602" s="30"/>
      <x:c r="K602" s="30"/>
      <x:c r="L602" s="32"/>
      <x:c r="M602" s="32"/>
      <x:c r="N602" s="32"/>
      <x:c r="O602" s="32"/>
      <x:c r="P602" s="30"/>
      <x:c r="Q602" s="30"/>
      <x:c r="R602" s="30"/>
      <x:c r="S602" s="30"/>
      <x:c r="T602" s="30"/>
      <x:c r="U602" s="30"/>
      <x:c r="V602" s="30"/>
      <x:c r="W602" s="30"/>
    </x:row>
    <x:row r="603">
      <x:c r="J603" s="30"/>
      <x:c r="K603" s="30"/>
      <x:c r="L603" s="32"/>
      <x:c r="M603" s="32"/>
      <x:c r="N603" s="32"/>
      <x:c r="O603" s="32"/>
      <x:c r="P603" s="30"/>
      <x:c r="Q603" s="30"/>
      <x:c r="R603" s="30"/>
      <x:c r="S603" s="30"/>
      <x:c r="T603" s="30"/>
      <x:c r="U603" s="30"/>
      <x:c r="V603" s="30"/>
      <x:c r="W603" s="30"/>
    </x:row>
    <x:row r="604">
      <x:c r="J604" s="30"/>
      <x:c r="K604" s="30"/>
      <x:c r="L604" s="32"/>
      <x:c r="M604" s="32"/>
      <x:c r="N604" s="32"/>
      <x:c r="O604" s="32"/>
      <x:c r="P604" s="30"/>
      <x:c r="Q604" s="30"/>
      <x:c r="R604" s="30"/>
      <x:c r="S604" s="30"/>
      <x:c r="T604" s="30"/>
      <x:c r="U604" s="30"/>
      <x:c r="V604" s="30"/>
      <x:c r="W604" s="30"/>
    </x:row>
    <x:row r="605">
      <x:c r="J605" s="30"/>
      <x:c r="K605" s="30"/>
      <x:c r="L605" s="32"/>
      <x:c r="M605" s="32"/>
      <x:c r="N605" s="32"/>
      <x:c r="O605" s="32"/>
      <x:c r="P605" s="30"/>
      <x:c r="Q605" s="30"/>
      <x:c r="R605" s="30"/>
      <x:c r="S605" s="30"/>
      <x:c r="T605" s="30"/>
      <x:c r="U605" s="30"/>
      <x:c r="V605" s="30"/>
      <x:c r="W605" s="30"/>
    </x:row>
    <x:row r="606">
      <x:c r="J606" s="30"/>
      <x:c r="K606" s="30"/>
      <x:c r="L606" s="32"/>
      <x:c r="M606" s="32"/>
      <x:c r="N606" s="32"/>
      <x:c r="O606" s="32"/>
      <x:c r="P606" s="30"/>
      <x:c r="Q606" s="30"/>
      <x:c r="R606" s="30"/>
      <x:c r="S606" s="30"/>
      <x:c r="T606" s="30"/>
      <x:c r="U606" s="30"/>
      <x:c r="V606" s="30"/>
      <x:c r="W606" s="30"/>
    </x:row>
    <x:row r="607">
      <x:c r="J607" s="30"/>
      <x:c r="K607" s="30"/>
      <x:c r="L607" s="32"/>
      <x:c r="M607" s="32"/>
      <x:c r="N607" s="32"/>
      <x:c r="O607" s="32"/>
      <x:c r="P607" s="30"/>
      <x:c r="Q607" s="30"/>
      <x:c r="R607" s="30"/>
      <x:c r="S607" s="30"/>
      <x:c r="T607" s="30"/>
      <x:c r="U607" s="30"/>
      <x:c r="V607" s="30"/>
      <x:c r="W607" s="30"/>
    </x:row>
    <x:row r="608">
      <x:c r="J608" s="30"/>
      <x:c r="K608" s="30"/>
      <x:c r="L608" s="32"/>
      <x:c r="M608" s="32"/>
      <x:c r="N608" s="32"/>
      <x:c r="O608" s="32"/>
      <x:c r="P608" s="30"/>
      <x:c r="Q608" s="30"/>
      <x:c r="R608" s="30"/>
      <x:c r="S608" s="30"/>
      <x:c r="T608" s="30"/>
      <x:c r="U608" s="30"/>
      <x:c r="V608" s="30"/>
      <x:c r="W608" s="30"/>
    </x:row>
    <x:row r="609">
      <x:c r="J609" s="30"/>
      <x:c r="K609" s="30"/>
      <x:c r="L609" s="32"/>
      <x:c r="M609" s="32"/>
      <x:c r="N609" s="32"/>
      <x:c r="O609" s="32"/>
      <x:c r="P609" s="30"/>
      <x:c r="Q609" s="30"/>
      <x:c r="R609" s="30"/>
      <x:c r="S609" s="30"/>
      <x:c r="T609" s="30"/>
      <x:c r="U609" s="30"/>
      <x:c r="V609" s="30"/>
      <x:c r="W609" s="30"/>
    </x:row>
    <x:row r="610">
      <x:c r="J610" s="30"/>
      <x:c r="K610" s="30"/>
      <x:c r="L610" s="32"/>
      <x:c r="M610" s="32"/>
      <x:c r="N610" s="32"/>
      <x:c r="O610" s="32"/>
      <x:c r="P610" s="30"/>
      <x:c r="Q610" s="30"/>
      <x:c r="R610" s="30"/>
      <x:c r="S610" s="30"/>
      <x:c r="T610" s="30"/>
      <x:c r="U610" s="30"/>
      <x:c r="V610" s="30"/>
      <x:c r="W610" s="30"/>
    </x:row>
    <x:row r="611">
      <x:c r="J611" s="30"/>
      <x:c r="K611" s="30"/>
      <x:c r="L611" s="32"/>
      <x:c r="M611" s="32"/>
      <x:c r="N611" s="32"/>
      <x:c r="O611" s="32"/>
      <x:c r="P611" s="30"/>
      <x:c r="Q611" s="30"/>
      <x:c r="R611" s="30"/>
      <x:c r="S611" s="30"/>
      <x:c r="T611" s="30"/>
      <x:c r="U611" s="30"/>
      <x:c r="V611" s="30"/>
      <x:c r="W611" s="30"/>
    </x:row>
    <x:row r="612">
      <x:c r="J612" s="30"/>
      <x:c r="K612" s="30"/>
      <x:c r="L612" s="32"/>
      <x:c r="M612" s="32"/>
      <x:c r="N612" s="32"/>
      <x:c r="O612" s="32"/>
      <x:c r="P612" s="30"/>
      <x:c r="Q612" s="30"/>
      <x:c r="R612" s="30"/>
      <x:c r="S612" s="30"/>
      <x:c r="T612" s="30"/>
      <x:c r="U612" s="30"/>
      <x:c r="V612" s="30"/>
      <x:c r="W612" s="30"/>
    </x:row>
    <x:row r="613">
      <x:c r="J613" s="30"/>
      <x:c r="K613" s="30"/>
      <x:c r="L613" s="32"/>
      <x:c r="M613" s="32"/>
      <x:c r="N613" s="32"/>
      <x:c r="O613" s="32"/>
      <x:c r="P613" s="30"/>
      <x:c r="Q613" s="30"/>
      <x:c r="R613" s="30"/>
      <x:c r="S613" s="30"/>
      <x:c r="T613" s="30"/>
      <x:c r="U613" s="30"/>
      <x:c r="V613" s="30"/>
      <x:c r="W613" s="30"/>
    </x:row>
    <x:row r="614">
      <x:c r="J614" s="30"/>
      <x:c r="K614" s="30"/>
      <x:c r="L614" s="32"/>
      <x:c r="M614" s="32"/>
      <x:c r="N614" s="32"/>
      <x:c r="O614" s="32"/>
      <x:c r="P614" s="30"/>
      <x:c r="Q614" s="30"/>
      <x:c r="R614" s="30"/>
      <x:c r="S614" s="30"/>
      <x:c r="T614" s="30"/>
      <x:c r="U614" s="30"/>
      <x:c r="V614" s="30"/>
      <x:c r="W614" s="30"/>
    </x:row>
    <x:row r="615">
      <x:c r="J615" s="30"/>
      <x:c r="K615" s="30"/>
      <x:c r="L615" s="32"/>
      <x:c r="M615" s="32"/>
      <x:c r="N615" s="32"/>
      <x:c r="O615" s="32"/>
      <x:c r="P615" s="30"/>
      <x:c r="Q615" s="30"/>
      <x:c r="R615" s="30"/>
      <x:c r="S615" s="30"/>
      <x:c r="T615" s="30"/>
      <x:c r="U615" s="30"/>
      <x:c r="V615" s="30"/>
      <x:c r="W615" s="30"/>
    </x:row>
    <x:row r="616">
      <x:c r="J616" s="30"/>
      <x:c r="K616" s="30"/>
      <x:c r="L616" s="32"/>
      <x:c r="M616" s="32"/>
      <x:c r="N616" s="32"/>
      <x:c r="O616" s="32"/>
      <x:c r="P616" s="30"/>
      <x:c r="Q616" s="30"/>
      <x:c r="R616" s="30"/>
      <x:c r="S616" s="30"/>
      <x:c r="T616" s="30"/>
      <x:c r="U616" s="30"/>
      <x:c r="V616" s="30"/>
      <x:c r="W616" s="30"/>
    </x:row>
    <x:row r="617">
      <x:c r="J617" s="30"/>
      <x:c r="K617" s="30"/>
      <x:c r="L617" s="32"/>
      <x:c r="M617" s="32"/>
      <x:c r="N617" s="32"/>
      <x:c r="O617" s="32"/>
      <x:c r="P617" s="30"/>
      <x:c r="Q617" s="30"/>
      <x:c r="R617" s="30"/>
      <x:c r="S617" s="30"/>
      <x:c r="T617" s="30"/>
      <x:c r="U617" s="30"/>
      <x:c r="V617" s="30"/>
      <x:c r="W617" s="30"/>
    </x:row>
    <x:row r="618">
      <x:c r="J618" s="30"/>
      <x:c r="K618" s="30"/>
      <x:c r="L618" s="32"/>
      <x:c r="M618" s="32"/>
      <x:c r="N618" s="32"/>
      <x:c r="O618" s="32"/>
      <x:c r="P618" s="30"/>
      <x:c r="Q618" s="30"/>
      <x:c r="R618" s="30"/>
      <x:c r="S618" s="30"/>
      <x:c r="T618" s="30"/>
      <x:c r="U618" s="30"/>
      <x:c r="V618" s="30"/>
      <x:c r="W618" s="30"/>
    </x:row>
    <x:row r="619">
      <x:c r="J619" s="30"/>
      <x:c r="K619" s="30"/>
      <x:c r="L619" s="32"/>
      <x:c r="M619" s="32"/>
      <x:c r="N619" s="32"/>
      <x:c r="O619" s="32"/>
      <x:c r="P619" s="30"/>
      <x:c r="Q619" s="30"/>
      <x:c r="R619" s="30"/>
      <x:c r="S619" s="30"/>
      <x:c r="T619" s="30"/>
      <x:c r="U619" s="30"/>
      <x:c r="V619" s="30"/>
      <x:c r="W619" s="30"/>
    </x:row>
    <x:row r="620">
      <x:c r="J620" s="30"/>
      <x:c r="K620" s="30"/>
      <x:c r="L620" s="32"/>
      <x:c r="M620" s="32"/>
      <x:c r="N620" s="32"/>
      <x:c r="O620" s="32"/>
      <x:c r="P620" s="30"/>
      <x:c r="Q620" s="30"/>
      <x:c r="R620" s="30"/>
      <x:c r="S620" s="30"/>
      <x:c r="T620" s="30"/>
      <x:c r="U620" s="30"/>
      <x:c r="V620" s="30"/>
      <x:c r="W620" s="30"/>
    </x:row>
    <x:row r="621">
      <x:c r="J621" s="30"/>
      <x:c r="K621" s="30"/>
      <x:c r="L621" s="32"/>
      <x:c r="M621" s="32"/>
      <x:c r="N621" s="32"/>
      <x:c r="O621" s="32"/>
      <x:c r="P621" s="30"/>
      <x:c r="Q621" s="30"/>
      <x:c r="R621" s="30"/>
      <x:c r="S621" s="30"/>
      <x:c r="T621" s="30"/>
      <x:c r="U621" s="30"/>
      <x:c r="V621" s="30"/>
      <x:c r="W621" s="30"/>
    </x:row>
    <x:row r="622">
      <x:c r="J622" s="30"/>
      <x:c r="K622" s="30"/>
      <x:c r="L622" s="32"/>
      <x:c r="M622" s="32"/>
      <x:c r="N622" s="32"/>
      <x:c r="O622" s="32"/>
      <x:c r="P622" s="30"/>
      <x:c r="Q622" s="30"/>
      <x:c r="R622" s="30"/>
      <x:c r="S622" s="30"/>
      <x:c r="T622" s="30"/>
      <x:c r="U622" s="30"/>
      <x:c r="V622" s="30"/>
      <x:c r="W622" s="30"/>
    </x:row>
    <x:row r="623">
      <x:c r="J623" s="30"/>
      <x:c r="K623" s="30"/>
      <x:c r="L623" s="32"/>
      <x:c r="M623" s="32"/>
      <x:c r="N623" s="32"/>
      <x:c r="O623" s="32"/>
      <x:c r="P623" s="30"/>
      <x:c r="Q623" s="30"/>
      <x:c r="R623" s="30"/>
      <x:c r="S623" s="30"/>
      <x:c r="T623" s="30"/>
      <x:c r="U623" s="30"/>
      <x:c r="V623" s="30"/>
      <x:c r="W623" s="30"/>
    </x:row>
    <x:row r="624">
      <x:c r="J624" s="30"/>
      <x:c r="K624" s="30"/>
      <x:c r="L624" s="32"/>
      <x:c r="M624" s="32"/>
      <x:c r="N624" s="32"/>
      <x:c r="O624" s="32"/>
      <x:c r="P624" s="30"/>
      <x:c r="Q624" s="30"/>
      <x:c r="R624" s="30"/>
      <x:c r="S624" s="30"/>
      <x:c r="T624" s="30"/>
      <x:c r="U624" s="30"/>
      <x:c r="V624" s="30"/>
      <x:c r="W624" s="30"/>
    </x:row>
    <x:row r="625">
      <x:c r="J625" s="30"/>
      <x:c r="K625" s="30"/>
      <x:c r="L625" s="32"/>
      <x:c r="M625" s="32"/>
      <x:c r="N625" s="32"/>
      <x:c r="O625" s="32"/>
      <x:c r="P625" s="30"/>
      <x:c r="Q625" s="30"/>
      <x:c r="R625" s="30"/>
      <x:c r="S625" s="30"/>
      <x:c r="T625" s="30"/>
      <x:c r="U625" s="30"/>
      <x:c r="V625" s="30"/>
      <x:c r="W625" s="30"/>
    </x:row>
    <x:row r="626">
      <x:c r="J626" s="30"/>
      <x:c r="K626" s="30"/>
      <x:c r="L626" s="32"/>
      <x:c r="M626" s="32"/>
      <x:c r="N626" s="32"/>
      <x:c r="O626" s="32"/>
      <x:c r="P626" s="30"/>
      <x:c r="Q626" s="30"/>
      <x:c r="R626" s="30"/>
      <x:c r="S626" s="30"/>
      <x:c r="T626" s="30"/>
      <x:c r="U626" s="30"/>
      <x:c r="V626" s="30"/>
      <x:c r="W626" s="30"/>
    </x:row>
    <x:row r="627">
      <x:c r="J627" s="30"/>
      <x:c r="K627" s="30"/>
      <x:c r="L627" s="32"/>
      <x:c r="M627" s="32"/>
      <x:c r="N627" s="32"/>
      <x:c r="O627" s="32"/>
      <x:c r="P627" s="30"/>
      <x:c r="Q627" s="30"/>
      <x:c r="R627" s="30"/>
      <x:c r="S627" s="30"/>
      <x:c r="T627" s="30"/>
      <x:c r="U627" s="30"/>
      <x:c r="V627" s="30"/>
      <x:c r="W627" s="30"/>
    </x:row>
    <x:row r="628">
      <x:c r="J628" s="30"/>
      <x:c r="K628" s="30"/>
      <x:c r="L628" s="32"/>
      <x:c r="M628" s="32"/>
      <x:c r="N628" s="32"/>
      <x:c r="O628" s="32"/>
      <x:c r="P628" s="30"/>
      <x:c r="Q628" s="30"/>
      <x:c r="R628" s="30"/>
      <x:c r="S628" s="30"/>
      <x:c r="T628" s="30"/>
      <x:c r="U628" s="30"/>
      <x:c r="V628" s="30"/>
      <x:c r="W628" s="30"/>
    </x:row>
    <x:row r="629">
      <x:c r="J629" s="30"/>
      <x:c r="K629" s="30"/>
      <x:c r="L629" s="32"/>
      <x:c r="M629" s="32"/>
      <x:c r="N629" s="32"/>
      <x:c r="O629" s="32"/>
      <x:c r="P629" s="30"/>
      <x:c r="Q629" s="30"/>
      <x:c r="R629" s="30"/>
      <x:c r="S629" s="30"/>
      <x:c r="T629" s="30"/>
      <x:c r="U629" s="30"/>
      <x:c r="V629" s="30"/>
      <x:c r="W629" s="30"/>
    </x:row>
    <x:row r="630">
      <x:c r="J630" s="30"/>
      <x:c r="K630" s="30"/>
      <x:c r="L630" s="32"/>
      <x:c r="M630" s="32"/>
      <x:c r="N630" s="32"/>
      <x:c r="O630" s="32"/>
      <x:c r="P630" s="30"/>
      <x:c r="Q630" s="30"/>
      <x:c r="R630" s="30"/>
      <x:c r="S630" s="30"/>
      <x:c r="T630" s="30"/>
      <x:c r="U630" s="30"/>
      <x:c r="V630" s="30"/>
      <x:c r="W630" s="30"/>
    </x:row>
    <x:row r="631">
      <x:c r="J631" s="30"/>
      <x:c r="K631" s="30"/>
      <x:c r="L631" s="32"/>
      <x:c r="M631" s="32"/>
      <x:c r="N631" s="32"/>
      <x:c r="O631" s="32"/>
      <x:c r="P631" s="30"/>
      <x:c r="Q631" s="30"/>
      <x:c r="R631" s="30"/>
      <x:c r="S631" s="30"/>
      <x:c r="T631" s="30"/>
      <x:c r="U631" s="30"/>
      <x:c r="V631" s="30"/>
      <x:c r="W631" s="30"/>
    </x:row>
    <x:row r="632">
      <x:c r="J632" s="30"/>
      <x:c r="K632" s="30"/>
      <x:c r="L632" s="32"/>
      <x:c r="M632" s="32"/>
      <x:c r="N632" s="32"/>
      <x:c r="O632" s="32"/>
      <x:c r="P632" s="30"/>
      <x:c r="Q632" s="30"/>
      <x:c r="R632" s="30"/>
      <x:c r="S632" s="30"/>
      <x:c r="T632" s="30"/>
      <x:c r="U632" s="30"/>
      <x:c r="V632" s="30"/>
      <x:c r="W632" s="30"/>
    </x:row>
    <x:row r="633">
      <x:c r="J633" s="30"/>
      <x:c r="K633" s="30"/>
      <x:c r="L633" s="32"/>
      <x:c r="M633" s="32"/>
      <x:c r="N633" s="32"/>
      <x:c r="O633" s="32"/>
      <x:c r="P633" s="30"/>
      <x:c r="Q633" s="30"/>
      <x:c r="R633" s="30"/>
      <x:c r="S633" s="30"/>
      <x:c r="T633" s="30"/>
      <x:c r="U633" s="30"/>
      <x:c r="V633" s="30"/>
      <x:c r="W633" s="30"/>
    </x:row>
    <x:row r="634">
      <x:c r="J634" s="30"/>
      <x:c r="K634" s="30"/>
      <x:c r="L634" s="32"/>
      <x:c r="M634" s="32"/>
      <x:c r="N634" s="32"/>
      <x:c r="O634" s="32"/>
      <x:c r="P634" s="30"/>
      <x:c r="Q634" s="30"/>
      <x:c r="R634" s="30"/>
      <x:c r="S634" s="30"/>
      <x:c r="T634" s="30"/>
      <x:c r="U634" s="30"/>
      <x:c r="V634" s="30"/>
      <x:c r="W634" s="30"/>
    </x:row>
    <x:row r="635">
      <x:c r="J635" s="30"/>
      <x:c r="K635" s="30"/>
      <x:c r="L635" s="32"/>
      <x:c r="M635" s="32"/>
      <x:c r="N635" s="32"/>
      <x:c r="O635" s="32"/>
      <x:c r="P635" s="30"/>
      <x:c r="Q635" s="30"/>
      <x:c r="R635" s="30"/>
      <x:c r="S635" s="30"/>
      <x:c r="T635" s="30"/>
      <x:c r="U635" s="30"/>
      <x:c r="V635" s="30"/>
      <x:c r="W635" s="30"/>
    </x:row>
    <x:row r="636">
      <x:c r="J636" s="30"/>
      <x:c r="K636" s="30"/>
      <x:c r="L636" s="32"/>
      <x:c r="M636" s="32"/>
      <x:c r="N636" s="32"/>
      <x:c r="O636" s="32"/>
      <x:c r="P636" s="30"/>
      <x:c r="Q636" s="30"/>
      <x:c r="R636" s="30"/>
      <x:c r="S636" s="30"/>
      <x:c r="T636" s="30"/>
      <x:c r="U636" s="30"/>
      <x:c r="V636" s="30"/>
      <x:c r="W636" s="30"/>
    </x:row>
    <x:row r="637">
      <x:c r="J637" s="30"/>
      <x:c r="K637" s="30"/>
      <x:c r="L637" s="32"/>
      <x:c r="M637" s="32"/>
      <x:c r="N637" s="32"/>
      <x:c r="O637" s="32"/>
      <x:c r="P637" s="30"/>
      <x:c r="Q637" s="30"/>
      <x:c r="R637" s="30"/>
      <x:c r="S637" s="30"/>
      <x:c r="T637" s="30"/>
      <x:c r="U637" s="30"/>
      <x:c r="V637" s="30"/>
      <x:c r="W637" s="30"/>
    </x:row>
    <x:row r="638">
      <x:c r="J638" s="30"/>
      <x:c r="K638" s="30"/>
      <x:c r="L638" s="32"/>
      <x:c r="M638" s="32"/>
      <x:c r="N638" s="32"/>
      <x:c r="O638" s="32"/>
      <x:c r="P638" s="30"/>
      <x:c r="Q638" s="30"/>
      <x:c r="R638" s="30"/>
      <x:c r="S638" s="30"/>
      <x:c r="T638" s="30"/>
      <x:c r="U638" s="30"/>
      <x:c r="V638" s="30"/>
      <x:c r="W638" s="30"/>
    </x:row>
    <x:row r="639">
      <x:c r="J639" s="30"/>
      <x:c r="K639" s="30"/>
      <x:c r="L639" s="32"/>
      <x:c r="M639" s="32"/>
      <x:c r="N639" s="32"/>
      <x:c r="O639" s="32"/>
      <x:c r="P639" s="30"/>
      <x:c r="Q639" s="30"/>
      <x:c r="R639" s="30"/>
      <x:c r="S639" s="30"/>
      <x:c r="T639" s="30"/>
      <x:c r="U639" s="30"/>
      <x:c r="V639" s="30"/>
      <x:c r="W639" s="30"/>
    </x:row>
    <x:row r="640">
      <x:c r="J640" s="30"/>
      <x:c r="K640" s="30"/>
      <x:c r="L640" s="32"/>
      <x:c r="M640" s="32"/>
      <x:c r="N640" s="32"/>
      <x:c r="O640" s="32"/>
      <x:c r="P640" s="30"/>
      <x:c r="Q640" s="30"/>
      <x:c r="R640" s="30"/>
      <x:c r="S640" s="30"/>
      <x:c r="T640" s="30"/>
      <x:c r="U640" s="30"/>
      <x:c r="V640" s="30"/>
      <x:c r="W640" s="30"/>
    </x:row>
    <x:row r="641">
      <x:c r="J641" s="30"/>
      <x:c r="K641" s="30"/>
      <x:c r="L641" s="32"/>
      <x:c r="M641" s="32"/>
      <x:c r="N641" s="32"/>
      <x:c r="O641" s="32"/>
      <x:c r="P641" s="30"/>
      <x:c r="Q641" s="30"/>
      <x:c r="R641" s="30"/>
      <x:c r="S641" s="30"/>
      <x:c r="T641" s="30"/>
      <x:c r="U641" s="30"/>
      <x:c r="V641" s="30"/>
      <x:c r="W641" s="30"/>
    </x:row>
    <x:row r="642">
      <x:c r="J642" s="30"/>
      <x:c r="K642" s="30"/>
      <x:c r="L642" s="32"/>
      <x:c r="M642" s="32"/>
      <x:c r="N642" s="32"/>
      <x:c r="O642" s="32"/>
      <x:c r="P642" s="30"/>
      <x:c r="Q642" s="30"/>
      <x:c r="R642" s="30"/>
      <x:c r="S642" s="30"/>
      <x:c r="T642" s="30"/>
      <x:c r="U642" s="30"/>
      <x:c r="V642" s="30"/>
      <x:c r="W642" s="30"/>
    </x:row>
    <x:row r="643">
      <x:c r="J643" s="30"/>
      <x:c r="K643" s="30"/>
      <x:c r="L643" s="32"/>
      <x:c r="M643" s="32"/>
      <x:c r="N643" s="32"/>
      <x:c r="O643" s="32"/>
      <x:c r="P643" s="30"/>
      <x:c r="Q643" s="30"/>
      <x:c r="R643" s="30"/>
      <x:c r="S643" s="30"/>
      <x:c r="T643" s="30"/>
      <x:c r="U643" s="30"/>
      <x:c r="V643" s="30"/>
      <x:c r="W643" s="30"/>
    </x:row>
    <x:row r="644">
      <x:c r="J644" s="30"/>
      <x:c r="K644" s="30"/>
      <x:c r="L644" s="32"/>
      <x:c r="M644" s="32"/>
      <x:c r="N644" s="32"/>
      <x:c r="O644" s="32"/>
      <x:c r="P644" s="30"/>
      <x:c r="Q644" s="30"/>
      <x:c r="R644" s="30"/>
      <x:c r="S644" s="30"/>
      <x:c r="T644" s="30"/>
      <x:c r="U644" s="30"/>
      <x:c r="V644" s="30"/>
      <x:c r="W644" s="30"/>
    </x:row>
    <x:row r="645">
      <x:c r="J645" s="30"/>
      <x:c r="K645" s="30"/>
      <x:c r="L645" s="32"/>
      <x:c r="M645" s="32"/>
      <x:c r="N645" s="32"/>
      <x:c r="O645" s="32"/>
      <x:c r="P645" s="30"/>
      <x:c r="Q645" s="30"/>
      <x:c r="R645" s="30"/>
      <x:c r="S645" s="30"/>
      <x:c r="T645" s="30"/>
      <x:c r="U645" s="30"/>
      <x:c r="V645" s="30"/>
      <x:c r="W645" s="30"/>
    </x:row>
    <x:row r="646">
      <x:c r="J646" s="30"/>
      <x:c r="K646" s="30"/>
      <x:c r="L646" s="32"/>
      <x:c r="M646" s="32"/>
      <x:c r="N646" s="32"/>
      <x:c r="O646" s="32"/>
      <x:c r="P646" s="30"/>
      <x:c r="Q646" s="30"/>
      <x:c r="R646" s="30"/>
      <x:c r="S646" s="30"/>
      <x:c r="T646" s="30"/>
      <x:c r="U646" s="30"/>
      <x:c r="V646" s="30"/>
      <x:c r="W646" s="30"/>
    </x:row>
    <x:row r="647">
      <x:c r="J647" s="30"/>
      <x:c r="K647" s="30"/>
      <x:c r="L647" s="32"/>
      <x:c r="M647" s="32"/>
      <x:c r="N647" s="32"/>
      <x:c r="O647" s="32"/>
      <x:c r="P647" s="30"/>
      <x:c r="Q647" s="30"/>
      <x:c r="R647" s="30"/>
      <x:c r="S647" s="30"/>
      <x:c r="T647" s="30"/>
      <x:c r="U647" s="30"/>
      <x:c r="V647" s="30"/>
      <x:c r="W647" s="30"/>
    </x:row>
    <x:row r="648">
      <x:c r="J648" s="30"/>
      <x:c r="K648" s="30"/>
      <x:c r="L648" s="32"/>
      <x:c r="M648" s="32"/>
      <x:c r="N648" s="32"/>
      <x:c r="O648" s="32"/>
      <x:c r="P648" s="30"/>
      <x:c r="Q648" s="30"/>
      <x:c r="R648" s="30"/>
      <x:c r="S648" s="30"/>
      <x:c r="T648" s="30"/>
      <x:c r="U648" s="30"/>
      <x:c r="V648" s="30"/>
      <x:c r="W648" s="30"/>
    </x:row>
    <x:row r="649">
      <x:c r="J649" s="30"/>
      <x:c r="K649" s="30"/>
      <x:c r="L649" s="32"/>
      <x:c r="M649" s="32"/>
      <x:c r="N649" s="32"/>
      <x:c r="O649" s="32"/>
      <x:c r="P649" s="30"/>
      <x:c r="Q649" s="30"/>
      <x:c r="R649" s="30"/>
      <x:c r="S649" s="30"/>
      <x:c r="T649" s="30"/>
      <x:c r="U649" s="30"/>
      <x:c r="V649" s="30"/>
      <x:c r="W649" s="30"/>
    </x:row>
    <x:row r="650">
      <x:c r="J650" s="30"/>
      <x:c r="K650" s="30"/>
      <x:c r="L650" s="32"/>
      <x:c r="M650" s="32"/>
      <x:c r="N650" s="32"/>
      <x:c r="O650" s="32"/>
      <x:c r="P650" s="30"/>
      <x:c r="Q650" s="30"/>
      <x:c r="R650" s="30"/>
      <x:c r="S650" s="30"/>
      <x:c r="T650" s="30"/>
      <x:c r="U650" s="30"/>
      <x:c r="V650" s="30"/>
      <x:c r="W650" s="30"/>
    </x:row>
    <x:row r="651">
      <x:c r="J651" s="30"/>
      <x:c r="K651" s="30"/>
      <x:c r="L651" s="32"/>
      <x:c r="M651" s="32"/>
      <x:c r="N651" s="32"/>
      <x:c r="O651" s="32"/>
      <x:c r="P651" s="30"/>
      <x:c r="Q651" s="30"/>
      <x:c r="R651" s="30"/>
      <x:c r="S651" s="30"/>
      <x:c r="T651" s="30"/>
      <x:c r="U651" s="30"/>
      <x:c r="V651" s="30"/>
      <x:c r="W651" s="30"/>
    </x:row>
    <x:row r="652">
      <x:c r="J652" s="30"/>
      <x:c r="K652" s="30"/>
      <x:c r="L652" s="32"/>
      <x:c r="M652" s="32"/>
      <x:c r="N652" s="32"/>
      <x:c r="O652" s="32"/>
      <x:c r="P652" s="30"/>
      <x:c r="Q652" s="30"/>
      <x:c r="R652" s="30"/>
      <x:c r="S652" s="30"/>
      <x:c r="T652" s="30"/>
      <x:c r="U652" s="30"/>
      <x:c r="V652" s="30"/>
      <x:c r="W652" s="30"/>
    </x:row>
    <x:row r="653">
      <x:c r="J653" s="30"/>
      <x:c r="K653" s="30"/>
      <x:c r="L653" s="32"/>
      <x:c r="M653" s="32"/>
      <x:c r="N653" s="32"/>
      <x:c r="O653" s="32"/>
      <x:c r="P653" s="30"/>
      <x:c r="Q653" s="30"/>
      <x:c r="R653" s="30"/>
      <x:c r="S653" s="30"/>
      <x:c r="T653" s="30"/>
      <x:c r="U653" s="30"/>
      <x:c r="V653" s="30"/>
      <x:c r="W653" s="30"/>
    </x:row>
    <x:row r="654">
      <x:c r="J654" s="30"/>
      <x:c r="K654" s="30"/>
      <x:c r="L654" s="32"/>
      <x:c r="M654" s="32"/>
      <x:c r="N654" s="32"/>
      <x:c r="O654" s="32"/>
      <x:c r="P654" s="30"/>
      <x:c r="Q654" s="30"/>
      <x:c r="R654" s="30"/>
      <x:c r="S654" s="30"/>
      <x:c r="T654" s="30"/>
      <x:c r="U654" s="30"/>
      <x:c r="V654" s="30"/>
      <x:c r="W654" s="30"/>
    </x:row>
    <x:row r="655">
      <x:c r="J655" s="30"/>
      <x:c r="K655" s="30"/>
      <x:c r="L655" s="32"/>
      <x:c r="M655" s="32"/>
      <x:c r="N655" s="32"/>
      <x:c r="O655" s="32"/>
      <x:c r="P655" s="30"/>
      <x:c r="Q655" s="30"/>
      <x:c r="R655" s="30"/>
      <x:c r="S655" s="30"/>
      <x:c r="T655" s="30"/>
      <x:c r="U655" s="30"/>
      <x:c r="V655" s="30"/>
      <x:c r="W655" s="30"/>
    </x:row>
    <x:row r="656">
      <x:c r="J656" s="30"/>
      <x:c r="K656" s="30"/>
      <x:c r="L656" s="32"/>
      <x:c r="M656" s="32"/>
      <x:c r="N656" s="32"/>
      <x:c r="O656" s="32"/>
      <x:c r="P656" s="30"/>
      <x:c r="Q656" s="30"/>
      <x:c r="R656" s="30"/>
      <x:c r="S656" s="30"/>
      <x:c r="T656" s="30"/>
      <x:c r="U656" s="30"/>
      <x:c r="V656" s="30"/>
      <x:c r="W656" s="30"/>
    </x:row>
    <x:row r="657">
      <x:c r="J657" s="30"/>
      <x:c r="K657" s="30"/>
      <x:c r="L657" s="32"/>
      <x:c r="M657" s="32"/>
      <x:c r="N657" s="32"/>
      <x:c r="O657" s="32"/>
      <x:c r="P657" s="30"/>
      <x:c r="Q657" s="30"/>
      <x:c r="R657" s="30"/>
      <x:c r="S657" s="30"/>
      <x:c r="T657" s="30"/>
      <x:c r="U657" s="30"/>
      <x:c r="V657" s="30"/>
      <x:c r="W657" s="30"/>
    </x:row>
    <x:row r="658">
      <x:c r="J658" s="30"/>
      <x:c r="K658" s="30"/>
      <x:c r="L658" s="32"/>
      <x:c r="M658" s="32"/>
      <x:c r="N658" s="32"/>
      <x:c r="O658" s="32"/>
      <x:c r="P658" s="30"/>
      <x:c r="Q658" s="30"/>
      <x:c r="R658" s="30"/>
      <x:c r="S658" s="30"/>
      <x:c r="T658" s="30"/>
      <x:c r="U658" s="30"/>
      <x:c r="V658" s="30"/>
      <x:c r="W658" s="30"/>
    </x:row>
    <x:row r="659">
      <x:c r="J659" s="30"/>
      <x:c r="K659" s="30"/>
      <x:c r="L659" s="32"/>
      <x:c r="M659" s="32"/>
      <x:c r="N659" s="32"/>
      <x:c r="O659" s="32"/>
      <x:c r="P659" s="30"/>
      <x:c r="Q659" s="30"/>
      <x:c r="R659" s="30"/>
      <x:c r="S659" s="30"/>
      <x:c r="T659" s="30"/>
      <x:c r="U659" s="30"/>
      <x:c r="V659" s="30"/>
      <x:c r="W659" s="30"/>
    </x:row>
    <x:row r="660">
      <x:c r="J660" s="30"/>
      <x:c r="K660" s="30"/>
      <x:c r="L660" s="32"/>
      <x:c r="M660" s="32"/>
      <x:c r="N660" s="32"/>
      <x:c r="O660" s="32"/>
      <x:c r="P660" s="30"/>
      <x:c r="Q660" s="30"/>
      <x:c r="R660" s="30"/>
      <x:c r="S660" s="30"/>
      <x:c r="T660" s="30"/>
      <x:c r="U660" s="30"/>
      <x:c r="V660" s="30"/>
      <x:c r="W660" s="30"/>
    </x:row>
    <x:row r="661">
      <x:c r="J661" s="30"/>
      <x:c r="K661" s="30"/>
      <x:c r="L661" s="32"/>
      <x:c r="M661" s="32"/>
      <x:c r="N661" s="32"/>
      <x:c r="O661" s="32"/>
      <x:c r="P661" s="30"/>
      <x:c r="Q661" s="30"/>
      <x:c r="R661" s="30"/>
      <x:c r="S661" s="30"/>
      <x:c r="T661" s="30"/>
      <x:c r="U661" s="30"/>
      <x:c r="V661" s="30"/>
      <x:c r="W661" s="30"/>
    </x:row>
    <x:row r="662">
      <x:c r="J662" s="30"/>
      <x:c r="K662" s="30"/>
      <x:c r="L662" s="32"/>
      <x:c r="M662" s="32"/>
      <x:c r="N662" s="32"/>
      <x:c r="O662" s="32"/>
      <x:c r="P662" s="30"/>
      <x:c r="Q662" s="30"/>
      <x:c r="R662" s="30"/>
      <x:c r="S662" s="30"/>
      <x:c r="T662" s="30"/>
      <x:c r="U662" s="30"/>
      <x:c r="V662" s="30"/>
      <x:c r="W662" s="30"/>
    </x:row>
    <x:row r="663">
      <x:c r="J663" s="30"/>
      <x:c r="K663" s="30"/>
      <x:c r="L663" s="32"/>
      <x:c r="M663" s="32"/>
      <x:c r="N663" s="32"/>
      <x:c r="O663" s="32"/>
      <x:c r="P663" s="30"/>
      <x:c r="Q663" s="30"/>
      <x:c r="R663" s="30"/>
      <x:c r="S663" s="30"/>
      <x:c r="T663" s="30"/>
      <x:c r="U663" s="30"/>
      <x:c r="V663" s="30"/>
      <x:c r="W663" s="30"/>
    </x:row>
    <x:row r="664">
      <x:c r="J664" s="30"/>
      <x:c r="K664" s="30"/>
      <x:c r="L664" s="32"/>
      <x:c r="M664" s="32"/>
      <x:c r="N664" s="32"/>
      <x:c r="O664" s="32"/>
      <x:c r="P664" s="30"/>
      <x:c r="Q664" s="30"/>
      <x:c r="R664" s="30"/>
      <x:c r="S664" s="30"/>
      <x:c r="T664" s="30"/>
      <x:c r="U664" s="30"/>
      <x:c r="V664" s="30"/>
      <x:c r="W664" s="30"/>
    </x:row>
    <x:row r="665">
      <x:c r="J665" s="30"/>
      <x:c r="K665" s="30"/>
      <x:c r="L665" s="32"/>
      <x:c r="M665" s="32"/>
      <x:c r="N665" s="32"/>
      <x:c r="O665" s="32"/>
      <x:c r="P665" s="30"/>
      <x:c r="Q665" s="30"/>
      <x:c r="R665" s="30"/>
      <x:c r="S665" s="30"/>
      <x:c r="T665" s="30"/>
      <x:c r="U665" s="30"/>
      <x:c r="V665" s="30"/>
      <x:c r="W665" s="30"/>
    </x:row>
    <x:row r="666">
      <x:c r="J666" s="30"/>
      <x:c r="K666" s="30"/>
      <x:c r="L666" s="32"/>
      <x:c r="M666" s="32"/>
      <x:c r="N666" s="32"/>
      <x:c r="O666" s="32"/>
      <x:c r="P666" s="30"/>
      <x:c r="Q666" s="30"/>
      <x:c r="R666" s="30"/>
      <x:c r="S666" s="30"/>
      <x:c r="T666" s="30"/>
      <x:c r="U666" s="30"/>
      <x:c r="V666" s="30"/>
      <x:c r="W666" s="30"/>
    </x:row>
    <x:row r="667">
      <x:c r="J667" s="30"/>
      <x:c r="K667" s="30"/>
      <x:c r="L667" s="32"/>
      <x:c r="M667" s="32"/>
      <x:c r="N667" s="32"/>
      <x:c r="O667" s="32"/>
      <x:c r="P667" s="30"/>
      <x:c r="Q667" s="30"/>
      <x:c r="R667" s="30"/>
      <x:c r="S667" s="30"/>
      <x:c r="T667" s="30"/>
      <x:c r="U667" s="30"/>
      <x:c r="V667" s="30"/>
      <x:c r="W667" s="30"/>
    </x:row>
    <x:row r="668">
      <x:c r="J668" s="30"/>
      <x:c r="K668" s="30"/>
      <x:c r="L668" s="32"/>
      <x:c r="M668" s="32"/>
      <x:c r="N668" s="32"/>
      <x:c r="O668" s="32"/>
      <x:c r="P668" s="30"/>
      <x:c r="Q668" s="30"/>
      <x:c r="R668" s="30"/>
      <x:c r="S668" s="30"/>
      <x:c r="T668" s="30"/>
      <x:c r="U668" s="30"/>
      <x:c r="V668" s="30"/>
      <x:c r="W668" s="30"/>
    </x:row>
    <x:row r="669">
      <x:c r="J669" s="30"/>
      <x:c r="K669" s="30"/>
      <x:c r="L669" s="32"/>
      <x:c r="M669" s="32"/>
      <x:c r="N669" s="32"/>
      <x:c r="O669" s="32"/>
      <x:c r="P669" s="30"/>
      <x:c r="Q669" s="30"/>
      <x:c r="R669" s="30"/>
      <x:c r="S669" s="30"/>
      <x:c r="T669" s="30"/>
      <x:c r="U669" s="30"/>
      <x:c r="V669" s="30"/>
      <x:c r="W669" s="30"/>
    </x:row>
    <x:row r="670">
      <x:c r="J670" s="30"/>
      <x:c r="K670" s="30"/>
      <x:c r="L670" s="32"/>
      <x:c r="M670" s="32"/>
      <x:c r="N670" s="32"/>
      <x:c r="O670" s="32"/>
      <x:c r="P670" s="30"/>
      <x:c r="Q670" s="30"/>
      <x:c r="R670" s="30"/>
      <x:c r="S670" s="30"/>
      <x:c r="T670" s="30"/>
      <x:c r="U670" s="30"/>
      <x:c r="V670" s="30"/>
      <x:c r="W670" s="30"/>
    </x:row>
    <x:row r="671">
      <x:c r="J671" s="30"/>
      <x:c r="K671" s="30"/>
      <x:c r="L671" s="32"/>
      <x:c r="M671" s="32"/>
      <x:c r="N671" s="32"/>
      <x:c r="O671" s="32"/>
      <x:c r="P671" s="30"/>
      <x:c r="Q671" s="30"/>
      <x:c r="R671" s="30"/>
      <x:c r="S671" s="30"/>
      <x:c r="T671" s="30"/>
      <x:c r="U671" s="30"/>
      <x:c r="V671" s="30"/>
      <x:c r="W671" s="30"/>
    </x:row>
    <x:row r="672">
      <x:c r="J672" s="30"/>
      <x:c r="K672" s="30"/>
      <x:c r="L672" s="32"/>
      <x:c r="M672" s="32"/>
      <x:c r="N672" s="32"/>
      <x:c r="O672" s="32"/>
      <x:c r="P672" s="30"/>
      <x:c r="Q672" s="30"/>
      <x:c r="R672" s="30"/>
      <x:c r="S672" s="30"/>
      <x:c r="T672" s="30"/>
      <x:c r="U672" s="30"/>
      <x:c r="V672" s="30"/>
      <x:c r="W672" s="30"/>
    </x:row>
    <x:row r="673">
      <x:c r="J673" s="30"/>
      <x:c r="K673" s="30"/>
      <x:c r="L673" s="32"/>
      <x:c r="M673" s="32"/>
      <x:c r="N673" s="32"/>
      <x:c r="O673" s="32"/>
      <x:c r="P673" s="30"/>
      <x:c r="Q673" s="30"/>
      <x:c r="R673" s="30"/>
      <x:c r="S673" s="30"/>
      <x:c r="T673" s="30"/>
      <x:c r="U673" s="30"/>
      <x:c r="V673" s="30"/>
      <x:c r="W673" s="30"/>
    </x:row>
    <x:row r="674">
      <x:c r="J674" s="30"/>
      <x:c r="K674" s="30"/>
      <x:c r="L674" s="32"/>
      <x:c r="M674" s="32"/>
      <x:c r="N674" s="32"/>
      <x:c r="O674" s="32"/>
      <x:c r="P674" s="30"/>
      <x:c r="Q674" s="30"/>
      <x:c r="R674" s="30"/>
      <x:c r="S674" s="30"/>
      <x:c r="T674" s="30"/>
      <x:c r="U674" s="30"/>
      <x:c r="V674" s="30"/>
      <x:c r="W674" s="30"/>
    </x:row>
    <x:row r="675">
      <x:c r="J675" s="30"/>
      <x:c r="K675" s="30"/>
      <x:c r="L675" s="32"/>
      <x:c r="M675" s="32"/>
      <x:c r="N675" s="32"/>
      <x:c r="O675" s="32"/>
      <x:c r="P675" s="30"/>
      <x:c r="Q675" s="30"/>
      <x:c r="R675" s="30"/>
      <x:c r="S675" s="30"/>
      <x:c r="T675" s="30"/>
      <x:c r="U675" s="30"/>
      <x:c r="V675" s="30"/>
      <x:c r="W675" s="30"/>
    </x:row>
    <x:row r="676">
      <x:c r="J676" s="30"/>
      <x:c r="K676" s="30"/>
      <x:c r="L676" s="32"/>
      <x:c r="M676" s="32"/>
      <x:c r="N676" s="32"/>
      <x:c r="O676" s="32"/>
      <x:c r="P676" s="30"/>
      <x:c r="Q676" s="30"/>
      <x:c r="R676" s="30"/>
      <x:c r="S676" s="30"/>
      <x:c r="T676" s="30"/>
      <x:c r="U676" s="30"/>
      <x:c r="V676" s="30"/>
      <x:c r="W676" s="30"/>
    </x:row>
    <x:row r="677">
      <x:c r="J677" s="30"/>
      <x:c r="K677" s="30"/>
      <x:c r="L677" s="32"/>
      <x:c r="M677" s="32"/>
      <x:c r="N677" s="32"/>
      <x:c r="O677" s="32"/>
      <x:c r="P677" s="30"/>
      <x:c r="Q677" s="30"/>
      <x:c r="R677" s="30"/>
      <x:c r="S677" s="30"/>
      <x:c r="T677" s="30"/>
      <x:c r="U677" s="30"/>
      <x:c r="V677" s="30"/>
      <x:c r="W677" s="30"/>
    </x:row>
    <x:row r="678">
      <x:c r="J678" s="30"/>
      <x:c r="K678" s="30"/>
      <x:c r="L678" s="32"/>
      <x:c r="M678" s="32"/>
      <x:c r="N678" s="32"/>
      <x:c r="O678" s="32"/>
      <x:c r="P678" s="30"/>
      <x:c r="Q678" s="30"/>
      <x:c r="R678" s="30"/>
      <x:c r="S678" s="30"/>
      <x:c r="T678" s="30"/>
      <x:c r="U678" s="30"/>
      <x:c r="V678" s="30"/>
      <x:c r="W678" s="30"/>
    </x:row>
    <x:row r="679">
      <x:c r="J679" s="30"/>
      <x:c r="K679" s="30"/>
      <x:c r="L679" s="32"/>
      <x:c r="M679" s="32"/>
      <x:c r="N679" s="32"/>
      <x:c r="O679" s="32"/>
      <x:c r="P679" s="30"/>
      <x:c r="Q679" s="30"/>
      <x:c r="R679" s="30"/>
      <x:c r="S679" s="30"/>
      <x:c r="T679" s="30"/>
      <x:c r="U679" s="30"/>
      <x:c r="V679" s="30"/>
      <x:c r="W679" s="30"/>
    </x:row>
    <x:row r="680">
      <x:c r="J680" s="30"/>
      <x:c r="K680" s="30"/>
      <x:c r="L680" s="32"/>
      <x:c r="M680" s="32"/>
      <x:c r="N680" s="32"/>
      <x:c r="O680" s="32"/>
      <x:c r="P680" s="30"/>
      <x:c r="Q680" s="30"/>
      <x:c r="R680" s="30"/>
      <x:c r="S680" s="30"/>
      <x:c r="T680" s="30"/>
      <x:c r="U680" s="30"/>
      <x:c r="V680" s="30"/>
      <x:c r="W680" s="30"/>
    </x:row>
    <x:row r="681">
      <x:c r="J681" s="30"/>
      <x:c r="K681" s="30"/>
      <x:c r="L681" s="32"/>
      <x:c r="M681" s="32"/>
      <x:c r="N681" s="32"/>
      <x:c r="O681" s="32"/>
      <x:c r="P681" s="30"/>
      <x:c r="Q681" s="30"/>
      <x:c r="R681" s="30"/>
      <x:c r="S681" s="30"/>
      <x:c r="T681" s="30"/>
      <x:c r="U681" s="30"/>
      <x:c r="V681" s="30"/>
      <x:c r="W681" s="30"/>
    </x:row>
    <x:row r="682">
      <x:c r="J682" s="30"/>
      <x:c r="K682" s="30"/>
      <x:c r="L682" s="32"/>
      <x:c r="M682" s="32"/>
      <x:c r="N682" s="32"/>
      <x:c r="O682" s="32"/>
      <x:c r="P682" s="30"/>
      <x:c r="Q682" s="30"/>
      <x:c r="R682" s="30"/>
      <x:c r="S682" s="30"/>
      <x:c r="T682" s="30"/>
      <x:c r="U682" s="30"/>
      <x:c r="V682" s="30"/>
      <x:c r="W682" s="30"/>
    </x:row>
    <x:row r="683">
      <x:c r="J683" s="30"/>
      <x:c r="K683" s="30"/>
      <x:c r="L683" s="32"/>
      <x:c r="M683" s="32"/>
      <x:c r="N683" s="32"/>
      <x:c r="O683" s="32"/>
      <x:c r="P683" s="30"/>
      <x:c r="Q683" s="30"/>
      <x:c r="R683" s="30"/>
      <x:c r="S683" s="30"/>
      <x:c r="T683" s="30"/>
      <x:c r="U683" s="30"/>
      <x:c r="V683" s="30"/>
      <x:c r="W683" s="30"/>
    </x:row>
    <x:row r="684">
      <x:c r="J684" s="30"/>
      <x:c r="K684" s="30"/>
      <x:c r="L684" s="32"/>
      <x:c r="M684" s="32"/>
      <x:c r="N684" s="32"/>
      <x:c r="O684" s="32"/>
      <x:c r="P684" s="30"/>
      <x:c r="Q684" s="30"/>
      <x:c r="R684" s="30"/>
      <x:c r="S684" s="30"/>
      <x:c r="T684" s="30"/>
      <x:c r="U684" s="30"/>
      <x:c r="V684" s="30"/>
      <x:c r="W684" s="30"/>
    </x:row>
    <x:row r="685">
      <x:c r="J685" s="30"/>
      <x:c r="K685" s="30"/>
      <x:c r="L685" s="32"/>
      <x:c r="M685" s="32"/>
      <x:c r="N685" s="32"/>
      <x:c r="O685" s="32"/>
      <x:c r="P685" s="30"/>
      <x:c r="Q685" s="30"/>
      <x:c r="R685" s="30"/>
      <x:c r="S685" s="30"/>
      <x:c r="T685" s="30"/>
      <x:c r="U685" s="30"/>
      <x:c r="V685" s="30"/>
      <x:c r="W685" s="30"/>
    </x:row>
    <x:row r="686">
      <x:c r="J686" s="30"/>
      <x:c r="K686" s="30"/>
      <x:c r="L686" s="32"/>
      <x:c r="M686" s="32"/>
      <x:c r="N686" s="32"/>
      <x:c r="O686" s="32"/>
      <x:c r="P686" s="30"/>
      <x:c r="Q686" s="30"/>
      <x:c r="R686" s="30"/>
      <x:c r="S686" s="30"/>
      <x:c r="T686" s="30"/>
      <x:c r="U686" s="30"/>
      <x:c r="V686" s="30"/>
      <x:c r="W686" s="30"/>
    </x:row>
    <x:row r="687">
      <x:c r="J687" s="30"/>
      <x:c r="K687" s="30"/>
      <x:c r="L687" s="32"/>
      <x:c r="M687" s="32"/>
      <x:c r="N687" s="32"/>
      <x:c r="O687" s="32"/>
      <x:c r="P687" s="30"/>
      <x:c r="Q687" s="30"/>
      <x:c r="R687" s="30"/>
      <x:c r="S687" s="30"/>
      <x:c r="T687" s="30"/>
      <x:c r="U687" s="30"/>
      <x:c r="V687" s="30"/>
      <x:c r="W687" s="30"/>
    </x:row>
    <x:row r="688">
      <x:c r="J688" s="30"/>
      <x:c r="K688" s="30"/>
      <x:c r="L688" s="32"/>
      <x:c r="M688" s="32"/>
      <x:c r="N688" s="32"/>
      <x:c r="O688" s="32"/>
      <x:c r="P688" s="30"/>
      <x:c r="Q688" s="30"/>
      <x:c r="R688" s="30"/>
      <x:c r="S688" s="30"/>
      <x:c r="T688" s="30"/>
      <x:c r="U688" s="30"/>
      <x:c r="V688" s="30"/>
      <x:c r="W688" s="30"/>
    </x:row>
    <x:row r="689">
      <x:c r="J689" s="30"/>
      <x:c r="K689" s="30"/>
      <x:c r="L689" s="32"/>
      <x:c r="M689" s="32"/>
      <x:c r="N689" s="32"/>
      <x:c r="O689" s="32"/>
      <x:c r="P689" s="30"/>
      <x:c r="Q689" s="30"/>
      <x:c r="R689" s="30"/>
      <x:c r="S689" s="30"/>
      <x:c r="T689" s="30"/>
      <x:c r="U689" s="30"/>
      <x:c r="V689" s="30"/>
      <x:c r="W689" s="30"/>
    </x:row>
    <x:row r="690">
      <x:c r="J690" s="30"/>
      <x:c r="K690" s="30"/>
      <x:c r="L690" s="32"/>
      <x:c r="M690" s="32"/>
      <x:c r="N690" s="32"/>
      <x:c r="O690" s="32"/>
      <x:c r="P690" s="30"/>
      <x:c r="Q690" s="30"/>
      <x:c r="R690" s="30"/>
      <x:c r="S690" s="30"/>
      <x:c r="T690" s="30"/>
      <x:c r="U690" s="30"/>
      <x:c r="V690" s="30"/>
      <x:c r="W690" s="30"/>
    </x:row>
    <x:row r="691">
      <x:c r="J691" s="30"/>
      <x:c r="K691" s="30"/>
      <x:c r="L691" s="32"/>
      <x:c r="M691" s="32"/>
      <x:c r="N691" s="32"/>
      <x:c r="O691" s="32"/>
      <x:c r="P691" s="30"/>
      <x:c r="Q691" s="30"/>
      <x:c r="R691" s="30"/>
      <x:c r="S691" s="30"/>
      <x:c r="T691" s="30"/>
      <x:c r="U691" s="30"/>
      <x:c r="V691" s="30"/>
      <x:c r="W691" s="30"/>
    </x:row>
    <x:row r="692">
      <x:c r="J692" s="30"/>
      <x:c r="K692" s="30"/>
      <x:c r="L692" s="32"/>
      <x:c r="M692" s="32"/>
      <x:c r="N692" s="32"/>
      <x:c r="O692" s="32"/>
      <x:c r="P692" s="30"/>
      <x:c r="Q692" s="30"/>
      <x:c r="R692" s="30"/>
      <x:c r="S692" s="30"/>
      <x:c r="T692" s="30"/>
      <x:c r="U692" s="30"/>
      <x:c r="V692" s="30"/>
      <x:c r="W692" s="30"/>
    </x:row>
    <x:row r="693">
      <x:c r="J693" s="30"/>
      <x:c r="K693" s="30"/>
      <x:c r="L693" s="32"/>
      <x:c r="M693" s="32"/>
      <x:c r="N693" s="32"/>
      <x:c r="O693" s="32"/>
      <x:c r="P693" s="30"/>
      <x:c r="Q693" s="30"/>
      <x:c r="R693" s="30"/>
      <x:c r="S693" s="30"/>
      <x:c r="T693" s="30"/>
      <x:c r="U693" s="30"/>
      <x:c r="V693" s="30"/>
      <x:c r="W693" s="30"/>
    </x:row>
    <x:row r="694">
      <x:c r="J694" s="30"/>
      <x:c r="K694" s="30"/>
      <x:c r="L694" s="32"/>
      <x:c r="M694" s="32"/>
      <x:c r="N694" s="32"/>
      <x:c r="O694" s="32"/>
      <x:c r="P694" s="30"/>
      <x:c r="Q694" s="30"/>
      <x:c r="R694" s="30"/>
      <x:c r="S694" s="30"/>
      <x:c r="T694" s="30"/>
      <x:c r="U694" s="30"/>
      <x:c r="V694" s="30"/>
      <x:c r="W694" s="30"/>
    </x:row>
    <x:row r="695">
      <x:c r="J695" s="30"/>
      <x:c r="K695" s="30"/>
      <x:c r="L695" s="32"/>
      <x:c r="M695" s="32"/>
      <x:c r="N695" s="32"/>
      <x:c r="O695" s="32"/>
      <x:c r="P695" s="30"/>
      <x:c r="Q695" s="30"/>
      <x:c r="R695" s="30"/>
      <x:c r="S695" s="30"/>
      <x:c r="T695" s="30"/>
      <x:c r="U695" s="30"/>
      <x:c r="V695" s="30"/>
      <x:c r="W695" s="30"/>
    </x:row>
    <x:row r="696">
      <x:c r="J696" s="30"/>
      <x:c r="K696" s="30"/>
      <x:c r="L696" s="32"/>
      <x:c r="M696" s="32"/>
      <x:c r="N696" s="32"/>
      <x:c r="O696" s="32"/>
      <x:c r="P696" s="30"/>
      <x:c r="Q696" s="30"/>
      <x:c r="R696" s="30"/>
      <x:c r="S696" s="30"/>
      <x:c r="T696" s="30"/>
      <x:c r="U696" s="30"/>
      <x:c r="V696" s="30"/>
      <x:c r="W696" s="30"/>
    </x:row>
    <x:row r="697">
      <x:c r="J697" s="30"/>
      <x:c r="K697" s="30"/>
      <x:c r="L697" s="32"/>
      <x:c r="M697" s="32"/>
      <x:c r="N697" s="32"/>
      <x:c r="O697" s="32"/>
      <x:c r="P697" s="30"/>
      <x:c r="Q697" s="30"/>
      <x:c r="R697" s="30"/>
      <x:c r="S697" s="30"/>
      <x:c r="T697" s="30"/>
      <x:c r="U697" s="30"/>
      <x:c r="V697" s="30"/>
      <x:c r="W697" s="30"/>
    </x:row>
    <x:row r="698">
      <x:c r="J698" s="30"/>
      <x:c r="K698" s="30"/>
      <x:c r="L698" s="32"/>
      <x:c r="M698" s="32"/>
      <x:c r="N698" s="32"/>
      <x:c r="O698" s="32"/>
      <x:c r="P698" s="30"/>
      <x:c r="Q698" s="30"/>
      <x:c r="R698" s="30"/>
      <x:c r="S698" s="30"/>
      <x:c r="T698" s="30"/>
      <x:c r="U698" s="30"/>
      <x:c r="V698" s="30"/>
      <x:c r="W698" s="30"/>
    </x:row>
    <x:row r="699">
      <x:c r="J699" s="30"/>
      <x:c r="K699" s="30"/>
      <x:c r="L699" s="32"/>
      <x:c r="M699" s="32"/>
      <x:c r="N699" s="32"/>
      <x:c r="O699" s="32"/>
      <x:c r="P699" s="30"/>
      <x:c r="Q699" s="30"/>
      <x:c r="R699" s="30"/>
      <x:c r="S699" s="30"/>
      <x:c r="T699" s="30"/>
      <x:c r="U699" s="30"/>
      <x:c r="V699" s="30"/>
      <x:c r="W699" s="30"/>
    </x:row>
    <x:row r="700">
      <x:c r="J700" s="30"/>
      <x:c r="K700" s="30"/>
      <x:c r="L700" s="32"/>
      <x:c r="M700" s="32"/>
      <x:c r="N700" s="32"/>
      <x:c r="O700" s="32"/>
      <x:c r="P700" s="30"/>
      <x:c r="Q700" s="30"/>
      <x:c r="R700" s="30"/>
      <x:c r="S700" s="30"/>
      <x:c r="T700" s="30"/>
      <x:c r="U700" s="30"/>
      <x:c r="V700" s="30"/>
      <x:c r="W700" s="30"/>
    </x:row>
    <x:row r="701">
      <x:c r="J701" s="30"/>
      <x:c r="K701" s="30"/>
      <x:c r="L701" s="32"/>
      <x:c r="M701" s="32"/>
      <x:c r="N701" s="32"/>
      <x:c r="O701" s="32"/>
      <x:c r="P701" s="30"/>
      <x:c r="Q701" s="30"/>
      <x:c r="R701" s="30"/>
      <x:c r="S701" s="30"/>
      <x:c r="T701" s="30"/>
      <x:c r="U701" s="30"/>
      <x:c r="V701" s="30"/>
      <x:c r="W701" s="30"/>
    </x:row>
    <x:row r="702">
      <x:c r="J702" s="30"/>
      <x:c r="K702" s="30"/>
      <x:c r="L702" s="32"/>
      <x:c r="M702" s="32"/>
      <x:c r="N702" s="32"/>
      <x:c r="O702" s="32"/>
      <x:c r="P702" s="30"/>
      <x:c r="Q702" s="30"/>
      <x:c r="R702" s="30"/>
      <x:c r="S702" s="30"/>
      <x:c r="T702" s="30"/>
      <x:c r="U702" s="30"/>
      <x:c r="V702" s="30"/>
      <x:c r="W702" s="30"/>
    </x:row>
    <x:row r="703">
      <x:c r="J703" s="30"/>
      <x:c r="K703" s="30"/>
      <x:c r="L703" s="32"/>
      <x:c r="M703" s="32"/>
      <x:c r="N703" s="32"/>
      <x:c r="O703" s="32"/>
      <x:c r="P703" s="30"/>
      <x:c r="Q703" s="30"/>
      <x:c r="R703" s="30"/>
      <x:c r="S703" s="30"/>
      <x:c r="T703" s="30"/>
      <x:c r="U703" s="30"/>
      <x:c r="V703" s="30"/>
      <x:c r="W703" s="30"/>
    </x:row>
    <x:row r="704">
      <x:c r="J704" s="30"/>
      <x:c r="K704" s="30"/>
      <x:c r="L704" s="32"/>
      <x:c r="M704" s="32"/>
      <x:c r="N704" s="32"/>
      <x:c r="O704" s="32"/>
      <x:c r="P704" s="30"/>
      <x:c r="Q704" s="30"/>
      <x:c r="R704" s="30"/>
      <x:c r="S704" s="30"/>
      <x:c r="T704" s="30"/>
      <x:c r="U704" s="30"/>
      <x:c r="V704" s="30"/>
      <x:c r="W704" s="30"/>
    </x:row>
    <x:row r="705">
      <x:c r="J705" s="30"/>
      <x:c r="K705" s="30"/>
      <x:c r="L705" s="32"/>
      <x:c r="M705" s="32"/>
      <x:c r="N705" s="32"/>
      <x:c r="O705" s="32"/>
      <x:c r="P705" s="30"/>
      <x:c r="Q705" s="30"/>
      <x:c r="R705" s="30"/>
      <x:c r="S705" s="30"/>
      <x:c r="T705" s="30"/>
      <x:c r="U705" s="30"/>
      <x:c r="V705" s="30"/>
      <x:c r="W705" s="30"/>
    </x:row>
    <x:row r="706">
      <x:c r="J706" s="30"/>
      <x:c r="K706" s="30"/>
      <x:c r="L706" s="32"/>
      <x:c r="M706" s="32"/>
      <x:c r="N706" s="32"/>
      <x:c r="O706" s="32"/>
      <x:c r="P706" s="30"/>
      <x:c r="Q706" s="30"/>
      <x:c r="R706" s="30"/>
      <x:c r="S706" s="30"/>
      <x:c r="T706" s="30"/>
      <x:c r="U706" s="30"/>
      <x:c r="V706" s="30"/>
      <x:c r="W706" s="30"/>
    </x:row>
    <x:row r="707">
      <x:c r="J707" s="30"/>
      <x:c r="K707" s="30"/>
      <x:c r="L707" s="32"/>
      <x:c r="M707" s="32"/>
      <x:c r="N707" s="32"/>
      <x:c r="O707" s="32"/>
      <x:c r="P707" s="30"/>
      <x:c r="Q707" s="30"/>
      <x:c r="R707" s="30"/>
      <x:c r="S707" s="30"/>
      <x:c r="T707" s="30"/>
      <x:c r="U707" s="30"/>
      <x:c r="V707" s="30"/>
      <x:c r="W707" s="30"/>
    </x:row>
    <x:row r="708">
      <x:c r="J708" s="30"/>
      <x:c r="K708" s="30"/>
      <x:c r="L708" s="32"/>
      <x:c r="M708" s="32"/>
      <x:c r="N708" s="32"/>
      <x:c r="O708" s="32"/>
      <x:c r="P708" s="30"/>
      <x:c r="Q708" s="30"/>
      <x:c r="R708" s="30"/>
      <x:c r="S708" s="30"/>
      <x:c r="T708" s="30"/>
      <x:c r="U708" s="30"/>
      <x:c r="V708" s="30"/>
      <x:c r="W708" s="30"/>
    </x:row>
    <x:row r="709">
      <x:c r="J709" s="30"/>
      <x:c r="K709" s="30"/>
      <x:c r="L709" s="32"/>
      <x:c r="M709" s="32"/>
      <x:c r="N709" s="32"/>
      <x:c r="O709" s="32"/>
      <x:c r="P709" s="30"/>
      <x:c r="Q709" s="30"/>
      <x:c r="R709" s="30"/>
      <x:c r="S709" s="30"/>
      <x:c r="T709" s="30"/>
      <x:c r="U709" s="30"/>
      <x:c r="V709" s="30"/>
      <x:c r="W709" s="30"/>
    </x:row>
    <x:row r="710">
      <x:c r="J710" s="30"/>
      <x:c r="K710" s="30"/>
      <x:c r="L710" s="32"/>
      <x:c r="M710" s="32"/>
      <x:c r="N710" s="32"/>
      <x:c r="O710" s="32"/>
      <x:c r="P710" s="30"/>
      <x:c r="Q710" s="30"/>
      <x:c r="R710" s="30"/>
      <x:c r="S710" s="30"/>
      <x:c r="T710" s="30"/>
      <x:c r="U710" s="30"/>
      <x:c r="V710" s="30"/>
      <x:c r="W710" s="30"/>
    </x:row>
    <x:row r="711">
      <x:c r="J711" s="30"/>
      <x:c r="K711" s="30"/>
      <x:c r="L711" s="32"/>
      <x:c r="M711" s="32"/>
      <x:c r="N711" s="32"/>
      <x:c r="O711" s="32"/>
      <x:c r="P711" s="30"/>
      <x:c r="Q711" s="30"/>
      <x:c r="R711" s="30"/>
      <x:c r="S711" s="30"/>
      <x:c r="T711" s="30"/>
      <x:c r="U711" s="30"/>
      <x:c r="V711" s="30"/>
      <x:c r="W711" s="30"/>
    </x:row>
    <x:row r="712">
      <x:c r="J712" s="30"/>
      <x:c r="K712" s="30"/>
      <x:c r="L712" s="32"/>
      <x:c r="M712" s="32"/>
      <x:c r="N712" s="32"/>
      <x:c r="O712" s="32"/>
      <x:c r="P712" s="30"/>
      <x:c r="Q712" s="30"/>
      <x:c r="R712" s="30"/>
      <x:c r="S712" s="30"/>
      <x:c r="T712" s="30"/>
      <x:c r="U712" s="30"/>
      <x:c r="V712" s="30"/>
      <x:c r="W712" s="30"/>
    </x:row>
    <x:row r="713">
      <x:c r="J713" s="30"/>
      <x:c r="K713" s="30"/>
      <x:c r="L713" s="32"/>
      <x:c r="M713" s="32"/>
      <x:c r="N713" s="32"/>
      <x:c r="O713" s="32"/>
      <x:c r="P713" s="30"/>
      <x:c r="Q713" s="30"/>
      <x:c r="R713" s="30"/>
      <x:c r="S713" s="30"/>
      <x:c r="T713" s="30"/>
      <x:c r="U713" s="30"/>
      <x:c r="V713" s="30"/>
      <x:c r="W713" s="30"/>
    </x:row>
    <x:row r="714">
      <x:c r="J714" s="30"/>
      <x:c r="K714" s="30"/>
      <x:c r="L714" s="32"/>
      <x:c r="M714" s="32"/>
      <x:c r="N714" s="32"/>
      <x:c r="O714" s="32"/>
      <x:c r="P714" s="30"/>
      <x:c r="Q714" s="30"/>
      <x:c r="R714" s="30"/>
      <x:c r="S714" s="30"/>
      <x:c r="T714" s="30"/>
      <x:c r="U714" s="30"/>
      <x:c r="V714" s="30"/>
      <x:c r="W714" s="30"/>
    </x:row>
    <x:row r="715">
      <x:c r="J715" s="30"/>
      <x:c r="K715" s="30"/>
      <x:c r="L715" s="32"/>
      <x:c r="M715" s="32"/>
      <x:c r="N715" s="32"/>
      <x:c r="O715" s="32"/>
      <x:c r="P715" s="30"/>
      <x:c r="Q715" s="30"/>
      <x:c r="R715" s="30"/>
      <x:c r="S715" s="30"/>
      <x:c r="T715" s="30"/>
      <x:c r="U715" s="30"/>
      <x:c r="V715" s="30"/>
      <x:c r="W715" s="30"/>
    </x:row>
    <x:row r="716">
      <x:c r="J716" s="30"/>
      <x:c r="K716" s="30"/>
      <x:c r="L716" s="32"/>
      <x:c r="M716" s="32"/>
      <x:c r="N716" s="32"/>
      <x:c r="O716" s="32"/>
      <x:c r="P716" s="30"/>
      <x:c r="Q716" s="30"/>
      <x:c r="R716" s="30"/>
      <x:c r="S716" s="30"/>
      <x:c r="T716" s="30"/>
      <x:c r="U716" s="30"/>
      <x:c r="V716" s="30"/>
      <x:c r="W716" s="30"/>
    </x:row>
    <x:row r="717">
      <x:c r="J717" s="30"/>
      <x:c r="K717" s="30"/>
      <x:c r="L717" s="32"/>
      <x:c r="M717" s="32"/>
      <x:c r="N717" s="32"/>
      <x:c r="O717" s="32"/>
      <x:c r="P717" s="30"/>
      <x:c r="Q717" s="30"/>
      <x:c r="R717" s="30"/>
      <x:c r="S717" s="30"/>
      <x:c r="T717" s="30"/>
      <x:c r="U717" s="30"/>
      <x:c r="V717" s="30"/>
      <x:c r="W717" s="30"/>
    </x:row>
    <x:row r="718">
      <x:c r="J718" s="30"/>
      <x:c r="K718" s="30"/>
      <x:c r="L718" s="32"/>
      <x:c r="M718" s="32"/>
      <x:c r="N718" s="32"/>
      <x:c r="O718" s="32"/>
      <x:c r="P718" s="30"/>
      <x:c r="Q718" s="30"/>
      <x:c r="R718" s="30"/>
      <x:c r="S718" s="30"/>
      <x:c r="T718" s="30"/>
      <x:c r="U718" s="30"/>
      <x:c r="V718" s="30"/>
      <x:c r="W718" s="30"/>
    </x:row>
    <x:row r="719">
      <x:c r="J719" s="30"/>
      <x:c r="K719" s="30"/>
      <x:c r="L719" s="32"/>
      <x:c r="M719" s="32"/>
      <x:c r="N719" s="32"/>
      <x:c r="O719" s="32"/>
      <x:c r="P719" s="30"/>
      <x:c r="Q719" s="30"/>
      <x:c r="R719" s="30"/>
      <x:c r="S719" s="30"/>
      <x:c r="T719" s="30"/>
      <x:c r="U719" s="30"/>
      <x:c r="V719" s="30"/>
      <x:c r="W719" s="30"/>
    </x:row>
    <x:row r="720">
      <x:c r="J720" s="30"/>
      <x:c r="K720" s="30"/>
      <x:c r="L720" s="32"/>
      <x:c r="M720" s="32"/>
      <x:c r="N720" s="32"/>
      <x:c r="O720" s="32"/>
      <x:c r="P720" s="30"/>
      <x:c r="Q720" s="30"/>
      <x:c r="R720" s="30"/>
      <x:c r="S720" s="30"/>
      <x:c r="T720" s="30"/>
      <x:c r="U720" s="30"/>
      <x:c r="V720" s="30"/>
      <x:c r="W720" s="30"/>
    </x:row>
    <x:row r="721">
      <x:c r="J721" s="30"/>
      <x:c r="K721" s="30"/>
      <x:c r="L721" s="32"/>
      <x:c r="M721" s="32"/>
      <x:c r="N721" s="32"/>
      <x:c r="O721" s="32"/>
      <x:c r="P721" s="30"/>
      <x:c r="Q721" s="30"/>
      <x:c r="R721" s="30"/>
      <x:c r="S721" s="30"/>
      <x:c r="T721" s="30"/>
      <x:c r="U721" s="30"/>
      <x:c r="V721" s="30"/>
      <x:c r="W721" s="30"/>
    </x:row>
    <x:row r="722">
      <x:c r="J722" s="30"/>
      <x:c r="K722" s="30"/>
      <x:c r="L722" s="32"/>
      <x:c r="M722" s="32"/>
      <x:c r="N722" s="32"/>
      <x:c r="O722" s="32"/>
      <x:c r="P722" s="30"/>
      <x:c r="Q722" s="30"/>
      <x:c r="R722" s="30"/>
      <x:c r="S722" s="30"/>
      <x:c r="T722" s="30"/>
      <x:c r="U722" s="30"/>
      <x:c r="V722" s="30"/>
      <x:c r="W722" s="30"/>
    </x:row>
    <x:row r="723">
      <x:c r="J723" s="30"/>
      <x:c r="K723" s="30"/>
      <x:c r="L723" s="32"/>
      <x:c r="M723" s="32"/>
      <x:c r="N723" s="32"/>
      <x:c r="O723" s="32"/>
      <x:c r="P723" s="30"/>
      <x:c r="Q723" s="30"/>
      <x:c r="R723" s="30"/>
      <x:c r="S723" s="30"/>
      <x:c r="T723" s="30"/>
      <x:c r="U723" s="30"/>
      <x:c r="V723" s="30"/>
      <x:c r="W723" s="30"/>
    </x:row>
    <x:row r="724">
      <x:c r="J724" s="30"/>
      <x:c r="K724" s="30"/>
      <x:c r="L724" s="32"/>
      <x:c r="M724" s="32"/>
      <x:c r="N724" s="32"/>
      <x:c r="O724" s="32"/>
      <x:c r="P724" s="30"/>
      <x:c r="Q724" s="30"/>
      <x:c r="R724" s="30"/>
      <x:c r="S724" s="30"/>
      <x:c r="T724" s="30"/>
      <x:c r="U724" s="30"/>
      <x:c r="V724" s="30"/>
      <x:c r="W724" s="30"/>
    </x:row>
    <x:row r="725">
      <x:c r="J725" s="30"/>
      <x:c r="K725" s="30"/>
      <x:c r="L725" s="32"/>
      <x:c r="M725" s="32"/>
      <x:c r="N725" s="32"/>
      <x:c r="O725" s="32"/>
      <x:c r="P725" s="30"/>
      <x:c r="Q725" s="30"/>
      <x:c r="R725" s="30"/>
      <x:c r="S725" s="30"/>
      <x:c r="T725" s="30"/>
      <x:c r="U725" s="30"/>
      <x:c r="V725" s="30"/>
      <x:c r="W725" s="30"/>
    </x:row>
    <x:row r="726">
      <x:c r="J726" s="30"/>
      <x:c r="K726" s="30"/>
      <x:c r="L726" s="32"/>
      <x:c r="M726" s="32"/>
      <x:c r="N726" s="32"/>
      <x:c r="O726" s="32"/>
      <x:c r="P726" s="30"/>
      <x:c r="Q726" s="30"/>
      <x:c r="R726" s="30"/>
      <x:c r="S726" s="30"/>
      <x:c r="T726" s="30"/>
      <x:c r="U726" s="30"/>
      <x:c r="V726" s="30"/>
      <x:c r="W726" s="30"/>
    </x:row>
    <x:row r="727">
      <x:c r="J727" s="30"/>
      <x:c r="K727" s="30"/>
      <x:c r="L727" s="32"/>
      <x:c r="M727" s="32"/>
      <x:c r="N727" s="32"/>
      <x:c r="O727" s="32"/>
      <x:c r="P727" s="30"/>
      <x:c r="Q727" s="30"/>
      <x:c r="R727" s="30"/>
      <x:c r="S727" s="30"/>
      <x:c r="T727" s="30"/>
      <x:c r="U727" s="30"/>
      <x:c r="V727" s="30"/>
      <x:c r="W727" s="30"/>
    </x:row>
    <x:row r="728">
      <x:c r="J728" s="30"/>
      <x:c r="K728" s="30"/>
      <x:c r="L728" s="32"/>
      <x:c r="M728" s="32"/>
      <x:c r="N728" s="32"/>
      <x:c r="O728" s="32"/>
      <x:c r="P728" s="30"/>
      <x:c r="Q728" s="30"/>
      <x:c r="R728" s="30"/>
      <x:c r="S728" s="30"/>
      <x:c r="T728" s="30"/>
      <x:c r="U728" s="30"/>
      <x:c r="V728" s="30"/>
      <x:c r="W728" s="30"/>
    </x:row>
    <x:row r="729">
      <x:c r="J729" s="30"/>
      <x:c r="K729" s="30"/>
      <x:c r="L729" s="32"/>
      <x:c r="M729" s="32"/>
      <x:c r="N729" s="32"/>
      <x:c r="O729" s="32"/>
      <x:c r="P729" s="30"/>
      <x:c r="Q729" s="30"/>
      <x:c r="R729" s="30"/>
      <x:c r="S729" s="30"/>
      <x:c r="T729" s="30"/>
      <x:c r="U729" s="30"/>
      <x:c r="V729" s="30"/>
      <x:c r="W729" s="30"/>
    </x:row>
    <x:row r="730">
      <x:c r="J730" s="30"/>
      <x:c r="K730" s="30"/>
      <x:c r="L730" s="32"/>
      <x:c r="M730" s="32"/>
      <x:c r="N730" s="32"/>
      <x:c r="O730" s="32"/>
      <x:c r="P730" s="30"/>
      <x:c r="Q730" s="30"/>
      <x:c r="R730" s="30"/>
      <x:c r="S730" s="30"/>
      <x:c r="T730" s="30"/>
      <x:c r="U730" s="30"/>
      <x:c r="V730" s="30"/>
      <x:c r="W730" s="30"/>
    </x:row>
    <x:row r="731">
      <x:c r="J731" s="30"/>
      <x:c r="K731" s="30"/>
      <x:c r="L731" s="32"/>
      <x:c r="M731" s="32"/>
      <x:c r="N731" s="32"/>
      <x:c r="O731" s="32"/>
      <x:c r="P731" s="30"/>
      <x:c r="Q731" s="30"/>
      <x:c r="R731" s="30"/>
      <x:c r="S731" s="30"/>
      <x:c r="T731" s="30"/>
      <x:c r="U731" s="30"/>
      <x:c r="V731" s="30"/>
      <x:c r="W731" s="30"/>
    </x:row>
    <x:row r="732">
      <x:c r="J732" s="30"/>
      <x:c r="K732" s="30"/>
      <x:c r="L732" s="32"/>
      <x:c r="M732" s="32"/>
      <x:c r="N732" s="32"/>
      <x:c r="O732" s="32"/>
      <x:c r="P732" s="30"/>
      <x:c r="Q732" s="30"/>
      <x:c r="R732" s="30"/>
      <x:c r="S732" s="30"/>
      <x:c r="T732" s="30"/>
      <x:c r="U732" s="30"/>
      <x:c r="V732" s="30"/>
      <x:c r="W732" s="30"/>
    </x:row>
    <x:row r="733">
      <x:c r="J733" s="30"/>
      <x:c r="K733" s="30"/>
      <x:c r="L733" s="32"/>
      <x:c r="M733" s="32"/>
      <x:c r="N733" s="32"/>
      <x:c r="O733" s="32"/>
      <x:c r="P733" s="30"/>
      <x:c r="Q733" s="30"/>
      <x:c r="R733" s="30"/>
      <x:c r="S733" s="30"/>
      <x:c r="T733" s="30"/>
      <x:c r="U733" s="30"/>
      <x:c r="V733" s="30"/>
      <x:c r="W733" s="30"/>
    </x:row>
    <x:row r="734">
      <x:c r="J734" s="30"/>
      <x:c r="K734" s="30"/>
      <x:c r="L734" s="32"/>
      <x:c r="M734" s="32"/>
      <x:c r="N734" s="32"/>
      <x:c r="O734" s="32"/>
      <x:c r="P734" s="30"/>
      <x:c r="Q734" s="30"/>
      <x:c r="R734" s="30"/>
      <x:c r="S734" s="30"/>
      <x:c r="T734" s="30"/>
      <x:c r="U734" s="30"/>
      <x:c r="V734" s="30"/>
      <x:c r="W734" s="30"/>
    </x:row>
    <x:row r="735">
      <x:c r="J735" s="30"/>
      <x:c r="K735" s="30"/>
      <x:c r="L735" s="32"/>
      <x:c r="M735" s="32"/>
      <x:c r="N735" s="32"/>
      <x:c r="O735" s="32"/>
      <x:c r="P735" s="30"/>
      <x:c r="Q735" s="30"/>
      <x:c r="R735" s="30"/>
      <x:c r="S735" s="30"/>
      <x:c r="T735" s="30"/>
      <x:c r="U735" s="30"/>
      <x:c r="V735" s="30"/>
      <x:c r="W735" s="30"/>
    </x:row>
    <x:row r="736">
      <x:c r="J736" s="30"/>
      <x:c r="K736" s="30"/>
      <x:c r="L736" s="32"/>
      <x:c r="M736" s="32"/>
      <x:c r="N736" s="32"/>
      <x:c r="O736" s="32"/>
      <x:c r="P736" s="30"/>
      <x:c r="Q736" s="30"/>
      <x:c r="R736" s="30"/>
      <x:c r="S736" s="30"/>
      <x:c r="T736" s="30"/>
      <x:c r="U736" s="30"/>
      <x:c r="V736" s="30"/>
      <x:c r="W736" s="30"/>
    </x:row>
    <x:row r="737">
      <x:c r="J737" s="30"/>
      <x:c r="K737" s="30"/>
      <x:c r="L737" s="32"/>
      <x:c r="M737" s="32"/>
      <x:c r="N737" s="32"/>
      <x:c r="O737" s="32"/>
      <x:c r="P737" s="30"/>
      <x:c r="Q737" s="30"/>
      <x:c r="R737" s="30"/>
      <x:c r="S737" s="30"/>
      <x:c r="T737" s="30"/>
      <x:c r="U737" s="30"/>
      <x:c r="V737" s="30"/>
      <x:c r="W737" s="30"/>
    </x:row>
    <x:row r="738">
      <x:c r="J738" s="30"/>
      <x:c r="K738" s="30"/>
      <x:c r="L738" s="32"/>
      <x:c r="M738" s="32"/>
      <x:c r="N738" s="32"/>
      <x:c r="O738" s="32"/>
      <x:c r="P738" s="30"/>
      <x:c r="Q738" s="30"/>
      <x:c r="R738" s="30"/>
      <x:c r="S738" s="30"/>
      <x:c r="T738" s="30"/>
      <x:c r="U738" s="30"/>
      <x:c r="V738" s="30"/>
      <x:c r="W738" s="30"/>
    </x:row>
    <x:row r="739">
      <x:c r="J739" s="30"/>
      <x:c r="K739" s="30"/>
      <x:c r="L739" s="32"/>
      <x:c r="M739" s="32"/>
      <x:c r="N739" s="32"/>
      <x:c r="O739" s="32"/>
      <x:c r="P739" s="30"/>
      <x:c r="Q739" s="30"/>
      <x:c r="R739" s="30"/>
      <x:c r="S739" s="30"/>
      <x:c r="T739" s="30"/>
      <x:c r="U739" s="30"/>
      <x:c r="V739" s="30"/>
      <x:c r="W739" s="30"/>
    </x:row>
    <x:row r="740">
      <x:c r="J740" s="30"/>
      <x:c r="K740" s="30"/>
      <x:c r="L740" s="32"/>
      <x:c r="M740" s="32"/>
      <x:c r="N740" s="32"/>
      <x:c r="O740" s="32"/>
      <x:c r="P740" s="30"/>
      <x:c r="Q740" s="30"/>
      <x:c r="R740" s="30"/>
      <x:c r="S740" s="30"/>
      <x:c r="T740" s="30"/>
      <x:c r="U740" s="30"/>
      <x:c r="V740" s="30"/>
      <x:c r="W740" s="30"/>
    </x:row>
    <x:row r="741">
      <x:c r="J741" s="30"/>
      <x:c r="K741" s="30"/>
      <x:c r="L741" s="32"/>
      <x:c r="M741" s="32"/>
      <x:c r="N741" s="32"/>
      <x:c r="O741" s="32"/>
      <x:c r="P741" s="30"/>
      <x:c r="Q741" s="30"/>
      <x:c r="R741" s="30"/>
      <x:c r="S741" s="30"/>
      <x:c r="T741" s="30"/>
      <x:c r="U741" s="30"/>
      <x:c r="V741" s="30"/>
      <x:c r="W741" s="30"/>
    </x:row>
    <x:row r="742">
      <x:c r="J742" s="30"/>
      <x:c r="K742" s="30"/>
      <x:c r="L742" s="32"/>
      <x:c r="M742" s="32"/>
      <x:c r="N742" s="32"/>
      <x:c r="O742" s="32"/>
      <x:c r="P742" s="30"/>
      <x:c r="Q742" s="30"/>
      <x:c r="R742" s="30"/>
      <x:c r="S742" s="30"/>
      <x:c r="T742" s="30"/>
      <x:c r="U742" s="30"/>
      <x:c r="V742" s="30"/>
      <x:c r="W742" s="30"/>
    </x:row>
    <x:row r="743">
      <x:c r="J743" s="30"/>
      <x:c r="K743" s="30"/>
      <x:c r="L743" s="32"/>
      <x:c r="M743" s="32"/>
      <x:c r="N743" s="32"/>
      <x:c r="O743" s="32"/>
      <x:c r="P743" s="30"/>
      <x:c r="Q743" s="30"/>
      <x:c r="R743" s="30"/>
      <x:c r="S743" s="30"/>
      <x:c r="T743" s="30"/>
      <x:c r="U743" s="30"/>
      <x:c r="V743" s="30"/>
      <x:c r="W743" s="30"/>
    </x:row>
    <x:row r="744">
      <x:c r="J744" s="30"/>
      <x:c r="K744" s="30"/>
      <x:c r="L744" s="32"/>
      <x:c r="M744" s="32"/>
      <x:c r="N744" s="32"/>
      <x:c r="O744" s="32"/>
      <x:c r="P744" s="30"/>
      <x:c r="Q744" s="30"/>
      <x:c r="R744" s="30"/>
      <x:c r="S744" s="30"/>
      <x:c r="T744" s="30"/>
      <x:c r="U744" s="30"/>
      <x:c r="V744" s="30"/>
      <x:c r="W744" s="30"/>
    </x:row>
    <x:row r="745">
      <x:c r="J745" s="30"/>
      <x:c r="K745" s="30"/>
      <x:c r="L745" s="32"/>
      <x:c r="M745" s="32"/>
      <x:c r="N745" s="32"/>
      <x:c r="O745" s="32"/>
      <x:c r="P745" s="30"/>
      <x:c r="Q745" s="30"/>
      <x:c r="R745" s="30"/>
      <x:c r="S745" s="30"/>
      <x:c r="T745" s="30"/>
      <x:c r="U745" s="30"/>
      <x:c r="V745" s="30"/>
      <x:c r="W745" s="30"/>
    </x:row>
    <x:row r="746">
      <x:c r="J746" s="30"/>
      <x:c r="K746" s="30"/>
      <x:c r="L746" s="32"/>
      <x:c r="M746" s="32"/>
      <x:c r="N746" s="32"/>
      <x:c r="O746" s="32"/>
      <x:c r="P746" s="30"/>
      <x:c r="Q746" s="30"/>
      <x:c r="R746" s="30"/>
      <x:c r="S746" s="30"/>
      <x:c r="T746" s="30"/>
      <x:c r="U746" s="30"/>
      <x:c r="V746" s="30"/>
      <x:c r="W746" s="30"/>
    </x:row>
    <x:row r="747">
      <x:c r="J747" s="30"/>
      <x:c r="K747" s="30"/>
      <x:c r="L747" s="32"/>
      <x:c r="M747" s="32"/>
      <x:c r="N747" s="32"/>
      <x:c r="O747" s="32"/>
      <x:c r="P747" s="30"/>
      <x:c r="Q747" s="30"/>
      <x:c r="R747" s="30"/>
      <x:c r="S747" s="30"/>
      <x:c r="T747" s="30"/>
      <x:c r="U747" s="30"/>
      <x:c r="V747" s="30"/>
      <x:c r="W747" s="30"/>
    </x:row>
    <x:row r="748">
      <x:c r="J748" s="30"/>
      <x:c r="K748" s="30"/>
      <x:c r="L748" s="32"/>
      <x:c r="M748" s="32"/>
      <x:c r="N748" s="32"/>
      <x:c r="O748" s="32"/>
      <x:c r="P748" s="30"/>
      <x:c r="Q748" s="30"/>
      <x:c r="R748" s="30"/>
      <x:c r="S748" s="30"/>
      <x:c r="T748" s="30"/>
      <x:c r="U748" s="30"/>
      <x:c r="V748" s="30"/>
      <x:c r="W748" s="30"/>
    </x:row>
    <x:row r="749">
      <x:c r="J749" s="30"/>
      <x:c r="K749" s="30"/>
      <x:c r="L749" s="32"/>
      <x:c r="M749" s="32"/>
      <x:c r="N749" s="32"/>
      <x:c r="O749" s="32"/>
      <x:c r="P749" s="30"/>
      <x:c r="Q749" s="30"/>
      <x:c r="R749" s="30"/>
      <x:c r="S749" s="30"/>
      <x:c r="T749" s="30"/>
      <x:c r="U749" s="30"/>
      <x:c r="V749" s="30"/>
      <x:c r="W749" s="30"/>
    </x:row>
    <x:row r="750">
      <x:c r="J750" s="30"/>
      <x:c r="K750" s="30"/>
      <x:c r="L750" s="32"/>
      <x:c r="M750" s="32"/>
      <x:c r="N750" s="32"/>
      <x:c r="O750" s="32"/>
      <x:c r="P750" s="30"/>
      <x:c r="Q750" s="30"/>
      <x:c r="R750" s="30"/>
      <x:c r="S750" s="30"/>
      <x:c r="T750" s="30"/>
      <x:c r="U750" s="30"/>
      <x:c r="V750" s="30"/>
      <x:c r="W750" s="30"/>
    </x:row>
    <x:row r="751">
      <x:c r="J751" s="30"/>
      <x:c r="K751" s="30"/>
      <x:c r="L751" s="32"/>
      <x:c r="M751" s="32"/>
      <x:c r="N751" s="32"/>
      <x:c r="O751" s="32"/>
      <x:c r="P751" s="30"/>
      <x:c r="Q751" s="30"/>
      <x:c r="R751" s="30"/>
      <x:c r="S751" s="30"/>
      <x:c r="T751" s="30"/>
      <x:c r="U751" s="30"/>
      <x:c r="V751" s="30"/>
      <x:c r="W751" s="30"/>
    </x:row>
    <x:row r="752">
      <x:c r="J752" s="30"/>
      <x:c r="K752" s="30"/>
      <x:c r="L752" s="32"/>
      <x:c r="M752" s="32"/>
      <x:c r="N752" s="32"/>
      <x:c r="O752" s="32"/>
      <x:c r="P752" s="30"/>
      <x:c r="Q752" s="30"/>
      <x:c r="R752" s="30"/>
      <x:c r="S752" s="30"/>
      <x:c r="T752" s="30"/>
      <x:c r="U752" s="30"/>
      <x:c r="V752" s="30"/>
      <x:c r="W752" s="30"/>
    </x:row>
    <x:row r="753">
      <x:c r="J753" s="30"/>
      <x:c r="K753" s="30"/>
      <x:c r="L753" s="32"/>
      <x:c r="M753" s="32"/>
      <x:c r="N753" s="32"/>
      <x:c r="O753" s="32"/>
      <x:c r="P753" s="30"/>
      <x:c r="Q753" s="30"/>
      <x:c r="R753" s="30"/>
      <x:c r="S753" s="30"/>
      <x:c r="T753" s="30"/>
      <x:c r="U753" s="30"/>
      <x:c r="V753" s="30"/>
      <x:c r="W753" s="30"/>
    </x:row>
    <x:row r="754">
      <x:c r="J754" s="30"/>
      <x:c r="K754" s="30"/>
      <x:c r="L754" s="32"/>
      <x:c r="M754" s="32"/>
      <x:c r="N754" s="32"/>
      <x:c r="O754" s="32"/>
      <x:c r="P754" s="30"/>
      <x:c r="Q754" s="30"/>
      <x:c r="R754" s="30"/>
      <x:c r="S754" s="30"/>
      <x:c r="T754" s="30"/>
      <x:c r="U754" s="30"/>
      <x:c r="V754" s="30"/>
      <x:c r="W754" s="30"/>
    </x:row>
    <x:row r="755">
      <x:c r="J755" s="30"/>
      <x:c r="K755" s="30"/>
      <x:c r="L755" s="32"/>
      <x:c r="M755" s="32"/>
      <x:c r="N755" s="32"/>
      <x:c r="O755" s="32"/>
      <x:c r="P755" s="30"/>
      <x:c r="Q755" s="30"/>
      <x:c r="R755" s="30"/>
      <x:c r="S755" s="30"/>
      <x:c r="T755" s="30"/>
      <x:c r="U755" s="30"/>
      <x:c r="V755" s="30"/>
      <x:c r="W755" s="30"/>
    </x:row>
    <x:row r="756">
      <x:c r="J756" s="30"/>
      <x:c r="K756" s="30"/>
      <x:c r="L756" s="32"/>
      <x:c r="M756" s="32"/>
      <x:c r="N756" s="32"/>
      <x:c r="O756" s="32"/>
      <x:c r="P756" s="30"/>
      <x:c r="Q756" s="30"/>
      <x:c r="R756" s="30"/>
      <x:c r="S756" s="30"/>
      <x:c r="T756" s="30"/>
      <x:c r="U756" s="30"/>
      <x:c r="V756" s="30"/>
      <x:c r="W756" s="30"/>
    </x:row>
    <x:row r="757">
      <x:c r="J757" s="30"/>
      <x:c r="K757" s="30"/>
      <x:c r="L757" s="32"/>
      <x:c r="M757" s="32"/>
      <x:c r="N757" s="32"/>
      <x:c r="O757" s="32"/>
      <x:c r="P757" s="30"/>
      <x:c r="Q757" s="30"/>
      <x:c r="R757" s="30"/>
      <x:c r="S757" s="30"/>
      <x:c r="T757" s="30"/>
      <x:c r="U757" s="30"/>
      <x:c r="V757" s="30"/>
      <x:c r="W757" s="30"/>
    </x:row>
    <x:row r="758">
      <x:c r="J758" s="30"/>
      <x:c r="K758" s="30"/>
      <x:c r="L758" s="32"/>
      <x:c r="M758" s="32"/>
      <x:c r="N758" s="32"/>
      <x:c r="O758" s="32"/>
      <x:c r="P758" s="30"/>
      <x:c r="Q758" s="30"/>
      <x:c r="R758" s="30"/>
      <x:c r="S758" s="30"/>
      <x:c r="T758" s="30"/>
      <x:c r="U758" s="30"/>
      <x:c r="V758" s="30"/>
      <x:c r="W758" s="30"/>
    </x:row>
    <x:row r="759">
      <x:c r="J759" s="30"/>
      <x:c r="K759" s="30"/>
      <x:c r="L759" s="32"/>
      <x:c r="M759" s="32"/>
      <x:c r="N759" s="32"/>
      <x:c r="O759" s="32"/>
      <x:c r="P759" s="30"/>
      <x:c r="Q759" s="30"/>
      <x:c r="R759" s="30"/>
      <x:c r="S759" s="30"/>
      <x:c r="T759" s="30"/>
      <x:c r="U759" s="30"/>
      <x:c r="V759" s="30"/>
      <x:c r="W759" s="30"/>
    </x:row>
    <x:row r="760">
      <x:c r="J760" s="30"/>
      <x:c r="K760" s="30"/>
      <x:c r="L760" s="32"/>
      <x:c r="M760" s="32"/>
      <x:c r="N760" s="32"/>
      <x:c r="O760" s="32"/>
      <x:c r="P760" s="30"/>
      <x:c r="Q760" s="30"/>
      <x:c r="R760" s="30"/>
      <x:c r="S760" s="30"/>
      <x:c r="T760" s="30"/>
      <x:c r="U760" s="30"/>
      <x:c r="V760" s="30"/>
      <x:c r="W760" s="30"/>
    </x:row>
    <x:row r="761">
      <x:c r="J761" s="30"/>
      <x:c r="K761" s="30"/>
      <x:c r="L761" s="32"/>
      <x:c r="M761" s="32"/>
      <x:c r="N761" s="32"/>
      <x:c r="O761" s="32"/>
      <x:c r="P761" s="30"/>
      <x:c r="Q761" s="30"/>
      <x:c r="R761" s="30"/>
      <x:c r="S761" s="30"/>
      <x:c r="T761" s="30"/>
      <x:c r="U761" s="30"/>
      <x:c r="V761" s="30"/>
      <x:c r="W761" s="30"/>
    </x:row>
    <x:row r="762">
      <x:c r="J762" s="30"/>
      <x:c r="K762" s="30"/>
      <x:c r="L762" s="32"/>
      <x:c r="M762" s="32"/>
      <x:c r="N762" s="32"/>
      <x:c r="O762" s="32"/>
      <x:c r="P762" s="30"/>
      <x:c r="Q762" s="30"/>
      <x:c r="R762" s="30"/>
      <x:c r="S762" s="30"/>
      <x:c r="T762" s="30"/>
      <x:c r="U762" s="30"/>
      <x:c r="V762" s="30"/>
      <x:c r="W762" s="30"/>
    </x:row>
    <x:row r="763">
      <x:c r="J763" s="30"/>
      <x:c r="K763" s="30"/>
      <x:c r="L763" s="32"/>
      <x:c r="M763" s="32"/>
      <x:c r="N763" s="32"/>
      <x:c r="O763" s="32"/>
      <x:c r="P763" s="30"/>
      <x:c r="Q763" s="30"/>
      <x:c r="R763" s="30"/>
      <x:c r="S763" s="30"/>
      <x:c r="T763" s="30"/>
      <x:c r="U763" s="30"/>
      <x:c r="V763" s="30"/>
      <x:c r="W763" s="30"/>
    </x:row>
    <x:row r="764">
      <x:c r="J764" s="30"/>
      <x:c r="K764" s="30"/>
      <x:c r="L764" s="32"/>
      <x:c r="M764" s="32"/>
      <x:c r="N764" s="32"/>
      <x:c r="O764" s="32"/>
      <x:c r="P764" s="30"/>
      <x:c r="Q764" s="30"/>
      <x:c r="R764" s="30"/>
      <x:c r="S764" s="30"/>
      <x:c r="T764" s="30"/>
      <x:c r="U764" s="30"/>
      <x:c r="V764" s="30"/>
      <x:c r="W764" s="30"/>
    </x:row>
    <x:row r="765">
      <x:c r="J765" s="30"/>
      <x:c r="K765" s="30"/>
      <x:c r="L765" s="32"/>
      <x:c r="M765" s="32"/>
      <x:c r="N765" s="32"/>
      <x:c r="O765" s="32"/>
      <x:c r="P765" s="30"/>
      <x:c r="Q765" s="30"/>
      <x:c r="R765" s="30"/>
      <x:c r="S765" s="30"/>
      <x:c r="T765" s="30"/>
      <x:c r="U765" s="30"/>
      <x:c r="V765" s="30"/>
      <x:c r="W765" s="30"/>
    </x:row>
    <x:row r="766">
      <x:c r="J766" s="30"/>
      <x:c r="K766" s="30"/>
      <x:c r="L766" s="32"/>
      <x:c r="M766" s="32"/>
      <x:c r="N766" s="32"/>
      <x:c r="O766" s="32"/>
      <x:c r="P766" s="30"/>
      <x:c r="Q766" s="30"/>
      <x:c r="R766" s="30"/>
      <x:c r="S766" s="30"/>
      <x:c r="T766" s="30"/>
      <x:c r="U766" s="30"/>
      <x:c r="V766" s="30"/>
      <x:c r="W766" s="30"/>
    </x:row>
    <x:row r="767">
      <x:c r="J767" s="30"/>
      <x:c r="K767" s="30"/>
      <x:c r="L767" s="32"/>
      <x:c r="M767" s="32"/>
      <x:c r="N767" s="32"/>
      <x:c r="O767" s="32"/>
      <x:c r="P767" s="30"/>
      <x:c r="Q767" s="30"/>
      <x:c r="R767" s="30"/>
      <x:c r="S767" s="30"/>
      <x:c r="T767" s="30"/>
      <x:c r="U767" s="30"/>
      <x:c r="V767" s="30"/>
      <x:c r="W767" s="30"/>
    </x:row>
    <x:row r="768">
      <x:c r="J768" s="30"/>
      <x:c r="K768" s="30"/>
      <x:c r="L768" s="32"/>
      <x:c r="M768" s="32"/>
      <x:c r="N768" s="32"/>
      <x:c r="O768" s="32"/>
      <x:c r="P768" s="30"/>
      <x:c r="Q768" s="30"/>
      <x:c r="R768" s="30"/>
      <x:c r="S768" s="30"/>
      <x:c r="T768" s="30"/>
      <x:c r="U768" s="30"/>
      <x:c r="V768" s="30"/>
      <x:c r="W768" s="30"/>
    </x:row>
    <x:row r="769">
      <x:c r="J769" s="30"/>
      <x:c r="K769" s="30"/>
      <x:c r="L769" s="32"/>
      <x:c r="M769" s="32"/>
      <x:c r="N769" s="32"/>
      <x:c r="O769" s="32"/>
      <x:c r="P769" s="30"/>
      <x:c r="Q769" s="30"/>
      <x:c r="R769" s="30"/>
      <x:c r="S769" s="30"/>
      <x:c r="T769" s="30"/>
      <x:c r="U769" s="30"/>
      <x:c r="V769" s="30"/>
      <x:c r="W769" s="30"/>
    </x:row>
    <x:row r="770">
      <x:c r="J770" s="30"/>
      <x:c r="K770" s="30"/>
      <x:c r="L770" s="32"/>
      <x:c r="M770" s="32"/>
      <x:c r="N770" s="32"/>
      <x:c r="O770" s="32"/>
      <x:c r="P770" s="30"/>
      <x:c r="Q770" s="30"/>
      <x:c r="R770" s="30"/>
      <x:c r="S770" s="30"/>
      <x:c r="T770" s="30"/>
      <x:c r="U770" s="30"/>
      <x:c r="V770" s="30"/>
      <x:c r="W770" s="30"/>
    </x:row>
    <x:row r="771">
      <x:c r="J771" s="30"/>
      <x:c r="K771" s="30"/>
      <x:c r="L771" s="32"/>
      <x:c r="M771" s="32"/>
      <x:c r="N771" s="32"/>
      <x:c r="O771" s="32"/>
      <x:c r="P771" s="30"/>
      <x:c r="Q771" s="30"/>
      <x:c r="R771" s="30"/>
      <x:c r="S771" s="30"/>
      <x:c r="T771" s="30"/>
      <x:c r="U771" s="30"/>
      <x:c r="V771" s="30"/>
      <x:c r="W771" s="30"/>
    </x:row>
    <x:row r="772">
      <x:c r="J772" s="30"/>
      <x:c r="K772" s="30"/>
      <x:c r="L772" s="32"/>
      <x:c r="M772" s="32"/>
      <x:c r="N772" s="32"/>
      <x:c r="O772" s="32"/>
      <x:c r="P772" s="30"/>
      <x:c r="Q772" s="30"/>
      <x:c r="R772" s="30"/>
      <x:c r="S772" s="30"/>
      <x:c r="T772" s="30"/>
      <x:c r="U772" s="30"/>
      <x:c r="V772" s="30"/>
      <x:c r="W772" s="30"/>
    </x:row>
    <x:row r="773">
      <x:c r="J773" s="30"/>
      <x:c r="K773" s="30"/>
      <x:c r="L773" s="32"/>
      <x:c r="M773" s="32"/>
      <x:c r="N773" s="32"/>
      <x:c r="O773" s="32"/>
      <x:c r="P773" s="30"/>
      <x:c r="Q773" s="30"/>
      <x:c r="R773" s="30"/>
      <x:c r="S773" s="30"/>
      <x:c r="T773" s="30"/>
      <x:c r="U773" s="30"/>
      <x:c r="V773" s="30"/>
      <x:c r="W773" s="30"/>
    </x:row>
    <x:row r="774">
      <x:c r="J774" s="30"/>
      <x:c r="K774" s="30"/>
      <x:c r="L774" s="32"/>
      <x:c r="M774" s="32"/>
      <x:c r="N774" s="32"/>
      <x:c r="O774" s="32"/>
      <x:c r="P774" s="30"/>
      <x:c r="Q774" s="30"/>
      <x:c r="R774" s="30"/>
      <x:c r="S774" s="30"/>
      <x:c r="T774" s="30"/>
      <x:c r="U774" s="30"/>
      <x:c r="V774" s="30"/>
      <x:c r="W774" s="30"/>
    </x:row>
    <x:row r="775">
      <x:c r="J775" s="30"/>
      <x:c r="K775" s="30"/>
      <x:c r="L775" s="32"/>
      <x:c r="M775" s="32"/>
      <x:c r="N775" s="32"/>
      <x:c r="O775" s="32"/>
      <x:c r="P775" s="30"/>
      <x:c r="Q775" s="30"/>
      <x:c r="R775" s="30"/>
      <x:c r="S775" s="30"/>
      <x:c r="T775" s="30"/>
      <x:c r="U775" s="30"/>
      <x:c r="V775" s="30"/>
      <x:c r="W775" s="30"/>
    </x:row>
    <x:row r="776">
      <x:c r="J776" s="30"/>
      <x:c r="K776" s="30"/>
      <x:c r="L776" s="32"/>
      <x:c r="M776" s="32"/>
      <x:c r="N776" s="32"/>
      <x:c r="O776" s="32"/>
      <x:c r="P776" s="30"/>
      <x:c r="Q776" s="30"/>
      <x:c r="R776" s="30"/>
      <x:c r="S776" s="30"/>
      <x:c r="T776" s="30"/>
      <x:c r="U776" s="30"/>
      <x:c r="V776" s="30"/>
      <x:c r="W776" s="30"/>
    </x:row>
    <x:row r="777">
      <x:c r="J777" s="30"/>
      <x:c r="K777" s="30"/>
      <x:c r="L777" s="32"/>
      <x:c r="M777" s="32"/>
      <x:c r="N777" s="32"/>
      <x:c r="O777" s="32"/>
      <x:c r="P777" s="30"/>
      <x:c r="Q777" s="30"/>
      <x:c r="R777" s="30"/>
      <x:c r="S777" s="30"/>
      <x:c r="T777" s="30"/>
      <x:c r="U777" s="30"/>
      <x:c r="V777" s="30"/>
      <x:c r="W777" s="30"/>
    </x:row>
    <x:row r="778">
      <x:c r="J778" s="30"/>
      <x:c r="K778" s="30"/>
      <x:c r="L778" s="32"/>
      <x:c r="M778" s="32"/>
      <x:c r="N778" s="32"/>
      <x:c r="O778" s="32"/>
      <x:c r="P778" s="30"/>
      <x:c r="Q778" s="30"/>
      <x:c r="R778" s="30"/>
      <x:c r="S778" s="30"/>
      <x:c r="T778" s="30"/>
      <x:c r="U778" s="30"/>
      <x:c r="V778" s="30"/>
      <x:c r="W778" s="30"/>
    </x:row>
    <x:row r="779">
      <x:c r="J779" s="30"/>
      <x:c r="K779" s="30"/>
      <x:c r="L779" s="32"/>
      <x:c r="M779" s="32"/>
      <x:c r="N779" s="32"/>
      <x:c r="O779" s="32"/>
      <x:c r="P779" s="30"/>
      <x:c r="Q779" s="30"/>
      <x:c r="R779" s="30"/>
      <x:c r="S779" s="30"/>
      <x:c r="T779" s="30"/>
      <x:c r="U779" s="30"/>
      <x:c r="V779" s="30"/>
      <x:c r="W779" s="30"/>
    </x:row>
    <x:row r="780">
      <x:c r="J780" s="30"/>
      <x:c r="K780" s="30"/>
      <x:c r="L780" s="32"/>
      <x:c r="M780" s="32"/>
      <x:c r="N780" s="32"/>
      <x:c r="O780" s="32"/>
      <x:c r="P780" s="30"/>
      <x:c r="Q780" s="30"/>
      <x:c r="R780" s="30"/>
      <x:c r="S780" s="30"/>
      <x:c r="T780" s="30"/>
      <x:c r="U780" s="30"/>
      <x:c r="V780" s="30"/>
      <x:c r="W780" s="30"/>
    </x:row>
    <x:row r="781">
      <x:c r="J781" s="30"/>
      <x:c r="K781" s="30"/>
      <x:c r="L781" s="32"/>
      <x:c r="M781" s="32"/>
      <x:c r="N781" s="32"/>
      <x:c r="O781" s="32"/>
      <x:c r="P781" s="30"/>
      <x:c r="Q781" s="30"/>
      <x:c r="R781" s="30"/>
      <x:c r="S781" s="30"/>
      <x:c r="T781" s="30"/>
      <x:c r="U781" s="30"/>
      <x:c r="V781" s="30"/>
      <x:c r="W781" s="30"/>
    </x:row>
    <x:row r="782">
      <x:c r="J782" s="30"/>
      <x:c r="K782" s="30"/>
      <x:c r="L782" s="32"/>
      <x:c r="M782" s="32"/>
      <x:c r="N782" s="32"/>
      <x:c r="O782" s="32"/>
      <x:c r="P782" s="30"/>
      <x:c r="Q782" s="30"/>
      <x:c r="R782" s="30"/>
      <x:c r="S782" s="30"/>
      <x:c r="T782" s="30"/>
      <x:c r="U782" s="30"/>
      <x:c r="V782" s="30"/>
      <x:c r="W782" s="30"/>
    </x:row>
    <x:row r="783">
      <x:c r="J783" s="30"/>
      <x:c r="K783" s="30"/>
      <x:c r="L783" s="32"/>
      <x:c r="M783" s="32"/>
      <x:c r="N783" s="32"/>
      <x:c r="O783" s="32"/>
      <x:c r="P783" s="30"/>
      <x:c r="Q783" s="30"/>
      <x:c r="R783" s="30"/>
      <x:c r="S783" s="30"/>
      <x:c r="T783" s="30"/>
      <x:c r="U783" s="30"/>
      <x:c r="V783" s="30"/>
      <x:c r="W783" s="30"/>
    </x:row>
    <x:row r="784">
      <x:c r="J784" s="30"/>
      <x:c r="K784" s="30"/>
      <x:c r="L784" s="32"/>
      <x:c r="M784" s="32"/>
      <x:c r="N784" s="32"/>
      <x:c r="O784" s="32"/>
      <x:c r="P784" s="30"/>
      <x:c r="Q784" s="30"/>
      <x:c r="R784" s="30"/>
      <x:c r="S784" s="30"/>
      <x:c r="T784" s="30"/>
      <x:c r="U784" s="30"/>
      <x:c r="V784" s="30"/>
      <x:c r="W784" s="30"/>
    </x:row>
    <x:row r="785">
      <x:c r="J785" s="30"/>
      <x:c r="K785" s="30"/>
      <x:c r="L785" s="32"/>
      <x:c r="M785" s="32"/>
      <x:c r="N785" s="32"/>
      <x:c r="O785" s="32"/>
      <x:c r="P785" s="30"/>
      <x:c r="Q785" s="30"/>
      <x:c r="R785" s="30"/>
      <x:c r="S785" s="30"/>
      <x:c r="T785" s="30"/>
      <x:c r="U785" s="30"/>
      <x:c r="V785" s="30"/>
      <x:c r="W785" s="30"/>
    </x:row>
    <x:row r="786">
      <x:c r="J786" s="30"/>
      <x:c r="K786" s="30"/>
      <x:c r="L786" s="32"/>
      <x:c r="M786" s="32"/>
      <x:c r="N786" s="32"/>
      <x:c r="O786" s="32"/>
      <x:c r="P786" s="30"/>
      <x:c r="Q786" s="30"/>
      <x:c r="R786" s="30"/>
      <x:c r="S786" s="30"/>
      <x:c r="T786" s="30"/>
      <x:c r="U786" s="30"/>
      <x:c r="V786" s="30"/>
      <x:c r="W786" s="30"/>
    </x:row>
    <x:row r="787">
      <x:c r="J787" s="30"/>
      <x:c r="K787" s="30"/>
      <x:c r="L787" s="32"/>
      <x:c r="M787" s="32"/>
      <x:c r="N787" s="32"/>
      <x:c r="O787" s="32"/>
      <x:c r="P787" s="30"/>
      <x:c r="Q787" s="30"/>
      <x:c r="R787" s="30"/>
      <x:c r="S787" s="30"/>
      <x:c r="T787" s="30"/>
      <x:c r="U787" s="30"/>
      <x:c r="V787" s="30"/>
      <x:c r="W787" s="30"/>
    </x:row>
    <x:row r="788">
      <x:c r="J788" s="30"/>
      <x:c r="K788" s="30"/>
      <x:c r="L788" s="32"/>
      <x:c r="M788" s="32"/>
      <x:c r="N788" s="32"/>
      <x:c r="O788" s="32"/>
      <x:c r="P788" s="30"/>
      <x:c r="Q788" s="30"/>
      <x:c r="R788" s="30"/>
      <x:c r="S788" s="30"/>
      <x:c r="T788" s="30"/>
      <x:c r="U788" s="30"/>
      <x:c r="V788" s="30"/>
      <x:c r="W788" s="30"/>
    </x:row>
    <x:row r="789">
      <x:c r="J789" s="30"/>
      <x:c r="K789" s="30"/>
      <x:c r="L789" s="32"/>
      <x:c r="M789" s="32"/>
      <x:c r="N789" s="32"/>
      <x:c r="O789" s="32"/>
      <x:c r="P789" s="30"/>
      <x:c r="Q789" s="30"/>
      <x:c r="R789" s="30"/>
      <x:c r="S789" s="30"/>
      <x:c r="T789" s="30"/>
      <x:c r="U789" s="30"/>
      <x:c r="V789" s="30"/>
      <x:c r="W789" s="30"/>
    </x:row>
    <x:row r="790">
      <x:c r="J790" s="30"/>
      <x:c r="K790" s="30"/>
      <x:c r="L790" s="32"/>
      <x:c r="M790" s="32"/>
      <x:c r="N790" s="32"/>
      <x:c r="O790" s="32"/>
      <x:c r="P790" s="30"/>
      <x:c r="Q790" s="30"/>
      <x:c r="R790" s="30"/>
      <x:c r="S790" s="30"/>
      <x:c r="T790" s="30"/>
      <x:c r="U790" s="30"/>
      <x:c r="V790" s="30"/>
      <x:c r="W790" s="30"/>
    </x:row>
    <x:row r="791">
      <x:c r="J791" s="30"/>
      <x:c r="K791" s="30"/>
      <x:c r="L791" s="32"/>
      <x:c r="M791" s="32"/>
      <x:c r="N791" s="32"/>
      <x:c r="O791" s="32"/>
      <x:c r="P791" s="30"/>
      <x:c r="Q791" s="30"/>
      <x:c r="R791" s="30"/>
      <x:c r="S791" s="30"/>
      <x:c r="T791" s="30"/>
      <x:c r="U791" s="30"/>
      <x:c r="V791" s="30"/>
      <x:c r="W791" s="30"/>
    </x:row>
    <x:row r="792">
      <x:c r="J792" s="30"/>
      <x:c r="K792" s="30"/>
      <x:c r="L792" s="32"/>
      <x:c r="M792" s="32"/>
      <x:c r="N792" s="32"/>
      <x:c r="O792" s="32"/>
      <x:c r="P792" s="30"/>
      <x:c r="Q792" s="30"/>
      <x:c r="R792" s="30"/>
      <x:c r="S792" s="30"/>
      <x:c r="T792" s="30"/>
      <x:c r="U792" s="30"/>
      <x:c r="V792" s="30"/>
      <x:c r="W792" s="30"/>
    </x:row>
    <x:row r="793">
      <x:c r="J793" s="30"/>
      <x:c r="K793" s="30"/>
      <x:c r="L793" s="32"/>
      <x:c r="M793" s="32"/>
      <x:c r="N793" s="32"/>
      <x:c r="O793" s="32"/>
      <x:c r="P793" s="30"/>
      <x:c r="Q793" s="30"/>
      <x:c r="R793" s="30"/>
      <x:c r="S793" s="30"/>
      <x:c r="T793" s="30"/>
      <x:c r="U793" s="30"/>
      <x:c r="V793" s="30"/>
      <x:c r="W793" s="30"/>
    </x:row>
    <x:row r="794">
      <x:c r="J794" s="30"/>
      <x:c r="K794" s="30"/>
      <x:c r="L794" s="32"/>
      <x:c r="M794" s="32"/>
      <x:c r="N794" s="32"/>
      <x:c r="O794" s="32"/>
      <x:c r="P794" s="30"/>
      <x:c r="Q794" s="30"/>
      <x:c r="R794" s="30"/>
      <x:c r="S794" s="30"/>
      <x:c r="T794" s="30"/>
      <x:c r="U794" s="30"/>
      <x:c r="V794" s="30"/>
      <x:c r="W794" s="30"/>
    </x:row>
    <x:row r="795">
      <x:c r="J795" s="30"/>
      <x:c r="K795" s="30"/>
      <x:c r="L795" s="32"/>
      <x:c r="M795" s="32"/>
      <x:c r="N795" s="32"/>
      <x:c r="O795" s="32"/>
      <x:c r="P795" s="30"/>
      <x:c r="Q795" s="30"/>
      <x:c r="R795" s="30"/>
      <x:c r="S795" s="30"/>
      <x:c r="T795" s="30"/>
      <x:c r="U795" s="30"/>
      <x:c r="V795" s="30"/>
      <x:c r="W795" s="30"/>
    </x:row>
    <x:row r="796">
      <x:c r="J796" s="30"/>
      <x:c r="K796" s="30"/>
      <x:c r="L796" s="32"/>
      <x:c r="M796" s="32"/>
      <x:c r="N796" s="32"/>
      <x:c r="O796" s="32"/>
      <x:c r="P796" s="30"/>
      <x:c r="Q796" s="30"/>
      <x:c r="R796" s="30"/>
      <x:c r="S796" s="30"/>
      <x:c r="T796" s="30"/>
      <x:c r="U796" s="30"/>
      <x:c r="V796" s="30"/>
      <x:c r="W796" s="30"/>
    </x:row>
    <x:row r="797">
      <x:c r="J797" s="30"/>
      <x:c r="K797" s="30"/>
      <x:c r="L797" s="32"/>
      <x:c r="M797" s="32"/>
      <x:c r="N797" s="32"/>
      <x:c r="O797" s="32"/>
      <x:c r="P797" s="30"/>
      <x:c r="Q797" s="30"/>
      <x:c r="R797" s="30"/>
      <x:c r="S797" s="30"/>
      <x:c r="T797" s="30"/>
      <x:c r="U797" s="30"/>
      <x:c r="V797" s="30"/>
      <x:c r="W797" s="30"/>
    </x:row>
    <x:row r="798">
      <x:c r="J798" s="30"/>
      <x:c r="K798" s="30"/>
      <x:c r="L798" s="32"/>
      <x:c r="M798" s="32"/>
      <x:c r="N798" s="32"/>
      <x:c r="O798" s="32"/>
      <x:c r="P798" s="30"/>
      <x:c r="Q798" s="30"/>
      <x:c r="R798" s="30"/>
      <x:c r="S798" s="30"/>
      <x:c r="T798" s="30"/>
      <x:c r="U798" s="30"/>
      <x:c r="V798" s="30"/>
      <x:c r="W798" s="30"/>
    </x:row>
    <x:row r="799">
      <x:c r="J799" s="30"/>
      <x:c r="K799" s="30"/>
      <x:c r="L799" s="32"/>
      <x:c r="M799" s="32"/>
      <x:c r="N799" s="32"/>
      <x:c r="O799" s="32"/>
      <x:c r="P799" s="30"/>
      <x:c r="Q799" s="30"/>
      <x:c r="R799" s="30"/>
      <x:c r="S799" s="30"/>
      <x:c r="T799" s="30"/>
      <x:c r="U799" s="30"/>
      <x:c r="V799" s="30"/>
      <x:c r="W799" s="30"/>
    </x:row>
    <x:row r="800">
      <x:c r="J800" s="30"/>
      <x:c r="K800" s="30"/>
      <x:c r="L800" s="32"/>
      <x:c r="M800" s="32"/>
      <x:c r="N800" s="32"/>
      <x:c r="O800" s="32"/>
      <x:c r="P800" s="30"/>
      <x:c r="Q800" s="30"/>
      <x:c r="R800" s="30"/>
      <x:c r="S800" s="30"/>
      <x:c r="T800" s="30"/>
      <x:c r="U800" s="30"/>
      <x:c r="V800" s="30"/>
      <x:c r="W800" s="30"/>
    </x:row>
    <x:row r="801">
      <x:c r="J801" s="30"/>
      <x:c r="K801" s="30"/>
      <x:c r="L801" s="32"/>
      <x:c r="M801" s="32"/>
      <x:c r="N801" s="32"/>
      <x:c r="O801" s="32"/>
      <x:c r="P801" s="30"/>
      <x:c r="Q801" s="30"/>
      <x:c r="R801" s="30"/>
      <x:c r="S801" s="30"/>
      <x:c r="T801" s="30"/>
      <x:c r="U801" s="30"/>
      <x:c r="V801" s="30"/>
      <x:c r="W801" s="30"/>
    </x:row>
    <x:row r="802">
      <x:c r="J802" s="30"/>
      <x:c r="K802" s="30"/>
      <x:c r="L802" s="32"/>
      <x:c r="M802" s="32"/>
      <x:c r="N802" s="32"/>
      <x:c r="O802" s="32"/>
      <x:c r="P802" s="30"/>
      <x:c r="Q802" s="30"/>
      <x:c r="R802" s="30"/>
      <x:c r="S802" s="30"/>
      <x:c r="T802" s="30"/>
      <x:c r="U802" s="30"/>
      <x:c r="V802" s="30"/>
      <x:c r="W802" s="30"/>
    </x:row>
    <x:row r="803">
      <x:c r="J803" s="30"/>
      <x:c r="K803" s="30"/>
      <x:c r="L803" s="32"/>
      <x:c r="M803" s="32"/>
      <x:c r="N803" s="32"/>
      <x:c r="O803" s="32"/>
      <x:c r="P803" s="30"/>
      <x:c r="Q803" s="30"/>
      <x:c r="R803" s="30"/>
      <x:c r="S803" s="30"/>
      <x:c r="T803" s="30"/>
      <x:c r="U803" s="30"/>
      <x:c r="V803" s="30"/>
      <x:c r="W803" s="30"/>
    </x:row>
    <x:row r="804">
      <x:c r="J804" s="30"/>
      <x:c r="K804" s="30"/>
      <x:c r="L804" s="32"/>
      <x:c r="M804" s="32"/>
      <x:c r="N804" s="32"/>
      <x:c r="O804" s="32"/>
      <x:c r="P804" s="30"/>
      <x:c r="Q804" s="30"/>
      <x:c r="R804" s="30"/>
      <x:c r="S804" s="30"/>
      <x:c r="T804" s="30"/>
      <x:c r="U804" s="30"/>
      <x:c r="V804" s="30"/>
      <x:c r="W804" s="30"/>
    </x:row>
    <x:row r="805">
      <x:c r="J805" s="30"/>
      <x:c r="K805" s="30"/>
      <x:c r="L805" s="32"/>
      <x:c r="M805" s="32"/>
      <x:c r="N805" s="32"/>
      <x:c r="O805" s="32"/>
      <x:c r="P805" s="30"/>
      <x:c r="Q805" s="30"/>
      <x:c r="R805" s="30"/>
      <x:c r="S805" s="30"/>
      <x:c r="T805" s="30"/>
      <x:c r="U805" s="30"/>
      <x:c r="V805" s="30"/>
      <x:c r="W805" s="30"/>
    </x:row>
    <x:row r="806">
      <x:c r="J806" s="30"/>
      <x:c r="K806" s="30"/>
      <x:c r="L806" s="32"/>
      <x:c r="M806" s="32"/>
      <x:c r="N806" s="32"/>
      <x:c r="O806" s="32"/>
      <x:c r="P806" s="30"/>
      <x:c r="Q806" s="30"/>
      <x:c r="R806" s="30"/>
      <x:c r="S806" s="30"/>
      <x:c r="T806" s="30"/>
      <x:c r="U806" s="30"/>
      <x:c r="V806" s="30"/>
      <x:c r="W806" s="30"/>
    </x:row>
    <x:row r="807">
      <x:c r="J807" s="30"/>
      <x:c r="K807" s="30"/>
      <x:c r="L807" s="32"/>
      <x:c r="M807" s="32"/>
      <x:c r="N807" s="32"/>
      <x:c r="O807" s="32"/>
      <x:c r="P807" s="30"/>
      <x:c r="Q807" s="30"/>
      <x:c r="R807" s="30"/>
      <x:c r="S807" s="30"/>
      <x:c r="T807" s="30"/>
      <x:c r="U807" s="30"/>
      <x:c r="V807" s="30"/>
      <x:c r="W807" s="30"/>
    </x:row>
    <x:row r="808">
      <x:c r="J808" s="30"/>
      <x:c r="K808" s="30"/>
      <x:c r="L808" s="32"/>
      <x:c r="M808" s="32"/>
      <x:c r="N808" s="32"/>
      <x:c r="O808" s="32"/>
      <x:c r="P808" s="30"/>
      <x:c r="Q808" s="30"/>
      <x:c r="R808" s="30"/>
      <x:c r="S808" s="30"/>
      <x:c r="T808" s="30"/>
      <x:c r="U808" s="30"/>
      <x:c r="V808" s="30"/>
      <x:c r="W808" s="30"/>
    </x:row>
    <x:row r="809">
      <x:c r="J809" s="30"/>
      <x:c r="K809" s="30"/>
      <x:c r="L809" s="32"/>
      <x:c r="M809" s="32"/>
      <x:c r="N809" s="32"/>
      <x:c r="O809" s="32"/>
      <x:c r="P809" s="30"/>
      <x:c r="Q809" s="30"/>
      <x:c r="R809" s="30"/>
      <x:c r="S809" s="30"/>
      <x:c r="T809" s="30"/>
      <x:c r="U809" s="30"/>
      <x:c r="V809" s="30"/>
      <x:c r="W809" s="30"/>
    </x:row>
    <x:row r="810">
      <x:c r="J810" s="30"/>
      <x:c r="K810" s="30"/>
      <x:c r="L810" s="32"/>
      <x:c r="M810" s="32"/>
      <x:c r="N810" s="32"/>
      <x:c r="O810" s="32"/>
      <x:c r="P810" s="30"/>
      <x:c r="Q810" s="30"/>
      <x:c r="R810" s="30"/>
      <x:c r="S810" s="30"/>
      <x:c r="T810" s="30"/>
      <x:c r="U810" s="30"/>
      <x:c r="V810" s="30"/>
      <x:c r="W810" s="30"/>
    </x:row>
    <x:row r="811">
      <x:c r="J811" s="30"/>
      <x:c r="K811" s="30"/>
      <x:c r="L811" s="32"/>
      <x:c r="M811" s="32"/>
      <x:c r="N811" s="32"/>
      <x:c r="O811" s="32"/>
      <x:c r="P811" s="30"/>
      <x:c r="Q811" s="30"/>
      <x:c r="R811" s="30"/>
      <x:c r="S811" s="30"/>
      <x:c r="T811" s="30"/>
      <x:c r="U811" s="30"/>
      <x:c r="V811" s="30"/>
      <x:c r="W811" s="30"/>
    </x:row>
    <x:row r="812">
      <x:c r="J812" s="30"/>
      <x:c r="K812" s="30"/>
      <x:c r="L812" s="32"/>
      <x:c r="M812" s="32"/>
      <x:c r="N812" s="32"/>
      <x:c r="O812" s="32"/>
      <x:c r="P812" s="30"/>
      <x:c r="Q812" s="30"/>
      <x:c r="R812" s="30"/>
      <x:c r="S812" s="30"/>
      <x:c r="T812" s="30"/>
      <x:c r="U812" s="30"/>
      <x:c r="V812" s="30"/>
      <x:c r="W812" s="30"/>
    </x:row>
    <x:row r="813">
      <x:c r="J813" s="30"/>
      <x:c r="K813" s="30"/>
      <x:c r="L813" s="32"/>
      <x:c r="M813" s="32"/>
      <x:c r="N813" s="32"/>
      <x:c r="O813" s="32"/>
      <x:c r="P813" s="30"/>
      <x:c r="Q813" s="30"/>
      <x:c r="R813" s="30"/>
      <x:c r="S813" s="30"/>
      <x:c r="T813" s="30"/>
      <x:c r="U813" s="30"/>
      <x:c r="V813" s="30"/>
      <x:c r="W813" s="30"/>
    </x:row>
    <x:row r="814">
      <x:c r="J814" s="30"/>
      <x:c r="K814" s="30"/>
      <x:c r="L814" s="32"/>
      <x:c r="M814" s="32"/>
      <x:c r="N814" s="32"/>
      <x:c r="O814" s="32"/>
      <x:c r="P814" s="30"/>
      <x:c r="Q814" s="30"/>
      <x:c r="R814" s="30"/>
      <x:c r="S814" s="30"/>
      <x:c r="T814" s="30"/>
      <x:c r="U814" s="30"/>
      <x:c r="V814" s="30"/>
      <x:c r="W814" s="30"/>
    </x:row>
    <x:row r="815">
      <x:c r="J815" s="30"/>
      <x:c r="K815" s="30"/>
      <x:c r="L815" s="32"/>
      <x:c r="M815" s="32"/>
      <x:c r="N815" s="32"/>
      <x:c r="O815" s="32"/>
      <x:c r="P815" s="30"/>
      <x:c r="Q815" s="30"/>
      <x:c r="R815" s="30"/>
      <x:c r="S815" s="30"/>
      <x:c r="T815" s="30"/>
      <x:c r="U815" s="30"/>
      <x:c r="V815" s="30"/>
      <x:c r="W815" s="30"/>
    </x:row>
    <x:row r="816">
      <x:c r="J816" s="30"/>
      <x:c r="K816" s="30"/>
      <x:c r="L816" s="32"/>
      <x:c r="M816" s="32"/>
      <x:c r="N816" s="32"/>
      <x:c r="O816" s="32"/>
      <x:c r="P816" s="30"/>
      <x:c r="Q816" s="30"/>
      <x:c r="R816" s="30"/>
      <x:c r="S816" s="30"/>
      <x:c r="T816" s="30"/>
      <x:c r="U816" s="30"/>
      <x:c r="V816" s="30"/>
      <x:c r="W816" s="30"/>
    </x:row>
    <x:row r="817">
      <x:c r="J817" s="30"/>
      <x:c r="K817" s="30"/>
      <x:c r="L817" s="32"/>
      <x:c r="M817" s="32"/>
      <x:c r="N817" s="32"/>
      <x:c r="O817" s="32"/>
      <x:c r="P817" s="30"/>
      <x:c r="Q817" s="30"/>
      <x:c r="R817" s="30"/>
      <x:c r="S817" s="30"/>
      <x:c r="T817" s="30"/>
      <x:c r="U817" s="30"/>
      <x:c r="V817" s="30"/>
      <x:c r="W817" s="30"/>
    </x:row>
    <x:row r="818">
      <x:c r="J818" s="30"/>
      <x:c r="K818" s="30"/>
      <x:c r="L818" s="32"/>
      <x:c r="M818" s="32"/>
      <x:c r="N818" s="32"/>
      <x:c r="O818" s="32"/>
      <x:c r="P818" s="30"/>
      <x:c r="Q818" s="30"/>
      <x:c r="R818" s="30"/>
      <x:c r="S818" s="30"/>
      <x:c r="T818" s="30"/>
      <x:c r="U818" s="30"/>
      <x:c r="V818" s="30"/>
      <x:c r="W818" s="30"/>
    </x:row>
    <x:row r="819">
      <x:c r="J819" s="30"/>
      <x:c r="K819" s="30"/>
      <x:c r="L819" s="32"/>
      <x:c r="M819" s="32"/>
      <x:c r="N819" s="32"/>
      <x:c r="O819" s="32"/>
      <x:c r="P819" s="30"/>
      <x:c r="Q819" s="30"/>
      <x:c r="R819" s="30"/>
      <x:c r="S819" s="30"/>
      <x:c r="T819" s="30"/>
      <x:c r="U819" s="30"/>
      <x:c r="V819" s="30"/>
      <x:c r="W819" s="30"/>
    </x:row>
    <x:row r="820">
      <x:c r="J820" s="30"/>
      <x:c r="K820" s="30"/>
      <x:c r="L820" s="32"/>
      <x:c r="M820" s="32"/>
      <x:c r="N820" s="32"/>
      <x:c r="O820" s="32"/>
      <x:c r="P820" s="30"/>
      <x:c r="Q820" s="30"/>
      <x:c r="R820" s="30"/>
      <x:c r="S820" s="30"/>
      <x:c r="T820" s="30"/>
      <x:c r="U820" s="30"/>
      <x:c r="V820" s="30"/>
      <x:c r="W820" s="30"/>
    </x:row>
    <x:row r="821">
      <x:c r="J821" s="30"/>
      <x:c r="K821" s="30"/>
      <x:c r="L821" s="32"/>
      <x:c r="M821" s="32"/>
      <x:c r="N821" s="32"/>
      <x:c r="O821" s="32"/>
      <x:c r="P821" s="30"/>
      <x:c r="Q821" s="30"/>
      <x:c r="R821" s="30"/>
      <x:c r="S821" s="30"/>
      <x:c r="T821" s="30"/>
      <x:c r="U821" s="30"/>
      <x:c r="V821" s="30"/>
      <x:c r="W821" s="30"/>
    </x:row>
    <x:row r="822">
      <x:c r="J822" s="30"/>
      <x:c r="K822" s="30"/>
      <x:c r="L822" s="32"/>
      <x:c r="M822" s="32"/>
      <x:c r="N822" s="32"/>
      <x:c r="O822" s="32"/>
      <x:c r="P822" s="30"/>
      <x:c r="Q822" s="30"/>
      <x:c r="R822" s="30"/>
      <x:c r="S822" s="30"/>
      <x:c r="T822" s="30"/>
      <x:c r="U822" s="30"/>
      <x:c r="V822" s="30"/>
      <x:c r="W822" s="30"/>
    </x:row>
    <x:row r="823">
      <x:c r="J823" s="30"/>
      <x:c r="K823" s="30"/>
      <x:c r="L823" s="32"/>
      <x:c r="M823" s="32"/>
      <x:c r="N823" s="32"/>
      <x:c r="O823" s="32"/>
      <x:c r="P823" s="30"/>
      <x:c r="Q823" s="30"/>
      <x:c r="R823" s="30"/>
      <x:c r="S823" s="30"/>
      <x:c r="T823" s="30"/>
      <x:c r="U823" s="30"/>
      <x:c r="V823" s="30"/>
      <x:c r="W823" s="30"/>
    </x:row>
    <x:row r="824">
      <x:c r="J824" s="30"/>
      <x:c r="K824" s="30"/>
      <x:c r="L824" s="32"/>
      <x:c r="M824" s="32"/>
      <x:c r="N824" s="32"/>
      <x:c r="O824" s="32"/>
      <x:c r="P824" s="30"/>
      <x:c r="Q824" s="30"/>
      <x:c r="R824" s="30"/>
      <x:c r="S824" s="30"/>
      <x:c r="T824" s="30"/>
      <x:c r="U824" s="30"/>
      <x:c r="V824" s="30"/>
      <x:c r="W824" s="30"/>
    </x:row>
    <x:row r="825">
      <x:c r="J825" s="30"/>
      <x:c r="K825" s="30"/>
      <x:c r="L825" s="32"/>
      <x:c r="M825" s="32"/>
      <x:c r="N825" s="32"/>
      <x:c r="O825" s="32"/>
      <x:c r="P825" s="30"/>
      <x:c r="Q825" s="30"/>
      <x:c r="R825" s="30"/>
      <x:c r="S825" s="30"/>
      <x:c r="T825" s="30"/>
      <x:c r="U825" s="30"/>
      <x:c r="V825" s="30"/>
      <x:c r="W825" s="30"/>
    </x:row>
    <x:row r="826">
      <x:c r="J826" s="30"/>
      <x:c r="K826" s="30"/>
      <x:c r="L826" s="32"/>
      <x:c r="M826" s="32"/>
      <x:c r="N826" s="32"/>
      <x:c r="O826" s="32"/>
      <x:c r="P826" s="30"/>
      <x:c r="Q826" s="30"/>
      <x:c r="R826" s="30"/>
      <x:c r="S826" s="30"/>
      <x:c r="T826" s="30"/>
      <x:c r="U826" s="30"/>
      <x:c r="V826" s="30"/>
      <x:c r="W826" s="30"/>
    </x:row>
    <x:row r="827">
      <x:c r="J827" s="30"/>
      <x:c r="K827" s="30"/>
      <x:c r="L827" s="32"/>
      <x:c r="M827" s="32"/>
      <x:c r="N827" s="32"/>
      <x:c r="O827" s="32"/>
      <x:c r="P827" s="30"/>
      <x:c r="Q827" s="30"/>
      <x:c r="R827" s="30"/>
      <x:c r="S827" s="30"/>
      <x:c r="T827" s="30"/>
      <x:c r="U827" s="30"/>
      <x:c r="V827" s="30"/>
      <x:c r="W827" s="30"/>
    </x:row>
    <x:row r="828">
      <x:c r="J828" s="30"/>
      <x:c r="K828" s="30"/>
      <x:c r="L828" s="32"/>
      <x:c r="M828" s="32"/>
      <x:c r="N828" s="32"/>
      <x:c r="O828" s="32"/>
      <x:c r="P828" s="30"/>
      <x:c r="Q828" s="30"/>
      <x:c r="R828" s="30"/>
      <x:c r="S828" s="30"/>
      <x:c r="T828" s="30"/>
      <x:c r="U828" s="30"/>
      <x:c r="V828" s="30"/>
      <x:c r="W828" s="30"/>
    </x:row>
    <x:row r="829">
      <x:c r="J829" s="30"/>
      <x:c r="K829" s="30"/>
      <x:c r="L829" s="32"/>
      <x:c r="M829" s="32"/>
      <x:c r="N829" s="32"/>
      <x:c r="O829" s="32"/>
      <x:c r="P829" s="30"/>
      <x:c r="Q829" s="30"/>
      <x:c r="R829" s="30"/>
      <x:c r="S829" s="30"/>
      <x:c r="T829" s="30"/>
      <x:c r="U829" s="30"/>
      <x:c r="V829" s="30"/>
      <x:c r="W829" s="30"/>
    </x:row>
    <x:row r="830">
      <x:c r="J830" s="30"/>
      <x:c r="K830" s="30"/>
      <x:c r="L830" s="32"/>
      <x:c r="M830" s="32"/>
      <x:c r="N830" s="32"/>
      <x:c r="O830" s="32"/>
      <x:c r="P830" s="30"/>
      <x:c r="Q830" s="30"/>
      <x:c r="R830" s="30"/>
      <x:c r="S830" s="30"/>
      <x:c r="T830" s="30"/>
      <x:c r="U830" s="30"/>
      <x:c r="V830" s="30"/>
      <x:c r="W830" s="30"/>
    </x:row>
    <x:row r="831">
      <x:c r="J831" s="30"/>
      <x:c r="K831" s="30"/>
      <x:c r="L831" s="32"/>
      <x:c r="M831" s="32"/>
      <x:c r="N831" s="32"/>
      <x:c r="O831" s="32"/>
      <x:c r="P831" s="30"/>
      <x:c r="Q831" s="30"/>
      <x:c r="R831" s="30"/>
      <x:c r="S831" s="30"/>
      <x:c r="T831" s="30"/>
      <x:c r="U831" s="30"/>
      <x:c r="V831" s="30"/>
      <x:c r="W831" s="30"/>
    </x:row>
    <x:row r="832">
      <x:c r="J832" s="30"/>
      <x:c r="K832" s="30"/>
      <x:c r="L832" s="32"/>
      <x:c r="M832" s="32"/>
      <x:c r="N832" s="32"/>
      <x:c r="O832" s="32"/>
      <x:c r="P832" s="30"/>
      <x:c r="Q832" s="30"/>
      <x:c r="R832" s="30"/>
      <x:c r="S832" s="30"/>
      <x:c r="T832" s="30"/>
      <x:c r="U832" s="30"/>
      <x:c r="V832" s="30"/>
      <x:c r="W832" s="30"/>
    </x:row>
    <x:row r="833">
      <x:c r="J833" s="30"/>
      <x:c r="K833" s="30"/>
      <x:c r="L833" s="32"/>
      <x:c r="M833" s="32"/>
      <x:c r="N833" s="32"/>
      <x:c r="O833" s="32"/>
      <x:c r="P833" s="30"/>
      <x:c r="Q833" s="30"/>
      <x:c r="R833" s="30"/>
      <x:c r="S833" s="30"/>
      <x:c r="T833" s="30"/>
      <x:c r="U833" s="30"/>
      <x:c r="V833" s="30"/>
      <x:c r="W833" s="30"/>
    </x:row>
    <x:row r="834">
      <x:c r="J834" s="30"/>
      <x:c r="K834" s="30"/>
      <x:c r="L834" s="32"/>
      <x:c r="M834" s="32"/>
      <x:c r="N834" s="32"/>
      <x:c r="O834" s="32"/>
      <x:c r="P834" s="30"/>
      <x:c r="Q834" s="30"/>
      <x:c r="R834" s="30"/>
      <x:c r="S834" s="30"/>
      <x:c r="T834" s="30"/>
      <x:c r="U834" s="30"/>
      <x:c r="V834" s="30"/>
      <x:c r="W834" s="30"/>
    </x:row>
    <x:row r="835">
      <x:c r="J835" s="30"/>
      <x:c r="K835" s="30"/>
      <x:c r="L835" s="32"/>
      <x:c r="M835" s="32"/>
      <x:c r="N835" s="32"/>
      <x:c r="O835" s="32"/>
      <x:c r="P835" s="30"/>
      <x:c r="Q835" s="30"/>
      <x:c r="R835" s="30"/>
      <x:c r="S835" s="30"/>
      <x:c r="T835" s="30"/>
      <x:c r="U835" s="30"/>
      <x:c r="V835" s="30"/>
      <x:c r="W835" s="30"/>
    </x:row>
    <x:row r="836">
      <x:c r="J836" s="30"/>
      <x:c r="K836" s="30"/>
      <x:c r="L836" s="32"/>
      <x:c r="M836" s="32"/>
      <x:c r="N836" s="32"/>
      <x:c r="O836" s="32"/>
      <x:c r="P836" s="30"/>
      <x:c r="Q836" s="30"/>
      <x:c r="R836" s="30"/>
      <x:c r="S836" s="30"/>
      <x:c r="T836" s="30"/>
      <x:c r="U836" s="30"/>
      <x:c r="V836" s="30"/>
      <x:c r="W836" s="30"/>
    </x:row>
    <x:row r="837">
      <x:c r="J837" s="30"/>
      <x:c r="K837" s="30"/>
      <x:c r="L837" s="32"/>
      <x:c r="M837" s="32"/>
      <x:c r="N837" s="32"/>
      <x:c r="O837" s="32"/>
      <x:c r="P837" s="30"/>
      <x:c r="Q837" s="30"/>
      <x:c r="R837" s="30"/>
      <x:c r="S837" s="30"/>
      <x:c r="T837" s="30"/>
      <x:c r="U837" s="30"/>
      <x:c r="V837" s="30"/>
      <x:c r="W837" s="30"/>
    </x:row>
    <x:row r="838">
      <x:c r="J838" s="30"/>
      <x:c r="K838" s="30"/>
      <x:c r="L838" s="32"/>
      <x:c r="M838" s="32"/>
      <x:c r="N838" s="32"/>
      <x:c r="O838" s="32"/>
      <x:c r="P838" s="30"/>
      <x:c r="Q838" s="30"/>
      <x:c r="R838" s="30"/>
      <x:c r="S838" s="30"/>
      <x:c r="T838" s="30"/>
      <x:c r="U838" s="30"/>
      <x:c r="V838" s="30"/>
      <x:c r="W838" s="30"/>
    </x:row>
    <x:row r="839">
      <x:c r="J839" s="30"/>
      <x:c r="K839" s="30"/>
      <x:c r="L839" s="32"/>
      <x:c r="M839" s="32"/>
      <x:c r="N839" s="32"/>
      <x:c r="O839" s="32"/>
      <x:c r="P839" s="30"/>
      <x:c r="Q839" s="30"/>
      <x:c r="R839" s="30"/>
      <x:c r="S839" s="30"/>
      <x:c r="T839" s="30"/>
      <x:c r="U839" s="30"/>
      <x:c r="V839" s="30"/>
      <x:c r="W839" s="30"/>
    </x:row>
    <x:row r="840">
      <x:c r="J840" s="30"/>
      <x:c r="K840" s="30"/>
      <x:c r="L840" s="32"/>
      <x:c r="M840" s="32"/>
      <x:c r="N840" s="32"/>
      <x:c r="O840" s="32"/>
      <x:c r="P840" s="30"/>
      <x:c r="Q840" s="30"/>
      <x:c r="R840" s="30"/>
      <x:c r="S840" s="30"/>
      <x:c r="T840" s="30"/>
      <x:c r="U840" s="30"/>
      <x:c r="V840" s="30"/>
      <x:c r="W840" s="30"/>
    </x:row>
    <x:row r="841">
      <x:c r="J841" s="30"/>
      <x:c r="K841" s="30"/>
      <x:c r="L841" s="32"/>
      <x:c r="M841" s="32"/>
      <x:c r="N841" s="32"/>
      <x:c r="O841" s="32"/>
      <x:c r="P841" s="30"/>
      <x:c r="Q841" s="30"/>
      <x:c r="R841" s="30"/>
      <x:c r="S841" s="30"/>
      <x:c r="T841" s="30"/>
      <x:c r="U841" s="30"/>
      <x:c r="V841" s="30"/>
      <x:c r="W841" s="30"/>
    </x:row>
    <x:row r="842">
      <x:c r="J842" s="30"/>
      <x:c r="K842" s="30"/>
      <x:c r="L842" s="32"/>
      <x:c r="M842" s="32"/>
      <x:c r="N842" s="32"/>
      <x:c r="O842" s="32"/>
      <x:c r="P842" s="30"/>
      <x:c r="Q842" s="30"/>
      <x:c r="R842" s="30"/>
      <x:c r="S842" s="30"/>
      <x:c r="T842" s="30"/>
      <x:c r="U842" s="30"/>
      <x:c r="V842" s="30"/>
      <x:c r="W842" s="30"/>
    </x:row>
    <x:row r="843">
      <x:c r="J843" s="30"/>
      <x:c r="K843" s="30"/>
      <x:c r="L843" s="32"/>
      <x:c r="M843" s="32"/>
      <x:c r="N843" s="32"/>
      <x:c r="O843" s="32"/>
      <x:c r="P843" s="30"/>
      <x:c r="Q843" s="30"/>
      <x:c r="R843" s="30"/>
      <x:c r="S843" s="30"/>
      <x:c r="T843" s="30"/>
      <x:c r="U843" s="30"/>
      <x:c r="V843" s="30"/>
      <x:c r="W843" s="30"/>
    </x:row>
    <x:row r="844">
      <x:c r="J844" s="30"/>
      <x:c r="K844" s="30"/>
      <x:c r="L844" s="32"/>
      <x:c r="M844" s="32"/>
      <x:c r="N844" s="32"/>
      <x:c r="O844" s="32"/>
      <x:c r="P844" s="30"/>
      <x:c r="Q844" s="30"/>
      <x:c r="R844" s="30"/>
      <x:c r="S844" s="30"/>
      <x:c r="T844" s="30"/>
      <x:c r="U844" s="30"/>
      <x:c r="V844" s="30"/>
      <x:c r="W844" s="30"/>
    </x:row>
    <x:row r="845">
      <x:c r="J845" s="30"/>
      <x:c r="K845" s="30"/>
      <x:c r="L845" s="32"/>
      <x:c r="M845" s="32"/>
      <x:c r="N845" s="32"/>
      <x:c r="O845" s="32"/>
      <x:c r="P845" s="30"/>
      <x:c r="Q845" s="30"/>
      <x:c r="R845" s="30"/>
      <x:c r="S845" s="30"/>
      <x:c r="T845" s="30"/>
      <x:c r="U845" s="30"/>
      <x:c r="V845" s="30"/>
      <x:c r="W845" s="30"/>
    </x:row>
    <x:row r="846">
      <x:c r="J846" s="30"/>
      <x:c r="K846" s="30"/>
      <x:c r="L846" s="32"/>
      <x:c r="M846" s="32"/>
      <x:c r="N846" s="32"/>
      <x:c r="O846" s="32"/>
      <x:c r="P846" s="30"/>
      <x:c r="Q846" s="30"/>
      <x:c r="R846" s="30"/>
      <x:c r="S846" s="30"/>
      <x:c r="T846" s="30"/>
      <x:c r="U846" s="30"/>
      <x:c r="V846" s="30"/>
      <x:c r="W846" s="30"/>
    </x:row>
    <x:row r="847">
      <x:c r="J847" s="30"/>
      <x:c r="K847" s="30"/>
      <x:c r="L847" s="32"/>
      <x:c r="M847" s="32"/>
      <x:c r="N847" s="32"/>
      <x:c r="O847" s="32"/>
      <x:c r="P847" s="30"/>
      <x:c r="Q847" s="30"/>
      <x:c r="R847" s="30"/>
      <x:c r="S847" s="30"/>
      <x:c r="T847" s="30"/>
      <x:c r="U847" s="30"/>
      <x:c r="V847" s="30"/>
      <x:c r="W847" s="30"/>
    </x:row>
    <x:row r="848">
      <x:c r="J848" s="30"/>
      <x:c r="K848" s="30"/>
      <x:c r="L848" s="32"/>
      <x:c r="M848" s="32"/>
      <x:c r="N848" s="32"/>
      <x:c r="O848" s="32"/>
      <x:c r="P848" s="30"/>
      <x:c r="Q848" s="30"/>
      <x:c r="R848" s="30"/>
      <x:c r="S848" s="30"/>
      <x:c r="T848" s="30"/>
      <x:c r="U848" s="30"/>
      <x:c r="V848" s="30"/>
      <x:c r="W848" s="30"/>
    </x:row>
    <x:row r="849">
      <x:c r="J849" s="30"/>
      <x:c r="K849" s="30"/>
      <x:c r="L849" s="32"/>
      <x:c r="M849" s="32"/>
      <x:c r="N849" s="32"/>
      <x:c r="O849" s="32"/>
      <x:c r="P849" s="30"/>
      <x:c r="Q849" s="30"/>
      <x:c r="R849" s="30"/>
      <x:c r="S849" s="30"/>
      <x:c r="T849" s="30"/>
      <x:c r="U849" s="30"/>
      <x:c r="V849" s="30"/>
      <x:c r="W849" s="30"/>
    </x:row>
    <x:row r="850">
      <x:c r="J850" s="30"/>
      <x:c r="K850" s="30"/>
      <x:c r="L850" s="32"/>
      <x:c r="M850" s="32"/>
      <x:c r="N850" s="32"/>
      <x:c r="O850" s="32"/>
      <x:c r="P850" s="30"/>
      <x:c r="Q850" s="30"/>
      <x:c r="R850" s="30"/>
      <x:c r="S850" s="30"/>
      <x:c r="T850" s="30"/>
      <x:c r="U850" s="30"/>
      <x:c r="V850" s="30"/>
      <x:c r="W850" s="30"/>
    </x:row>
    <x:row r="851">
      <x:c r="J851" s="30"/>
      <x:c r="K851" s="30"/>
      <x:c r="L851" s="32"/>
      <x:c r="M851" s="32"/>
      <x:c r="N851" s="32"/>
      <x:c r="O851" s="32"/>
      <x:c r="P851" s="30"/>
      <x:c r="Q851" s="30"/>
      <x:c r="R851" s="30"/>
      <x:c r="S851" s="30"/>
      <x:c r="T851" s="30"/>
      <x:c r="U851" s="30"/>
      <x:c r="V851" s="30"/>
      <x:c r="W851" s="30"/>
    </x:row>
    <x:row r="852">
      <x:c r="J852" s="30"/>
      <x:c r="K852" s="30"/>
      <x:c r="L852" s="32"/>
      <x:c r="M852" s="32"/>
      <x:c r="N852" s="32"/>
      <x:c r="O852" s="32"/>
      <x:c r="P852" s="30"/>
      <x:c r="Q852" s="30"/>
      <x:c r="R852" s="30"/>
      <x:c r="S852" s="30"/>
      <x:c r="T852" s="30"/>
      <x:c r="U852" s="30"/>
      <x:c r="V852" s="30"/>
      <x:c r="W852" s="30"/>
    </x:row>
    <x:row r="853">
      <x:c r="J853" s="30"/>
      <x:c r="K853" s="30"/>
      <x:c r="L853" s="32"/>
      <x:c r="M853" s="32"/>
      <x:c r="N853" s="32"/>
      <x:c r="O853" s="32"/>
      <x:c r="P853" s="30"/>
      <x:c r="Q853" s="30"/>
      <x:c r="R853" s="30"/>
      <x:c r="S853" s="30"/>
      <x:c r="T853" s="30"/>
      <x:c r="U853" s="30"/>
      <x:c r="V853" s="30"/>
      <x:c r="W853" s="30"/>
    </x:row>
    <x:row r="854">
      <x:c r="J854" s="30"/>
      <x:c r="K854" s="30"/>
      <x:c r="L854" s="32"/>
      <x:c r="M854" s="32"/>
      <x:c r="N854" s="32"/>
      <x:c r="O854" s="32"/>
      <x:c r="P854" s="30"/>
      <x:c r="Q854" s="30"/>
      <x:c r="R854" s="30"/>
      <x:c r="S854" s="30"/>
      <x:c r="T854" s="30"/>
      <x:c r="U854" s="30"/>
      <x:c r="V854" s="30"/>
      <x:c r="W854" s="30"/>
    </x:row>
    <x:row r="855">
      <x:c r="J855" s="30"/>
      <x:c r="K855" s="30"/>
      <x:c r="L855" s="32"/>
      <x:c r="M855" s="32"/>
      <x:c r="N855" s="32"/>
      <x:c r="O855" s="32"/>
      <x:c r="P855" s="30"/>
      <x:c r="Q855" s="30"/>
      <x:c r="R855" s="30"/>
      <x:c r="S855" s="30"/>
      <x:c r="T855" s="30"/>
      <x:c r="U855" s="30"/>
      <x:c r="V855" s="30"/>
      <x:c r="W855" s="30"/>
    </x:row>
    <x:row r="856">
      <x:c r="J856" s="30"/>
      <x:c r="K856" s="30"/>
      <x:c r="L856" s="32"/>
      <x:c r="M856" s="32"/>
      <x:c r="N856" s="32"/>
      <x:c r="O856" s="32"/>
      <x:c r="P856" s="30"/>
      <x:c r="Q856" s="30"/>
      <x:c r="R856" s="30"/>
      <x:c r="S856" s="30"/>
      <x:c r="T856" s="30"/>
      <x:c r="U856" s="30"/>
      <x:c r="V856" s="30"/>
      <x:c r="W856" s="30"/>
    </x:row>
    <x:row r="857">
      <x:c r="J857" s="30"/>
      <x:c r="K857" s="30"/>
      <x:c r="L857" s="32"/>
      <x:c r="M857" s="32"/>
      <x:c r="N857" s="32"/>
      <x:c r="O857" s="32"/>
      <x:c r="P857" s="30"/>
      <x:c r="Q857" s="30"/>
      <x:c r="R857" s="30"/>
      <x:c r="S857" s="30"/>
      <x:c r="T857" s="30"/>
      <x:c r="U857" s="30"/>
      <x:c r="V857" s="30"/>
      <x:c r="W857" s="30"/>
    </x:row>
    <x:row r="858">
      <x:c r="J858" s="30"/>
      <x:c r="K858" s="30"/>
      <x:c r="L858" s="32"/>
      <x:c r="M858" s="32"/>
      <x:c r="N858" s="32"/>
      <x:c r="O858" s="32"/>
      <x:c r="P858" s="30"/>
      <x:c r="Q858" s="30"/>
      <x:c r="R858" s="30"/>
      <x:c r="S858" s="30"/>
      <x:c r="T858" s="30"/>
      <x:c r="U858" s="30"/>
      <x:c r="V858" s="30"/>
      <x:c r="W858" s="30"/>
    </x:row>
    <x:row r="859">
      <x:c r="J859" s="30"/>
      <x:c r="K859" s="30"/>
      <x:c r="L859" s="32"/>
      <x:c r="M859" s="32"/>
      <x:c r="N859" s="32"/>
      <x:c r="O859" s="32"/>
      <x:c r="P859" s="30"/>
      <x:c r="Q859" s="30"/>
      <x:c r="R859" s="30"/>
      <x:c r="S859" s="30"/>
      <x:c r="T859" s="30"/>
      <x:c r="U859" s="30"/>
      <x:c r="V859" s="30"/>
      <x:c r="W859" s="30"/>
    </x:row>
    <x:row r="860">
      <x:c r="J860" s="30"/>
      <x:c r="K860" s="30"/>
      <x:c r="L860" s="32"/>
      <x:c r="M860" s="32"/>
      <x:c r="N860" s="32"/>
      <x:c r="O860" s="32"/>
      <x:c r="P860" s="30"/>
      <x:c r="Q860" s="30"/>
      <x:c r="R860" s="30"/>
      <x:c r="S860" s="30"/>
      <x:c r="T860" s="30"/>
      <x:c r="U860" s="30"/>
      <x:c r="V860" s="30"/>
      <x:c r="W860" s="30"/>
    </x:row>
    <x:row r="861">
      <x:c r="J861" s="30"/>
      <x:c r="K861" s="30"/>
      <x:c r="L861" s="32"/>
      <x:c r="M861" s="32"/>
      <x:c r="N861" s="32"/>
      <x:c r="O861" s="32"/>
      <x:c r="P861" s="30"/>
      <x:c r="Q861" s="30"/>
      <x:c r="R861" s="30"/>
      <x:c r="S861" s="30"/>
      <x:c r="T861" s="30"/>
      <x:c r="U861" s="30"/>
      <x:c r="V861" s="30"/>
      <x:c r="W861" s="30"/>
    </x:row>
    <x:row r="862">
      <x:c r="J862" s="30"/>
      <x:c r="K862" s="30"/>
      <x:c r="L862" s="32"/>
      <x:c r="M862" s="32"/>
      <x:c r="N862" s="32"/>
      <x:c r="O862" s="32"/>
      <x:c r="P862" s="30"/>
      <x:c r="Q862" s="30"/>
      <x:c r="R862" s="30"/>
      <x:c r="S862" s="30"/>
      <x:c r="T862" s="30"/>
      <x:c r="U862" s="30"/>
      <x:c r="V862" s="30"/>
      <x:c r="W862" s="30"/>
    </x:row>
    <x:row r="863">
      <x:c r="J863" s="30"/>
      <x:c r="K863" s="30"/>
      <x:c r="L863" s="32"/>
      <x:c r="M863" s="32"/>
      <x:c r="N863" s="32"/>
      <x:c r="O863" s="32"/>
      <x:c r="P863" s="30"/>
      <x:c r="Q863" s="30"/>
      <x:c r="R863" s="30"/>
      <x:c r="S863" s="30"/>
      <x:c r="T863" s="30"/>
      <x:c r="U863" s="30"/>
      <x:c r="V863" s="30"/>
      <x:c r="W863" s="30"/>
    </x:row>
    <x:row r="864">
      <x:c r="J864" s="30"/>
      <x:c r="K864" s="30"/>
      <x:c r="L864" s="32"/>
      <x:c r="M864" s="32"/>
      <x:c r="N864" s="32"/>
      <x:c r="O864" s="32"/>
      <x:c r="P864" s="30"/>
      <x:c r="Q864" s="30"/>
      <x:c r="R864" s="30"/>
      <x:c r="S864" s="30"/>
      <x:c r="T864" s="30"/>
      <x:c r="U864" s="30"/>
      <x:c r="V864" s="30"/>
      <x:c r="W864" s="30"/>
    </x:row>
    <x:row r="865">
      <x:c r="J865" s="30"/>
      <x:c r="K865" s="30"/>
      <x:c r="L865" s="32"/>
      <x:c r="M865" s="32"/>
      <x:c r="N865" s="32"/>
      <x:c r="O865" s="32"/>
      <x:c r="P865" s="30"/>
      <x:c r="Q865" s="30"/>
      <x:c r="R865" s="30"/>
      <x:c r="S865" s="30"/>
      <x:c r="T865" s="30"/>
      <x:c r="U865" s="30"/>
      <x:c r="V865" s="30"/>
      <x:c r="W865" s="30"/>
    </x:row>
    <x:row r="866">
      <x:c r="J866" s="30"/>
      <x:c r="K866" s="30"/>
      <x:c r="L866" s="32"/>
      <x:c r="M866" s="32"/>
      <x:c r="N866" s="32"/>
      <x:c r="O866" s="32"/>
      <x:c r="P866" s="30"/>
      <x:c r="Q866" s="30"/>
      <x:c r="R866" s="30"/>
      <x:c r="S866" s="30"/>
      <x:c r="T866" s="30"/>
      <x:c r="U866" s="30"/>
      <x:c r="V866" s="30"/>
      <x:c r="W866" s="30"/>
    </x:row>
    <x:row r="867">
      <x:c r="J867" s="30"/>
      <x:c r="K867" s="30"/>
      <x:c r="L867" s="32"/>
      <x:c r="M867" s="32"/>
      <x:c r="N867" s="32"/>
      <x:c r="O867" s="32"/>
      <x:c r="P867" s="30"/>
      <x:c r="Q867" s="30"/>
      <x:c r="R867" s="30"/>
      <x:c r="S867" s="30"/>
      <x:c r="T867" s="30"/>
      <x:c r="U867" s="30"/>
      <x:c r="V867" s="30"/>
      <x:c r="W867" s="30"/>
    </x:row>
    <x:row r="868">
      <x:c r="J868" s="30"/>
      <x:c r="K868" s="30"/>
      <x:c r="L868" s="32"/>
      <x:c r="M868" s="32"/>
      <x:c r="N868" s="32"/>
      <x:c r="O868" s="32"/>
      <x:c r="P868" s="30"/>
      <x:c r="Q868" s="30"/>
      <x:c r="R868" s="30"/>
      <x:c r="S868" s="30"/>
      <x:c r="T868" s="30"/>
      <x:c r="U868" s="30"/>
      <x:c r="V868" s="30"/>
      <x:c r="W868" s="30"/>
    </x:row>
    <x:row r="869">
      <x:c r="J869" s="30"/>
      <x:c r="K869" s="30"/>
      <x:c r="L869" s="32"/>
      <x:c r="M869" s="32"/>
      <x:c r="N869" s="32"/>
      <x:c r="O869" s="32"/>
      <x:c r="P869" s="30"/>
      <x:c r="Q869" s="30"/>
      <x:c r="R869" s="30"/>
      <x:c r="S869" s="30"/>
      <x:c r="T869" s="30"/>
      <x:c r="U869" s="30"/>
      <x:c r="V869" s="30"/>
      <x:c r="W869" s="30"/>
    </x:row>
    <x:row r="870">
      <x:c r="J870" s="30"/>
      <x:c r="K870" s="30"/>
      <x:c r="L870" s="32"/>
      <x:c r="M870" s="32"/>
      <x:c r="N870" s="32"/>
      <x:c r="O870" s="32"/>
      <x:c r="P870" s="30"/>
      <x:c r="Q870" s="30"/>
      <x:c r="R870" s="30"/>
      <x:c r="S870" s="30"/>
      <x:c r="T870" s="30"/>
      <x:c r="U870" s="30"/>
      <x:c r="V870" s="30"/>
      <x:c r="W870" s="30"/>
    </x:row>
    <x:row r="871">
      <x:c r="J871" s="30"/>
      <x:c r="K871" s="30"/>
      <x:c r="L871" s="32"/>
      <x:c r="M871" s="32"/>
      <x:c r="N871" s="32"/>
      <x:c r="O871" s="32"/>
      <x:c r="P871" s="30"/>
      <x:c r="Q871" s="30"/>
      <x:c r="R871" s="30"/>
      <x:c r="S871" s="30"/>
      <x:c r="T871" s="30"/>
      <x:c r="U871" s="30"/>
      <x:c r="V871" s="30"/>
      <x:c r="W871" s="30"/>
    </x:row>
    <x:row r="872">
      <x:c r="J872" s="30"/>
      <x:c r="K872" s="30"/>
      <x:c r="L872" s="32"/>
      <x:c r="M872" s="32"/>
      <x:c r="N872" s="32"/>
      <x:c r="O872" s="32"/>
      <x:c r="P872" s="30"/>
      <x:c r="Q872" s="30"/>
      <x:c r="R872" s="30"/>
      <x:c r="S872" s="30"/>
      <x:c r="T872" s="30"/>
      <x:c r="U872" s="30"/>
      <x:c r="V872" s="30"/>
      <x:c r="W872" s="30"/>
    </x:row>
    <x:row r="873">
      <x:c r="J873" s="30"/>
      <x:c r="K873" s="30"/>
      <x:c r="L873" s="32"/>
      <x:c r="M873" s="32"/>
      <x:c r="N873" s="32"/>
      <x:c r="O873" s="32"/>
      <x:c r="P873" s="30"/>
      <x:c r="Q873" s="30"/>
      <x:c r="R873" s="30"/>
      <x:c r="S873" s="30"/>
      <x:c r="T873" s="30"/>
      <x:c r="U873" s="30"/>
      <x:c r="V873" s="30"/>
      <x:c r="W873" s="30"/>
    </x:row>
    <x:row r="874">
      <x:c r="J874" s="30"/>
      <x:c r="K874" s="30"/>
      <x:c r="L874" s="32"/>
      <x:c r="M874" s="32"/>
      <x:c r="N874" s="32"/>
      <x:c r="O874" s="32"/>
      <x:c r="P874" s="30"/>
      <x:c r="Q874" s="30"/>
      <x:c r="R874" s="30"/>
      <x:c r="S874" s="30"/>
      <x:c r="T874" s="30"/>
      <x:c r="U874" s="30"/>
      <x:c r="V874" s="30"/>
      <x:c r="W874" s="30"/>
    </x:row>
    <x:row r="875">
      <x:c r="J875" s="30"/>
      <x:c r="K875" s="30"/>
      <x:c r="L875" s="32"/>
      <x:c r="M875" s="32"/>
      <x:c r="N875" s="32"/>
      <x:c r="O875" s="32"/>
      <x:c r="P875" s="30"/>
      <x:c r="Q875" s="30"/>
      <x:c r="R875" s="30"/>
      <x:c r="S875" s="30"/>
      <x:c r="T875" s="30"/>
      <x:c r="U875" s="30"/>
      <x:c r="V875" s="30"/>
      <x:c r="W875" s="30"/>
    </x:row>
    <x:row r="876">
      <x:c r="J876" s="30"/>
      <x:c r="K876" s="30"/>
      <x:c r="L876" s="32"/>
      <x:c r="M876" s="32"/>
      <x:c r="N876" s="32"/>
      <x:c r="O876" s="32"/>
      <x:c r="P876" s="30"/>
      <x:c r="Q876" s="30"/>
      <x:c r="R876" s="30"/>
      <x:c r="S876" s="30"/>
      <x:c r="T876" s="30"/>
      <x:c r="U876" s="30"/>
      <x:c r="V876" s="30"/>
      <x:c r="W876" s="30"/>
    </x:row>
    <x:row r="877">
      <x:c r="J877" s="30"/>
      <x:c r="K877" s="30"/>
      <x:c r="L877" s="32"/>
      <x:c r="M877" s="32"/>
      <x:c r="N877" s="32"/>
      <x:c r="O877" s="32"/>
      <x:c r="P877" s="30"/>
      <x:c r="Q877" s="30"/>
      <x:c r="R877" s="30"/>
      <x:c r="S877" s="30"/>
      <x:c r="T877" s="30"/>
      <x:c r="U877" s="30"/>
      <x:c r="V877" s="30"/>
      <x:c r="W877" s="30"/>
    </x:row>
    <x:row r="878">
      <x:c r="J878" s="30"/>
      <x:c r="K878" s="30"/>
      <x:c r="L878" s="32"/>
      <x:c r="M878" s="32"/>
      <x:c r="N878" s="32"/>
      <x:c r="O878" s="32"/>
      <x:c r="P878" s="30"/>
      <x:c r="Q878" s="30"/>
      <x:c r="R878" s="30"/>
      <x:c r="S878" s="30"/>
      <x:c r="T878" s="30"/>
      <x:c r="U878" s="30"/>
      <x:c r="V878" s="30"/>
      <x:c r="W878" s="30"/>
    </x:row>
    <x:row r="879">
      <x:c r="J879" s="30"/>
      <x:c r="K879" s="30"/>
      <x:c r="L879" s="32"/>
      <x:c r="M879" s="32"/>
      <x:c r="N879" s="32"/>
      <x:c r="O879" s="32"/>
      <x:c r="P879" s="30"/>
      <x:c r="Q879" s="30"/>
      <x:c r="R879" s="30"/>
      <x:c r="S879" s="30"/>
      <x:c r="T879" s="30"/>
      <x:c r="U879" s="30"/>
      <x:c r="V879" s="30"/>
      <x:c r="W879" s="30"/>
    </x:row>
    <x:row r="880">
      <x:c r="J880" s="30"/>
      <x:c r="K880" s="30"/>
      <x:c r="L880" s="32"/>
      <x:c r="M880" s="32"/>
      <x:c r="N880" s="32"/>
      <x:c r="O880" s="32"/>
      <x:c r="P880" s="30"/>
      <x:c r="Q880" s="30"/>
      <x:c r="R880" s="30"/>
      <x:c r="S880" s="30"/>
      <x:c r="T880" s="30"/>
      <x:c r="U880" s="30"/>
      <x:c r="V880" s="30"/>
      <x:c r="W880" s="30"/>
    </x:row>
    <x:row r="881">
      <x:c r="J881" s="30"/>
      <x:c r="K881" s="30"/>
      <x:c r="L881" s="32"/>
      <x:c r="M881" s="32"/>
      <x:c r="N881" s="32"/>
      <x:c r="O881" s="32"/>
      <x:c r="P881" s="30"/>
      <x:c r="Q881" s="30"/>
      <x:c r="R881" s="30"/>
      <x:c r="S881" s="30"/>
      <x:c r="T881" s="30"/>
      <x:c r="U881" s="30"/>
      <x:c r="V881" s="30"/>
      <x:c r="W881" s="30"/>
    </x:row>
    <x:row r="882">
      <x:c r="J882" s="30"/>
      <x:c r="K882" s="30"/>
      <x:c r="L882" s="32"/>
      <x:c r="M882" s="32"/>
      <x:c r="N882" s="32"/>
      <x:c r="O882" s="32"/>
      <x:c r="P882" s="30"/>
      <x:c r="Q882" s="30"/>
      <x:c r="R882" s="30"/>
      <x:c r="S882" s="30"/>
      <x:c r="T882" s="30"/>
      <x:c r="U882" s="30"/>
      <x:c r="V882" s="30"/>
      <x:c r="W882" s="30"/>
    </x:row>
    <x:row r="883">
      <x:c r="J883" s="30"/>
      <x:c r="K883" s="30"/>
      <x:c r="L883" s="32"/>
      <x:c r="M883" s="32"/>
      <x:c r="N883" s="32"/>
      <x:c r="O883" s="32"/>
      <x:c r="P883" s="30"/>
      <x:c r="Q883" s="30"/>
      <x:c r="R883" s="30"/>
      <x:c r="S883" s="30"/>
      <x:c r="T883" s="30"/>
      <x:c r="U883" s="30"/>
      <x:c r="V883" s="30"/>
      <x:c r="W883" s="30"/>
    </x:row>
    <x:row r="884">
      <x:c r="J884" s="30"/>
      <x:c r="K884" s="30"/>
      <x:c r="L884" s="32"/>
      <x:c r="M884" s="32"/>
      <x:c r="N884" s="32"/>
      <x:c r="O884" s="32"/>
      <x:c r="P884" s="30"/>
      <x:c r="Q884" s="30"/>
      <x:c r="R884" s="30"/>
      <x:c r="S884" s="30"/>
      <x:c r="T884" s="30"/>
      <x:c r="U884" s="30"/>
      <x:c r="V884" s="30"/>
      <x:c r="W884" s="30"/>
    </x:row>
    <x:row r="885">
      <x:c r="J885" s="30"/>
      <x:c r="K885" s="30"/>
      <x:c r="L885" s="32"/>
      <x:c r="M885" s="32"/>
      <x:c r="N885" s="32"/>
      <x:c r="O885" s="32"/>
      <x:c r="P885" s="30"/>
      <x:c r="Q885" s="30"/>
      <x:c r="R885" s="30"/>
      <x:c r="S885" s="30"/>
      <x:c r="T885" s="30"/>
      <x:c r="U885" s="30"/>
      <x:c r="V885" s="30"/>
      <x:c r="W885" s="30"/>
    </x:row>
    <x:row r="886">
      <x:c r="J886" s="30"/>
      <x:c r="K886" s="30"/>
      <x:c r="L886" s="32"/>
      <x:c r="M886" s="32"/>
      <x:c r="N886" s="32"/>
      <x:c r="O886" s="32"/>
      <x:c r="P886" s="30"/>
      <x:c r="Q886" s="30"/>
      <x:c r="R886" s="30"/>
      <x:c r="S886" s="30"/>
      <x:c r="T886" s="30"/>
      <x:c r="U886" s="30"/>
      <x:c r="V886" s="30"/>
      <x:c r="W886" s="30"/>
    </x:row>
    <x:row r="887">
      <x:c r="J887" s="30"/>
      <x:c r="K887" s="30"/>
      <x:c r="L887" s="32"/>
      <x:c r="M887" s="32"/>
      <x:c r="N887" s="32"/>
      <x:c r="O887" s="32"/>
      <x:c r="P887" s="30"/>
      <x:c r="Q887" s="30"/>
      <x:c r="R887" s="30"/>
      <x:c r="S887" s="30"/>
      <x:c r="T887" s="30"/>
      <x:c r="U887" s="30"/>
      <x:c r="V887" s="30"/>
      <x:c r="W887" s="30"/>
    </x:row>
    <x:row r="888">
      <x:c r="J888" s="30"/>
      <x:c r="K888" s="30"/>
      <x:c r="L888" s="32"/>
      <x:c r="M888" s="32"/>
      <x:c r="N888" s="32"/>
      <x:c r="O888" s="32"/>
      <x:c r="P888" s="30"/>
      <x:c r="Q888" s="30"/>
      <x:c r="R888" s="30"/>
      <x:c r="S888" s="30"/>
      <x:c r="T888" s="30"/>
      <x:c r="U888" s="30"/>
      <x:c r="V888" s="30"/>
      <x:c r="W888" s="30"/>
    </x:row>
    <x:row r="889">
      <x:c r="J889" s="30"/>
      <x:c r="K889" s="30"/>
      <x:c r="L889" s="32"/>
      <x:c r="M889" s="32"/>
      <x:c r="N889" s="32"/>
      <x:c r="O889" s="32"/>
      <x:c r="P889" s="30"/>
      <x:c r="Q889" s="30"/>
      <x:c r="R889" s="30"/>
      <x:c r="S889" s="30"/>
      <x:c r="T889" s="30"/>
      <x:c r="U889" s="30"/>
      <x:c r="V889" s="30"/>
      <x:c r="W889" s="30"/>
    </x:row>
    <x:row r="890">
      <x:c r="J890" s="30"/>
      <x:c r="K890" s="30"/>
      <x:c r="L890" s="32"/>
      <x:c r="M890" s="32"/>
      <x:c r="N890" s="32"/>
      <x:c r="O890" s="32"/>
      <x:c r="P890" s="30"/>
      <x:c r="Q890" s="30"/>
      <x:c r="R890" s="30"/>
      <x:c r="S890" s="30"/>
      <x:c r="T890" s="30"/>
      <x:c r="U890" s="30"/>
      <x:c r="V890" s="30"/>
      <x:c r="W890" s="30"/>
    </x:row>
    <x:row r="891">
      <x:c r="J891" s="30"/>
      <x:c r="K891" s="30"/>
      <x:c r="L891" s="32"/>
      <x:c r="M891" s="32"/>
      <x:c r="N891" s="32"/>
      <x:c r="O891" s="32"/>
      <x:c r="P891" s="30"/>
      <x:c r="Q891" s="30"/>
      <x:c r="R891" s="30"/>
      <x:c r="S891" s="30"/>
      <x:c r="T891" s="30"/>
      <x:c r="U891" s="30"/>
      <x:c r="V891" s="30"/>
      <x:c r="W891" s="30"/>
    </x:row>
    <x:row r="892">
      <x:c r="J892" s="30"/>
      <x:c r="K892" s="30"/>
      <x:c r="L892" s="32"/>
      <x:c r="M892" s="32"/>
      <x:c r="N892" s="32"/>
      <x:c r="O892" s="32"/>
      <x:c r="P892" s="30"/>
      <x:c r="Q892" s="30"/>
      <x:c r="R892" s="30"/>
      <x:c r="S892" s="30"/>
      <x:c r="T892" s="30"/>
      <x:c r="U892" s="30"/>
      <x:c r="V892" s="30"/>
      <x:c r="W892" s="30"/>
    </x:row>
    <x:row r="893">
      <x:c r="J893" s="30"/>
      <x:c r="K893" s="30"/>
      <x:c r="L893" s="32"/>
      <x:c r="M893" s="32"/>
      <x:c r="N893" s="32"/>
      <x:c r="O893" s="32"/>
      <x:c r="P893" s="30"/>
      <x:c r="Q893" s="30"/>
      <x:c r="R893" s="30"/>
      <x:c r="S893" s="30"/>
      <x:c r="T893" s="30"/>
      <x:c r="U893" s="30"/>
      <x:c r="V893" s="30"/>
      <x:c r="W893" s="30"/>
    </x:row>
    <x:row r="894">
      <x:c r="J894" s="30"/>
      <x:c r="K894" s="30"/>
      <x:c r="L894" s="32"/>
      <x:c r="M894" s="32"/>
      <x:c r="N894" s="32"/>
      <x:c r="O894" s="32"/>
      <x:c r="P894" s="30"/>
      <x:c r="Q894" s="30"/>
      <x:c r="R894" s="30"/>
      <x:c r="S894" s="30"/>
      <x:c r="T894" s="30"/>
      <x:c r="U894" s="30"/>
      <x:c r="V894" s="30"/>
      <x:c r="W894" s="30"/>
    </x:row>
    <x:row r="895">
      <x:c r="J895" s="30"/>
      <x:c r="K895" s="30"/>
      <x:c r="L895" s="32"/>
      <x:c r="M895" s="32"/>
      <x:c r="N895" s="32"/>
      <x:c r="O895" s="32"/>
      <x:c r="P895" s="30"/>
      <x:c r="Q895" s="30"/>
      <x:c r="R895" s="30"/>
      <x:c r="S895" s="30"/>
      <x:c r="T895" s="30"/>
      <x:c r="U895" s="30"/>
      <x:c r="V895" s="30"/>
      <x:c r="W895" s="30"/>
    </x:row>
    <x:row r="896">
      <x:c r="J896" s="30"/>
      <x:c r="K896" s="30"/>
      <x:c r="L896" s="32"/>
      <x:c r="M896" s="32"/>
      <x:c r="N896" s="32"/>
      <x:c r="O896" s="32"/>
      <x:c r="P896" s="30"/>
      <x:c r="Q896" s="30"/>
      <x:c r="R896" s="30"/>
      <x:c r="S896" s="30"/>
      <x:c r="T896" s="30"/>
      <x:c r="U896" s="30"/>
      <x:c r="V896" s="30"/>
      <x:c r="W896" s="30"/>
    </x:row>
    <x:row r="897">
      <x:c r="J897" s="30"/>
      <x:c r="K897" s="30"/>
      <x:c r="L897" s="32"/>
      <x:c r="M897" s="32"/>
      <x:c r="N897" s="32"/>
      <x:c r="O897" s="32"/>
      <x:c r="P897" s="30"/>
      <x:c r="Q897" s="30"/>
      <x:c r="R897" s="30"/>
      <x:c r="S897" s="30"/>
      <x:c r="T897" s="30"/>
      <x:c r="U897" s="30"/>
      <x:c r="V897" s="30"/>
      <x:c r="W897" s="30"/>
    </x:row>
    <x:row r="898">
      <x:c r="J898" s="30"/>
      <x:c r="K898" s="30"/>
      <x:c r="L898" s="32"/>
      <x:c r="M898" s="32"/>
      <x:c r="N898" s="32"/>
      <x:c r="O898" s="32"/>
      <x:c r="P898" s="30"/>
      <x:c r="Q898" s="30"/>
      <x:c r="R898" s="30"/>
      <x:c r="S898" s="30"/>
      <x:c r="T898" s="30"/>
      <x:c r="U898" s="30"/>
      <x:c r="V898" s="30"/>
      <x:c r="W898" s="30"/>
    </x:row>
    <x:row r="899">
      <x:c r="J899" s="30"/>
      <x:c r="K899" s="30"/>
      <x:c r="L899" s="32"/>
      <x:c r="M899" s="32"/>
      <x:c r="N899" s="32"/>
      <x:c r="O899" s="32"/>
      <x:c r="P899" s="30"/>
      <x:c r="Q899" s="30"/>
      <x:c r="R899" s="30"/>
      <x:c r="S899" s="30"/>
      <x:c r="T899" s="30"/>
      <x:c r="U899" s="30"/>
      <x:c r="V899" s="30"/>
      <x:c r="W899" s="30"/>
    </x:row>
    <x:row r="900">
      <x:c r="J900" s="30"/>
      <x:c r="K900" s="30"/>
      <x:c r="L900" s="32"/>
      <x:c r="M900" s="32"/>
      <x:c r="N900" s="32"/>
      <x:c r="O900" s="32"/>
      <x:c r="P900" s="30"/>
      <x:c r="Q900" s="30"/>
      <x:c r="R900" s="30"/>
      <x:c r="S900" s="30"/>
      <x:c r="T900" s="30"/>
      <x:c r="U900" s="30"/>
      <x:c r="V900" s="30"/>
      <x:c r="W900" s="30"/>
    </x:row>
    <x:row r="901">
      <x:c r="J901" s="30"/>
      <x:c r="K901" s="30"/>
      <x:c r="L901" s="32"/>
      <x:c r="M901" s="32"/>
      <x:c r="N901" s="32"/>
      <x:c r="O901" s="32"/>
      <x:c r="P901" s="30"/>
      <x:c r="Q901" s="30"/>
      <x:c r="R901" s="30"/>
      <x:c r="S901" s="30"/>
      <x:c r="T901" s="30"/>
      <x:c r="U901" s="30"/>
      <x:c r="V901" s="30"/>
      <x:c r="W901" s="30"/>
    </x:row>
    <x:row r="902">
      <x:c r="J902" s="30"/>
      <x:c r="K902" s="30"/>
      <x:c r="L902" s="32"/>
      <x:c r="M902" s="32"/>
      <x:c r="N902" s="32"/>
      <x:c r="O902" s="32"/>
      <x:c r="P902" s="30"/>
      <x:c r="Q902" s="30"/>
      <x:c r="R902" s="30"/>
      <x:c r="S902" s="30"/>
      <x:c r="T902" s="30"/>
      <x:c r="U902" s="30"/>
      <x:c r="V902" s="30"/>
      <x:c r="W902" s="30"/>
    </x:row>
    <x:row r="903">
      <x:c r="J903" s="30"/>
      <x:c r="K903" s="30"/>
      <x:c r="L903" s="32"/>
      <x:c r="M903" s="32"/>
      <x:c r="N903" s="32"/>
      <x:c r="O903" s="32"/>
      <x:c r="P903" s="30"/>
      <x:c r="Q903" s="30"/>
      <x:c r="R903" s="30"/>
      <x:c r="S903" s="30"/>
      <x:c r="T903" s="30"/>
      <x:c r="U903" s="30"/>
      <x:c r="V903" s="30"/>
      <x:c r="W903" s="30"/>
    </x:row>
    <x:row r="904">
      <x:c r="J904" s="30"/>
      <x:c r="K904" s="30"/>
      <x:c r="L904" s="32"/>
      <x:c r="M904" s="32"/>
      <x:c r="N904" s="32"/>
      <x:c r="O904" s="32"/>
      <x:c r="P904" s="30"/>
      <x:c r="Q904" s="30"/>
      <x:c r="R904" s="30"/>
      <x:c r="S904" s="30"/>
      <x:c r="T904" s="30"/>
      <x:c r="U904" s="30"/>
      <x:c r="V904" s="30"/>
      <x:c r="W904" s="30"/>
    </x:row>
    <x:row r="905">
      <x:c r="J905" s="30"/>
      <x:c r="K905" s="30"/>
      <x:c r="L905" s="32"/>
      <x:c r="M905" s="32"/>
      <x:c r="N905" s="32"/>
      <x:c r="O905" s="32"/>
      <x:c r="P905" s="30"/>
      <x:c r="Q905" s="30"/>
      <x:c r="R905" s="30"/>
      <x:c r="S905" s="30"/>
      <x:c r="T905" s="30"/>
      <x:c r="U905" s="30"/>
      <x:c r="V905" s="30"/>
      <x:c r="W905" s="30"/>
    </x:row>
    <x:row r="906">
      <x:c r="J906" s="30"/>
      <x:c r="K906" s="30"/>
      <x:c r="L906" s="32"/>
      <x:c r="M906" s="32"/>
      <x:c r="N906" s="32"/>
      <x:c r="O906" s="32"/>
      <x:c r="P906" s="30"/>
      <x:c r="Q906" s="30"/>
      <x:c r="R906" s="30"/>
      <x:c r="S906" s="30"/>
      <x:c r="T906" s="30"/>
      <x:c r="U906" s="30"/>
      <x:c r="V906" s="30"/>
      <x:c r="W906" s="30"/>
    </x:row>
    <x:row r="907">
      <x:c r="J907" s="30"/>
      <x:c r="K907" s="30"/>
      <x:c r="L907" s="32"/>
      <x:c r="M907" s="32"/>
      <x:c r="N907" s="32"/>
      <x:c r="O907" s="32"/>
      <x:c r="P907" s="30"/>
      <x:c r="Q907" s="30"/>
      <x:c r="R907" s="30"/>
      <x:c r="S907" s="30"/>
      <x:c r="T907" s="30"/>
      <x:c r="U907" s="30"/>
      <x:c r="V907" s="30"/>
      <x:c r="W907" s="30"/>
    </x:row>
    <x:row r="908">
      <x:c r="J908" s="30"/>
      <x:c r="K908" s="30"/>
      <x:c r="L908" s="32"/>
      <x:c r="M908" s="32"/>
      <x:c r="N908" s="32"/>
      <x:c r="O908" s="32"/>
      <x:c r="P908" s="30"/>
      <x:c r="Q908" s="30"/>
      <x:c r="R908" s="30"/>
      <x:c r="S908" s="30"/>
      <x:c r="T908" s="30"/>
      <x:c r="U908" s="30"/>
      <x:c r="V908" s="30"/>
      <x:c r="W908" s="30"/>
    </x:row>
    <x:row r="909">
      <x:c r="J909" s="30"/>
      <x:c r="K909" s="30"/>
      <x:c r="L909" s="32"/>
      <x:c r="M909" s="32"/>
      <x:c r="N909" s="32"/>
      <x:c r="O909" s="32"/>
      <x:c r="P909" s="30"/>
      <x:c r="Q909" s="30"/>
      <x:c r="R909" s="30"/>
      <x:c r="S909" s="30"/>
      <x:c r="T909" s="30"/>
      <x:c r="U909" s="30"/>
      <x:c r="V909" s="30"/>
      <x:c r="W909" s="30"/>
    </x:row>
    <x:row r="910">
      <x:c r="J910" s="30"/>
      <x:c r="K910" s="30"/>
      <x:c r="L910" s="32"/>
      <x:c r="M910" s="32"/>
      <x:c r="N910" s="32"/>
      <x:c r="O910" s="32"/>
      <x:c r="P910" s="30"/>
      <x:c r="Q910" s="30"/>
      <x:c r="R910" s="30"/>
      <x:c r="S910" s="30"/>
      <x:c r="T910" s="30"/>
      <x:c r="U910" s="30"/>
      <x:c r="V910" s="30"/>
      <x:c r="W910" s="30"/>
    </x:row>
    <x:row r="911">
      <x:c r="J911" s="30"/>
      <x:c r="K911" s="30"/>
      <x:c r="L911" s="32"/>
      <x:c r="M911" s="32"/>
      <x:c r="N911" s="32"/>
      <x:c r="O911" s="32"/>
      <x:c r="P911" s="30"/>
      <x:c r="Q911" s="30"/>
      <x:c r="R911" s="30"/>
      <x:c r="S911" s="30"/>
      <x:c r="T911" s="30"/>
      <x:c r="U911" s="30"/>
      <x:c r="V911" s="30"/>
      <x:c r="W911" s="30"/>
    </x:row>
    <x:row r="912">
      <x:c r="J912" s="30"/>
      <x:c r="K912" s="30"/>
      <x:c r="L912" s="32"/>
      <x:c r="M912" s="32"/>
      <x:c r="N912" s="32"/>
      <x:c r="O912" s="32"/>
      <x:c r="P912" s="30"/>
      <x:c r="Q912" s="30"/>
      <x:c r="R912" s="30"/>
      <x:c r="S912" s="30"/>
      <x:c r="T912" s="30"/>
      <x:c r="U912" s="30"/>
      <x:c r="V912" s="30"/>
      <x:c r="W912" s="30"/>
    </x:row>
    <x:row r="913">
      <x:c r="J913" s="30"/>
      <x:c r="K913" s="30"/>
      <x:c r="L913" s="32"/>
      <x:c r="M913" s="32"/>
      <x:c r="N913" s="32"/>
      <x:c r="O913" s="32"/>
      <x:c r="P913" s="30"/>
      <x:c r="Q913" s="30"/>
      <x:c r="R913" s="30"/>
      <x:c r="S913" s="30"/>
      <x:c r="T913" s="30"/>
      <x:c r="U913" s="30"/>
      <x:c r="V913" s="30"/>
      <x:c r="W913" s="30"/>
    </x:row>
    <x:row r="914">
      <x:c r="J914" s="30"/>
      <x:c r="K914" s="30"/>
      <x:c r="L914" s="32"/>
      <x:c r="M914" s="32"/>
      <x:c r="N914" s="32"/>
      <x:c r="O914" s="32"/>
      <x:c r="P914" s="30"/>
      <x:c r="Q914" s="30"/>
      <x:c r="R914" s="30"/>
      <x:c r="S914" s="30"/>
      <x:c r="T914" s="30"/>
      <x:c r="U914" s="30"/>
      <x:c r="V914" s="30"/>
      <x:c r="W914" s="30"/>
    </x:row>
    <x:row r="915">
      <x:c r="J915" s="30"/>
      <x:c r="K915" s="30"/>
      <x:c r="L915" s="32"/>
      <x:c r="M915" s="32"/>
      <x:c r="N915" s="32"/>
      <x:c r="O915" s="32"/>
      <x:c r="P915" s="30"/>
      <x:c r="Q915" s="30"/>
      <x:c r="R915" s="30"/>
      <x:c r="S915" s="30"/>
      <x:c r="T915" s="30"/>
      <x:c r="U915" s="30"/>
      <x:c r="V915" s="30"/>
      <x:c r="W915" s="30"/>
    </x:row>
    <x:row r="916">
      <x:c r="J916" s="30"/>
      <x:c r="K916" s="30"/>
      <x:c r="L916" s="32"/>
      <x:c r="M916" s="32"/>
      <x:c r="N916" s="32"/>
      <x:c r="O916" s="32"/>
      <x:c r="P916" s="30"/>
      <x:c r="Q916" s="30"/>
      <x:c r="R916" s="30"/>
      <x:c r="S916" s="30"/>
      <x:c r="T916" s="30"/>
      <x:c r="U916" s="30"/>
      <x:c r="V916" s="30"/>
      <x:c r="W916" s="30"/>
    </x:row>
    <x:row r="917">
      <x:c r="J917" s="30"/>
      <x:c r="K917" s="30"/>
      <x:c r="L917" s="32"/>
      <x:c r="M917" s="32"/>
      <x:c r="N917" s="32"/>
      <x:c r="O917" s="32"/>
      <x:c r="P917" s="30"/>
      <x:c r="Q917" s="30"/>
      <x:c r="R917" s="30"/>
      <x:c r="S917" s="30"/>
      <x:c r="T917" s="30"/>
      <x:c r="U917" s="30"/>
      <x:c r="V917" s="30"/>
      <x:c r="W917" s="30"/>
    </x:row>
    <x:row r="918">
      <x:c r="J918" s="30"/>
      <x:c r="K918" s="30"/>
      <x:c r="L918" s="32"/>
      <x:c r="M918" s="32"/>
      <x:c r="N918" s="32"/>
      <x:c r="O918" s="32"/>
      <x:c r="P918" s="30"/>
      <x:c r="Q918" s="30"/>
      <x:c r="R918" s="30"/>
      <x:c r="S918" s="30"/>
      <x:c r="T918" s="30"/>
      <x:c r="U918" s="30"/>
      <x:c r="V918" s="30"/>
      <x:c r="W918" s="30"/>
    </x:row>
    <x:row r="919">
      <x:c r="J919" s="30"/>
      <x:c r="K919" s="30"/>
      <x:c r="L919" s="32"/>
      <x:c r="M919" s="32"/>
      <x:c r="N919" s="32"/>
      <x:c r="O919" s="32"/>
      <x:c r="P919" s="30"/>
      <x:c r="Q919" s="30"/>
      <x:c r="R919" s="30"/>
      <x:c r="S919" s="30"/>
      <x:c r="T919" s="30"/>
      <x:c r="U919" s="30"/>
      <x:c r="V919" s="30"/>
      <x:c r="W919" s="30"/>
    </x:row>
    <x:row r="920">
      <x:c r="J920" s="30"/>
      <x:c r="K920" s="30"/>
      <x:c r="L920" s="32"/>
      <x:c r="M920" s="32"/>
      <x:c r="N920" s="32"/>
      <x:c r="O920" s="32"/>
      <x:c r="P920" s="30"/>
      <x:c r="Q920" s="30"/>
      <x:c r="R920" s="30"/>
      <x:c r="S920" s="30"/>
      <x:c r="T920" s="30"/>
      <x:c r="U920" s="30"/>
      <x:c r="V920" s="30"/>
      <x:c r="W920" s="30"/>
    </x:row>
    <x:row r="921">
      <x:c r="J921" s="30"/>
      <x:c r="K921" s="30"/>
      <x:c r="L921" s="32"/>
      <x:c r="M921" s="32"/>
      <x:c r="N921" s="32"/>
      <x:c r="O921" s="32"/>
      <x:c r="P921" s="30"/>
      <x:c r="Q921" s="30"/>
      <x:c r="R921" s="30"/>
      <x:c r="S921" s="30"/>
      <x:c r="T921" s="30"/>
      <x:c r="U921" s="30"/>
      <x:c r="V921" s="30"/>
      <x:c r="W921" s="30"/>
    </x:row>
    <x:row r="922">
      <x:c r="J922" s="30"/>
      <x:c r="K922" s="30"/>
      <x:c r="L922" s="32"/>
      <x:c r="M922" s="32"/>
      <x:c r="N922" s="32"/>
      <x:c r="O922" s="32"/>
      <x:c r="P922" s="30"/>
      <x:c r="Q922" s="30"/>
      <x:c r="R922" s="30"/>
      <x:c r="S922" s="30"/>
      <x:c r="T922" s="30"/>
      <x:c r="U922" s="30"/>
      <x:c r="V922" s="30"/>
      <x:c r="W922" s="30"/>
    </x:row>
    <x:row r="923">
      <x:c r="J923" s="30"/>
      <x:c r="K923" s="30"/>
      <x:c r="L923" s="32"/>
      <x:c r="M923" s="32"/>
      <x:c r="N923" s="32"/>
      <x:c r="O923" s="32"/>
      <x:c r="P923" s="30"/>
      <x:c r="Q923" s="30"/>
      <x:c r="R923" s="30"/>
      <x:c r="S923" s="30"/>
      <x:c r="T923" s="30"/>
      <x:c r="U923" s="30"/>
      <x:c r="V923" s="30"/>
      <x:c r="W923" s="30"/>
    </x:row>
    <x:row r="924">
      <x:c r="J924" s="30"/>
      <x:c r="K924" s="30"/>
      <x:c r="L924" s="32"/>
      <x:c r="M924" s="32"/>
      <x:c r="N924" s="32"/>
      <x:c r="O924" s="32"/>
      <x:c r="P924" s="30"/>
      <x:c r="Q924" s="30"/>
      <x:c r="R924" s="30"/>
      <x:c r="S924" s="30"/>
      <x:c r="T924" s="30"/>
      <x:c r="U924" s="30"/>
      <x:c r="V924" s="30"/>
      <x:c r="W924" s="30"/>
    </x:row>
    <x:row r="925">
      <x:c r="J925" s="30"/>
      <x:c r="K925" s="30"/>
      <x:c r="L925" s="32"/>
      <x:c r="M925" s="32"/>
      <x:c r="N925" s="32"/>
      <x:c r="O925" s="32"/>
      <x:c r="P925" s="30"/>
      <x:c r="Q925" s="30"/>
      <x:c r="R925" s="30"/>
      <x:c r="S925" s="30"/>
      <x:c r="T925" s="30"/>
      <x:c r="U925" s="30"/>
      <x:c r="V925" s="30"/>
      <x:c r="W925" s="30"/>
    </x:row>
    <x:row r="926">
      <x:c r="J926" s="30"/>
      <x:c r="K926" s="30"/>
      <x:c r="L926" s="32"/>
      <x:c r="M926" s="32"/>
      <x:c r="N926" s="32"/>
      <x:c r="O926" s="32"/>
      <x:c r="P926" s="30"/>
      <x:c r="Q926" s="30"/>
      <x:c r="R926" s="30"/>
      <x:c r="S926" s="30"/>
      <x:c r="T926" s="30"/>
      <x:c r="U926" s="30"/>
      <x:c r="V926" s="30"/>
      <x:c r="W926" s="30"/>
    </x:row>
    <x:row r="927">
      <x:c r="J927" s="30"/>
      <x:c r="K927" s="30"/>
      <x:c r="L927" s="32"/>
      <x:c r="M927" s="32"/>
      <x:c r="N927" s="32"/>
      <x:c r="O927" s="32"/>
      <x:c r="P927" s="30"/>
      <x:c r="Q927" s="30"/>
      <x:c r="R927" s="30"/>
      <x:c r="S927" s="30"/>
      <x:c r="T927" s="30"/>
      <x:c r="U927" s="30"/>
      <x:c r="V927" s="30"/>
      <x:c r="W927" s="30"/>
    </x:row>
    <x:row r="928">
      <x:c r="J928" s="30"/>
      <x:c r="K928" s="30"/>
      <x:c r="L928" s="32"/>
      <x:c r="M928" s="32"/>
      <x:c r="N928" s="32"/>
      <x:c r="O928" s="32"/>
      <x:c r="P928" s="30"/>
      <x:c r="Q928" s="30"/>
      <x:c r="R928" s="30"/>
      <x:c r="S928" s="30"/>
      <x:c r="T928" s="30"/>
      <x:c r="U928" s="30"/>
      <x:c r="V928" s="30"/>
      <x:c r="W928" s="30"/>
    </x:row>
    <x:row r="929">
      <x:c r="J929" s="30"/>
      <x:c r="K929" s="30"/>
      <x:c r="L929" s="32"/>
      <x:c r="M929" s="32"/>
      <x:c r="N929" s="32"/>
      <x:c r="O929" s="32"/>
      <x:c r="P929" s="30"/>
      <x:c r="Q929" s="30"/>
      <x:c r="R929" s="30"/>
      <x:c r="S929" s="30"/>
      <x:c r="T929" s="30"/>
      <x:c r="U929" s="30"/>
      <x:c r="V929" s="30"/>
      <x:c r="W929" s="30"/>
    </x:row>
    <x:row r="930">
      <x:c r="J930" s="30"/>
      <x:c r="K930" s="30"/>
      <x:c r="L930" s="32"/>
      <x:c r="M930" s="32"/>
      <x:c r="N930" s="32"/>
      <x:c r="O930" s="32"/>
      <x:c r="P930" s="30"/>
      <x:c r="Q930" s="30"/>
      <x:c r="R930" s="30"/>
      <x:c r="S930" s="30"/>
      <x:c r="T930" s="30"/>
      <x:c r="U930" s="30"/>
      <x:c r="V930" s="30"/>
      <x:c r="W930" s="30"/>
    </x:row>
    <x:row r="931">
      <x:c r="J931" s="30"/>
      <x:c r="K931" s="30"/>
      <x:c r="L931" s="32"/>
      <x:c r="M931" s="32"/>
      <x:c r="N931" s="32"/>
      <x:c r="O931" s="32"/>
      <x:c r="P931" s="30"/>
      <x:c r="Q931" s="30"/>
      <x:c r="R931" s="30"/>
      <x:c r="S931" s="30"/>
      <x:c r="T931" s="30"/>
      <x:c r="U931" s="30"/>
      <x:c r="V931" s="30"/>
      <x:c r="W931" s="30"/>
    </x:row>
    <x:row r="932">
      <x:c r="J932" s="30"/>
      <x:c r="K932" s="30"/>
      <x:c r="L932" s="32"/>
      <x:c r="M932" s="32"/>
      <x:c r="N932" s="32"/>
      <x:c r="O932" s="32"/>
      <x:c r="P932" s="30"/>
      <x:c r="Q932" s="30"/>
      <x:c r="R932" s="30"/>
      <x:c r="S932" s="30"/>
      <x:c r="T932" s="30"/>
      <x:c r="U932" s="30"/>
      <x:c r="V932" s="30"/>
      <x:c r="W932" s="30"/>
    </x:row>
    <x:row r="933">
      <x:c r="J933" s="30"/>
      <x:c r="K933" s="30"/>
      <x:c r="L933" s="32"/>
      <x:c r="M933" s="32"/>
      <x:c r="N933" s="32"/>
      <x:c r="O933" s="32"/>
      <x:c r="P933" s="30"/>
      <x:c r="Q933" s="30"/>
      <x:c r="R933" s="30"/>
      <x:c r="S933" s="30"/>
      <x:c r="T933" s="30"/>
      <x:c r="U933" s="30"/>
      <x:c r="V933" s="30"/>
      <x:c r="W933" s="30"/>
    </x:row>
    <x:row r="934">
      <x:c r="J934" s="30"/>
      <x:c r="K934" s="30"/>
      <x:c r="L934" s="32"/>
      <x:c r="M934" s="32"/>
      <x:c r="N934" s="32"/>
      <x:c r="O934" s="32"/>
      <x:c r="P934" s="30"/>
      <x:c r="Q934" s="30"/>
      <x:c r="R934" s="30"/>
      <x:c r="S934" s="30"/>
      <x:c r="T934" s="30"/>
      <x:c r="U934" s="30"/>
      <x:c r="V934" s="30"/>
      <x:c r="W934" s="30"/>
    </x:row>
    <x:row r="935">
      <x:c r="J935" s="30"/>
      <x:c r="K935" s="30"/>
      <x:c r="L935" s="32"/>
      <x:c r="M935" s="32"/>
      <x:c r="N935" s="32"/>
      <x:c r="O935" s="32"/>
      <x:c r="P935" s="30"/>
      <x:c r="Q935" s="30"/>
      <x:c r="R935" s="30"/>
      <x:c r="S935" s="30"/>
      <x:c r="T935" s="30"/>
      <x:c r="U935" s="30"/>
      <x:c r="V935" s="30"/>
      <x:c r="W935" s="30"/>
    </x:row>
    <x:row r="936">
      <x:c r="J936" s="30"/>
      <x:c r="K936" s="30"/>
      <x:c r="L936" s="32"/>
      <x:c r="M936" s="32"/>
      <x:c r="N936" s="32"/>
      <x:c r="O936" s="32"/>
      <x:c r="P936" s="30"/>
      <x:c r="Q936" s="30"/>
      <x:c r="R936" s="30"/>
      <x:c r="S936" s="30"/>
      <x:c r="T936" s="30"/>
      <x:c r="U936" s="30"/>
      <x:c r="V936" s="30"/>
      <x:c r="W936" s="30"/>
    </x:row>
    <x:row r="937">
      <x:c r="J937" s="30"/>
      <x:c r="K937" s="30"/>
      <x:c r="L937" s="32"/>
      <x:c r="M937" s="32"/>
      <x:c r="N937" s="32"/>
      <x:c r="O937" s="32"/>
      <x:c r="P937" s="30"/>
      <x:c r="Q937" s="30"/>
      <x:c r="R937" s="30"/>
      <x:c r="S937" s="30"/>
      <x:c r="T937" s="30"/>
      <x:c r="U937" s="30"/>
      <x:c r="V937" s="30"/>
      <x:c r="W937" s="30"/>
    </x:row>
    <x:row r="938">
      <x:c r="J938" s="30"/>
      <x:c r="K938" s="30"/>
      <x:c r="L938" s="32"/>
      <x:c r="M938" s="32"/>
      <x:c r="N938" s="32"/>
      <x:c r="O938" s="32"/>
      <x:c r="P938" s="30"/>
      <x:c r="Q938" s="30"/>
      <x:c r="R938" s="30"/>
      <x:c r="S938" s="30"/>
      <x:c r="T938" s="30"/>
      <x:c r="U938" s="30"/>
      <x:c r="V938" s="30"/>
      <x:c r="W938" s="30"/>
    </x:row>
    <x:row r="939">
      <x:c r="J939" s="30"/>
      <x:c r="K939" s="30"/>
      <x:c r="L939" s="32"/>
      <x:c r="M939" s="32"/>
      <x:c r="N939" s="32"/>
      <x:c r="O939" s="32"/>
      <x:c r="P939" s="30"/>
      <x:c r="Q939" s="30"/>
      <x:c r="R939" s="30"/>
      <x:c r="S939" s="30"/>
      <x:c r="T939" s="30"/>
      <x:c r="U939" s="30"/>
      <x:c r="V939" s="30"/>
      <x:c r="W939" s="30"/>
    </x:row>
    <x:row r="940">
      <x:c r="J940" s="30"/>
      <x:c r="K940" s="30"/>
      <x:c r="L940" s="32"/>
      <x:c r="M940" s="32"/>
      <x:c r="N940" s="32"/>
      <x:c r="O940" s="32"/>
      <x:c r="P940" s="30"/>
      <x:c r="Q940" s="30"/>
      <x:c r="R940" s="30"/>
      <x:c r="S940" s="30"/>
      <x:c r="T940" s="30"/>
      <x:c r="U940" s="30"/>
      <x:c r="V940" s="30"/>
      <x:c r="W940" s="30"/>
    </x:row>
    <x:row r="941">
      <x:c r="J941" s="30"/>
      <x:c r="K941" s="30"/>
      <x:c r="L941" s="32"/>
      <x:c r="M941" s="32"/>
      <x:c r="N941" s="32"/>
      <x:c r="O941" s="32"/>
      <x:c r="P941" s="30"/>
      <x:c r="Q941" s="30"/>
      <x:c r="R941" s="30"/>
      <x:c r="S941" s="30"/>
      <x:c r="T941" s="30"/>
      <x:c r="U941" s="30"/>
      <x:c r="V941" s="30"/>
      <x:c r="W941" s="30"/>
    </x:row>
    <x:row r="942">
      <x:c r="J942" s="30"/>
      <x:c r="K942" s="30"/>
      <x:c r="L942" s="32"/>
      <x:c r="M942" s="32"/>
      <x:c r="N942" s="32"/>
      <x:c r="O942" s="32"/>
      <x:c r="P942" s="30"/>
      <x:c r="Q942" s="30"/>
      <x:c r="R942" s="30"/>
      <x:c r="S942" s="30"/>
      <x:c r="T942" s="30"/>
      <x:c r="U942" s="30"/>
      <x:c r="V942" s="30"/>
      <x:c r="W942" s="30"/>
    </x:row>
    <x:row r="943">
      <x:c r="J943" s="30"/>
      <x:c r="K943" s="30"/>
      <x:c r="L943" s="32"/>
      <x:c r="M943" s="32"/>
      <x:c r="N943" s="32"/>
      <x:c r="O943" s="32"/>
      <x:c r="P943" s="30"/>
      <x:c r="Q943" s="30"/>
      <x:c r="R943" s="30"/>
      <x:c r="S943" s="30"/>
      <x:c r="T943" s="30"/>
      <x:c r="U943" s="30"/>
      <x:c r="V943" s="30"/>
      <x:c r="W943" s="30"/>
    </x:row>
    <x:row r="944">
      <x:c r="J944" s="30"/>
      <x:c r="K944" s="30"/>
      <x:c r="L944" s="32"/>
      <x:c r="M944" s="32"/>
      <x:c r="N944" s="32"/>
      <x:c r="O944" s="32"/>
      <x:c r="P944" s="30"/>
      <x:c r="Q944" s="30"/>
      <x:c r="R944" s="30"/>
      <x:c r="S944" s="30"/>
      <x:c r="T944" s="30"/>
      <x:c r="U944" s="30"/>
      <x:c r="V944" s="30"/>
      <x:c r="W944" s="30"/>
    </x:row>
    <x:row r="945">
      <x:c r="J945" s="30"/>
      <x:c r="K945" s="30"/>
      <x:c r="L945" s="32"/>
      <x:c r="M945" s="32"/>
      <x:c r="N945" s="32"/>
      <x:c r="O945" s="32"/>
      <x:c r="P945" s="30"/>
      <x:c r="Q945" s="30"/>
      <x:c r="R945" s="30"/>
      <x:c r="S945" s="30"/>
      <x:c r="T945" s="30"/>
      <x:c r="U945" s="30"/>
      <x:c r="V945" s="30"/>
      <x:c r="W945" s="30"/>
    </x:row>
    <x:row r="946">
      <x:c r="J946" s="30"/>
      <x:c r="K946" s="30"/>
      <x:c r="L946" s="32"/>
      <x:c r="M946" s="32"/>
      <x:c r="N946" s="32"/>
      <x:c r="O946" s="32"/>
      <x:c r="P946" s="30"/>
      <x:c r="Q946" s="30"/>
      <x:c r="R946" s="30"/>
      <x:c r="S946" s="30"/>
      <x:c r="T946" s="30"/>
      <x:c r="U946" s="30"/>
      <x:c r="V946" s="30"/>
      <x:c r="W946" s="30"/>
    </x:row>
    <x:row r="947">
      <x:c r="J947" s="30"/>
      <x:c r="K947" s="30"/>
      <x:c r="L947" s="32"/>
      <x:c r="M947" s="32"/>
      <x:c r="N947" s="32"/>
      <x:c r="O947" s="32"/>
      <x:c r="P947" s="30"/>
      <x:c r="Q947" s="30"/>
      <x:c r="R947" s="30"/>
      <x:c r="S947" s="30"/>
      <x:c r="T947" s="30"/>
      <x:c r="U947" s="30"/>
      <x:c r="V947" s="30"/>
      <x:c r="W947" s="30"/>
    </x:row>
    <x:row r="948">
      <x:c r="J948" s="30"/>
      <x:c r="K948" s="30"/>
      <x:c r="L948" s="32"/>
      <x:c r="M948" s="32"/>
      <x:c r="N948" s="32"/>
      <x:c r="O948" s="32"/>
      <x:c r="P948" s="30"/>
      <x:c r="Q948" s="30"/>
      <x:c r="R948" s="30"/>
      <x:c r="S948" s="30"/>
      <x:c r="T948" s="30"/>
      <x:c r="U948" s="30"/>
      <x:c r="V948" s="30"/>
      <x:c r="W948" s="30"/>
    </x:row>
    <x:row r="949">
      <x:c r="J949" s="30"/>
      <x:c r="K949" s="30"/>
      <x:c r="L949" s="32"/>
      <x:c r="M949" s="32"/>
      <x:c r="N949" s="32"/>
      <x:c r="O949" s="32"/>
      <x:c r="P949" s="30"/>
      <x:c r="Q949" s="30"/>
      <x:c r="R949" s="30"/>
      <x:c r="S949" s="30"/>
      <x:c r="T949" s="30"/>
      <x:c r="U949" s="30"/>
      <x:c r="V949" s="30"/>
      <x:c r="W949" s="30"/>
    </x:row>
    <x:row r="950">
      <x:c r="J950" s="30"/>
      <x:c r="K950" s="30"/>
      <x:c r="L950" s="32"/>
      <x:c r="M950" s="32"/>
      <x:c r="N950" s="32"/>
      <x:c r="O950" s="32"/>
      <x:c r="P950" s="30"/>
      <x:c r="Q950" s="30"/>
      <x:c r="R950" s="30"/>
      <x:c r="S950" s="30"/>
      <x:c r="T950" s="30"/>
      <x:c r="U950" s="30"/>
      <x:c r="V950" s="30"/>
      <x:c r="W950" s="30"/>
    </x:row>
    <x:row r="951">
      <x:c r="J951" s="30"/>
      <x:c r="K951" s="30"/>
      <x:c r="L951" s="32"/>
      <x:c r="M951" s="32"/>
      <x:c r="N951" s="32"/>
      <x:c r="O951" s="32"/>
      <x:c r="P951" s="30"/>
      <x:c r="Q951" s="30"/>
      <x:c r="R951" s="30"/>
      <x:c r="S951" s="30"/>
      <x:c r="T951" s="30"/>
      <x:c r="U951" s="30"/>
      <x:c r="V951" s="30"/>
      <x:c r="W951" s="30"/>
    </x:row>
    <x:row r="952">
      <x:c r="J952" s="30"/>
      <x:c r="K952" s="30"/>
      <x:c r="L952" s="32"/>
      <x:c r="M952" s="32"/>
      <x:c r="N952" s="32"/>
      <x:c r="O952" s="32"/>
      <x:c r="P952" s="30"/>
      <x:c r="Q952" s="30"/>
      <x:c r="R952" s="30"/>
      <x:c r="S952" s="30"/>
      <x:c r="T952" s="30"/>
      <x:c r="U952" s="30"/>
      <x:c r="V952" s="30"/>
      <x:c r="W952" s="30"/>
    </x:row>
    <x:row r="953">
      <x:c r="J953" s="30"/>
      <x:c r="K953" s="30"/>
      <x:c r="L953" s="32"/>
      <x:c r="M953" s="32"/>
      <x:c r="N953" s="32"/>
      <x:c r="O953" s="32"/>
      <x:c r="P953" s="30"/>
      <x:c r="Q953" s="30"/>
      <x:c r="R953" s="30"/>
      <x:c r="S953" s="30"/>
      <x:c r="T953" s="30"/>
      <x:c r="U953" s="30"/>
      <x:c r="V953" s="30"/>
      <x:c r="W953" s="30"/>
    </x:row>
    <x:row r="954">
      <x:c r="J954" s="30"/>
      <x:c r="K954" s="30"/>
      <x:c r="L954" s="32"/>
      <x:c r="M954" s="32"/>
      <x:c r="N954" s="32"/>
      <x:c r="O954" s="32"/>
      <x:c r="P954" s="30"/>
      <x:c r="Q954" s="30"/>
      <x:c r="R954" s="30"/>
      <x:c r="S954" s="30"/>
      <x:c r="T954" s="30"/>
      <x:c r="U954" s="30"/>
      <x:c r="V954" s="30"/>
      <x:c r="W954" s="30"/>
    </x:row>
    <x:row r="955">
      <x:c r="J955" s="30"/>
      <x:c r="K955" s="30"/>
      <x:c r="L955" s="32"/>
      <x:c r="M955" s="32"/>
      <x:c r="N955" s="32"/>
      <x:c r="O955" s="32"/>
      <x:c r="P955" s="30"/>
      <x:c r="Q955" s="30"/>
      <x:c r="R955" s="30"/>
      <x:c r="S955" s="30"/>
      <x:c r="T955" s="30"/>
      <x:c r="U955" s="30"/>
      <x:c r="V955" s="30"/>
      <x:c r="W955" s="30"/>
    </x:row>
    <x:row r="956">
      <x:c r="J956" s="30"/>
      <x:c r="K956" s="30"/>
      <x:c r="L956" s="32"/>
      <x:c r="M956" s="32"/>
      <x:c r="N956" s="32"/>
      <x:c r="O956" s="32"/>
      <x:c r="P956" s="30"/>
      <x:c r="Q956" s="30"/>
      <x:c r="R956" s="30"/>
      <x:c r="S956" s="30"/>
      <x:c r="T956" s="30"/>
      <x:c r="U956" s="30"/>
      <x:c r="V956" s="30"/>
      <x:c r="W956" s="30"/>
    </x:row>
    <x:row r="957">
      <x:c r="J957" s="30"/>
      <x:c r="K957" s="30"/>
      <x:c r="L957" s="32"/>
      <x:c r="M957" s="32"/>
      <x:c r="N957" s="32"/>
      <x:c r="O957" s="32"/>
      <x:c r="P957" s="30"/>
      <x:c r="Q957" s="30"/>
      <x:c r="R957" s="30"/>
      <x:c r="S957" s="30"/>
      <x:c r="T957" s="30"/>
      <x:c r="U957" s="30"/>
      <x:c r="V957" s="30"/>
      <x:c r="W957" s="30"/>
    </x:row>
    <x:row r="958">
      <x:c r="J958" s="30"/>
      <x:c r="K958" s="30"/>
      <x:c r="L958" s="32"/>
      <x:c r="M958" s="32"/>
      <x:c r="N958" s="32"/>
      <x:c r="O958" s="32"/>
      <x:c r="P958" s="30"/>
      <x:c r="Q958" s="30"/>
      <x:c r="R958" s="30"/>
      <x:c r="S958" s="30"/>
      <x:c r="T958" s="30"/>
      <x:c r="U958" s="30"/>
      <x:c r="V958" s="30"/>
      <x:c r="W958" s="30"/>
    </x:row>
    <x:row r="959">
      <x:c r="J959" s="30"/>
      <x:c r="K959" s="30"/>
      <x:c r="L959" s="32"/>
      <x:c r="M959" s="32"/>
      <x:c r="N959" s="32"/>
      <x:c r="O959" s="32"/>
      <x:c r="P959" s="30"/>
      <x:c r="Q959" s="30"/>
      <x:c r="R959" s="30"/>
      <x:c r="S959" s="30"/>
      <x:c r="T959" s="30"/>
      <x:c r="U959" s="30"/>
      <x:c r="V959" s="30"/>
      <x:c r="W959" s="30"/>
    </x:row>
    <x:row r="960">
      <x:c r="J960" s="30"/>
      <x:c r="K960" s="30"/>
      <x:c r="L960" s="32"/>
      <x:c r="M960" s="32"/>
      <x:c r="N960" s="32"/>
      <x:c r="O960" s="32"/>
      <x:c r="P960" s="30"/>
      <x:c r="Q960" s="30"/>
      <x:c r="R960" s="30"/>
      <x:c r="S960" s="30"/>
      <x:c r="T960" s="30"/>
      <x:c r="U960" s="30"/>
      <x:c r="V960" s="30"/>
      <x:c r="W960" s="30"/>
    </x:row>
    <x:row r="961">
      <x:c r="J961" s="30"/>
      <x:c r="K961" s="30"/>
      <x:c r="L961" s="32"/>
      <x:c r="M961" s="32"/>
      <x:c r="N961" s="32"/>
      <x:c r="O961" s="32"/>
      <x:c r="P961" s="30"/>
      <x:c r="Q961" s="30"/>
      <x:c r="R961" s="30"/>
      <x:c r="S961" s="30"/>
      <x:c r="T961" s="30"/>
      <x:c r="U961" s="30"/>
      <x:c r="V961" s="30"/>
      <x:c r="W961" s="30"/>
    </x:row>
    <x:row r="962">
      <x:c r="J962" s="30"/>
      <x:c r="K962" s="30"/>
      <x:c r="L962" s="32"/>
      <x:c r="M962" s="32"/>
      <x:c r="N962" s="32"/>
      <x:c r="O962" s="32"/>
      <x:c r="P962" s="30"/>
      <x:c r="Q962" s="30"/>
      <x:c r="R962" s="30"/>
      <x:c r="S962" s="30"/>
      <x:c r="T962" s="30"/>
      <x:c r="U962" s="30"/>
      <x:c r="V962" s="30"/>
      <x:c r="W962" s="30"/>
    </x:row>
    <x:row r="963">
      <x:c r="J963" s="30"/>
      <x:c r="K963" s="30"/>
      <x:c r="L963" s="32"/>
      <x:c r="M963" s="32"/>
      <x:c r="N963" s="32"/>
      <x:c r="O963" s="32"/>
      <x:c r="P963" s="30"/>
      <x:c r="Q963" s="30"/>
      <x:c r="R963" s="30"/>
      <x:c r="S963" s="30"/>
      <x:c r="T963" s="30"/>
      <x:c r="U963" s="30"/>
      <x:c r="V963" s="30"/>
      <x:c r="W963" s="30"/>
    </x:row>
    <x:row r="964">
      <x:c r="J964" s="30"/>
      <x:c r="K964" s="30"/>
      <x:c r="L964" s="32"/>
      <x:c r="M964" s="32"/>
      <x:c r="N964" s="32"/>
      <x:c r="O964" s="32"/>
      <x:c r="P964" s="30"/>
      <x:c r="Q964" s="30"/>
      <x:c r="R964" s="30"/>
      <x:c r="S964" s="30"/>
      <x:c r="T964" s="30"/>
      <x:c r="U964" s="30"/>
      <x:c r="V964" s="30"/>
      <x:c r="W964" s="30"/>
    </x:row>
    <x:row r="965">
      <x:c r="J965" s="30"/>
      <x:c r="K965" s="30"/>
      <x:c r="L965" s="32"/>
      <x:c r="M965" s="32"/>
      <x:c r="N965" s="32"/>
      <x:c r="O965" s="32"/>
      <x:c r="P965" s="30"/>
      <x:c r="Q965" s="30"/>
      <x:c r="R965" s="30"/>
      <x:c r="S965" s="30"/>
      <x:c r="T965" s="30"/>
      <x:c r="U965" s="30"/>
      <x:c r="V965" s="30"/>
      <x:c r="W965" s="30"/>
    </x:row>
    <x:row r="966">
      <x:c r="J966" s="30"/>
      <x:c r="K966" s="30"/>
      <x:c r="L966" s="32"/>
      <x:c r="M966" s="32"/>
      <x:c r="N966" s="32"/>
      <x:c r="O966" s="32"/>
      <x:c r="P966" s="30"/>
      <x:c r="Q966" s="30"/>
      <x:c r="R966" s="30"/>
      <x:c r="S966" s="30"/>
      <x:c r="T966" s="30"/>
      <x:c r="U966" s="30"/>
      <x:c r="V966" s="30"/>
      <x:c r="W966" s="30"/>
    </x:row>
    <x:row r="967">
      <x:c r="J967" s="30"/>
      <x:c r="K967" s="30"/>
      <x:c r="L967" s="32"/>
      <x:c r="M967" s="32"/>
      <x:c r="N967" s="32"/>
      <x:c r="O967" s="32"/>
      <x:c r="P967" s="30"/>
      <x:c r="Q967" s="30"/>
      <x:c r="R967" s="30"/>
      <x:c r="S967" s="30"/>
      <x:c r="T967" s="30"/>
      <x:c r="U967" s="30"/>
      <x:c r="V967" s="30"/>
      <x:c r="W967" s="30"/>
    </x:row>
    <x:row r="968">
      <x:c r="J968" s="30"/>
      <x:c r="K968" s="30"/>
      <x:c r="L968" s="32"/>
      <x:c r="M968" s="32"/>
      <x:c r="N968" s="32"/>
      <x:c r="O968" s="32"/>
      <x:c r="P968" s="30"/>
      <x:c r="Q968" s="30"/>
      <x:c r="R968" s="30"/>
      <x:c r="S968" s="30"/>
      <x:c r="T968" s="30"/>
      <x:c r="U968" s="30"/>
      <x:c r="V968" s="30"/>
      <x:c r="W968" s="30"/>
    </x:row>
    <x:row r="969">
      <x:c r="J969" s="30"/>
      <x:c r="K969" s="30"/>
      <x:c r="L969" s="32"/>
      <x:c r="M969" s="32"/>
      <x:c r="N969" s="32"/>
      <x:c r="O969" s="32"/>
      <x:c r="P969" s="30"/>
      <x:c r="Q969" s="30"/>
      <x:c r="R969" s="30"/>
      <x:c r="S969" s="30"/>
      <x:c r="T969" s="30"/>
      <x:c r="U969" s="30"/>
      <x:c r="V969" s="30"/>
      <x:c r="W969" s="30"/>
    </x:row>
    <x:row r="970">
      <x:c r="J970" s="30"/>
      <x:c r="K970" s="30"/>
      <x:c r="L970" s="32"/>
      <x:c r="M970" s="32"/>
      <x:c r="N970" s="32"/>
      <x:c r="O970" s="32"/>
      <x:c r="P970" s="30"/>
      <x:c r="Q970" s="30"/>
      <x:c r="R970" s="30"/>
      <x:c r="S970" s="30"/>
      <x:c r="T970" s="30"/>
      <x:c r="U970" s="30"/>
      <x:c r="V970" s="30"/>
      <x:c r="W970" s="30"/>
    </x:row>
    <x:row r="971">
      <x:c r="J971" s="30"/>
      <x:c r="K971" s="30"/>
      <x:c r="L971" s="32"/>
      <x:c r="M971" s="32"/>
      <x:c r="N971" s="32"/>
      <x:c r="O971" s="32"/>
      <x:c r="P971" s="30"/>
      <x:c r="Q971" s="30"/>
      <x:c r="R971" s="30"/>
      <x:c r="S971" s="30"/>
      <x:c r="T971" s="30"/>
      <x:c r="U971" s="30"/>
      <x:c r="V971" s="30"/>
      <x:c r="W971" s="30"/>
    </x:row>
    <x:row r="972">
      <x:c r="J972" s="30"/>
      <x:c r="K972" s="30"/>
      <x:c r="L972" s="32"/>
      <x:c r="M972" s="32"/>
      <x:c r="N972" s="32"/>
      <x:c r="O972" s="32"/>
      <x:c r="P972" s="30"/>
      <x:c r="Q972" s="30"/>
      <x:c r="R972" s="30"/>
      <x:c r="S972" s="30"/>
      <x:c r="T972" s="30"/>
      <x:c r="U972" s="30"/>
      <x:c r="V972" s="30"/>
      <x:c r="W972" s="30"/>
    </x:row>
    <x:row r="973">
      <x:c r="J973" s="30"/>
      <x:c r="K973" s="30"/>
      <x:c r="L973" s="32"/>
      <x:c r="M973" s="32"/>
      <x:c r="N973" s="32"/>
      <x:c r="O973" s="32"/>
      <x:c r="P973" s="30"/>
      <x:c r="Q973" s="30"/>
      <x:c r="R973" s="30"/>
      <x:c r="S973" s="30"/>
      <x:c r="T973" s="30"/>
      <x:c r="U973" s="30"/>
      <x:c r="V973" s="30"/>
      <x:c r="W973" s="30"/>
    </x:row>
    <x:row r="974">
      <x:c r="J974" s="30"/>
      <x:c r="K974" s="30"/>
      <x:c r="L974" s="32"/>
      <x:c r="M974" s="32"/>
      <x:c r="N974" s="32"/>
      <x:c r="O974" s="32"/>
      <x:c r="P974" s="30"/>
      <x:c r="Q974" s="30"/>
      <x:c r="R974" s="30"/>
      <x:c r="S974" s="30"/>
      <x:c r="T974" s="30"/>
      <x:c r="U974" s="30"/>
      <x:c r="V974" s="30"/>
      <x:c r="W974" s="30"/>
    </x:row>
    <x:row r="975">
      <x:c r="J975" s="30"/>
      <x:c r="K975" s="30"/>
      <x:c r="L975" s="32"/>
      <x:c r="M975" s="32"/>
      <x:c r="N975" s="32"/>
      <x:c r="O975" s="32"/>
      <x:c r="P975" s="30"/>
      <x:c r="Q975" s="30"/>
      <x:c r="R975" s="30"/>
      <x:c r="S975" s="30"/>
      <x:c r="T975" s="30"/>
      <x:c r="U975" s="30"/>
      <x:c r="V975" s="30"/>
      <x:c r="W975" s="30"/>
    </x:row>
    <x:row r="976">
      <x:c r="J976" s="30"/>
      <x:c r="K976" s="30"/>
      <x:c r="L976" s="32"/>
      <x:c r="M976" s="32"/>
      <x:c r="N976" s="32"/>
      <x:c r="O976" s="32"/>
      <x:c r="P976" s="30"/>
      <x:c r="Q976" s="30"/>
      <x:c r="R976" s="30"/>
      <x:c r="S976" s="30"/>
      <x:c r="T976" s="30"/>
      <x:c r="U976" s="30"/>
      <x:c r="V976" s="30"/>
      <x:c r="W976" s="30"/>
    </x:row>
    <x:row r="977">
      <x:c r="J977" s="30"/>
      <x:c r="K977" s="30"/>
      <x:c r="L977" s="32"/>
      <x:c r="M977" s="32"/>
      <x:c r="N977" s="32"/>
      <x:c r="O977" s="32"/>
      <x:c r="P977" s="30"/>
      <x:c r="Q977" s="30"/>
      <x:c r="R977" s="30"/>
      <x:c r="S977" s="30"/>
      <x:c r="T977" s="30"/>
      <x:c r="U977" s="30"/>
      <x:c r="V977" s="30"/>
      <x:c r="W977" s="30"/>
    </x:row>
    <x:row r="978">
      <x:c r="J978" s="30"/>
      <x:c r="K978" s="30"/>
      <x:c r="L978" s="32"/>
      <x:c r="M978" s="32"/>
      <x:c r="N978" s="32"/>
      <x:c r="O978" s="32"/>
      <x:c r="P978" s="30"/>
      <x:c r="Q978" s="30"/>
      <x:c r="R978" s="30"/>
      <x:c r="S978" s="30"/>
      <x:c r="T978" s="30"/>
      <x:c r="U978" s="30"/>
      <x:c r="V978" s="30"/>
      <x:c r="W978" s="30"/>
    </x:row>
    <x:row r="979">
      <x:c r="J979" s="30"/>
      <x:c r="K979" s="30"/>
      <x:c r="L979" s="32"/>
      <x:c r="M979" s="32"/>
      <x:c r="N979" s="32"/>
      <x:c r="O979" s="32"/>
      <x:c r="P979" s="30"/>
      <x:c r="Q979" s="30"/>
      <x:c r="R979" s="30"/>
      <x:c r="S979" s="30"/>
      <x:c r="T979" s="30"/>
      <x:c r="U979" s="30"/>
      <x:c r="V979" s="30"/>
      <x:c r="W979" s="30"/>
    </x:row>
    <x:row r="980">
      <x:c r="J980" s="30"/>
      <x:c r="K980" s="30"/>
      <x:c r="L980" s="32"/>
      <x:c r="M980" s="32"/>
      <x:c r="N980" s="32"/>
      <x:c r="O980" s="32"/>
      <x:c r="P980" s="30"/>
      <x:c r="Q980" s="30"/>
      <x:c r="R980" s="30"/>
      <x:c r="S980" s="30"/>
      <x:c r="T980" s="30"/>
      <x:c r="U980" s="30"/>
      <x:c r="V980" s="30"/>
      <x:c r="W980" s="30"/>
    </x:row>
    <x:row r="981">
      <x:c r="J981" s="30"/>
      <x:c r="K981" s="30"/>
      <x:c r="L981" s="32"/>
      <x:c r="M981" s="32"/>
      <x:c r="N981" s="32"/>
      <x:c r="O981" s="32"/>
      <x:c r="P981" s="30"/>
      <x:c r="Q981" s="30"/>
      <x:c r="R981" s="30"/>
      <x:c r="S981" s="30"/>
      <x:c r="T981" s="30"/>
      <x:c r="U981" s="30"/>
      <x:c r="V981" s="30"/>
      <x:c r="W981" s="30"/>
    </x:row>
    <x:row r="982">
      <x:c r="J982" s="30"/>
      <x:c r="K982" s="30"/>
      <x:c r="L982" s="32"/>
      <x:c r="M982" s="32"/>
      <x:c r="N982" s="32"/>
      <x:c r="O982" s="32"/>
      <x:c r="P982" s="30"/>
      <x:c r="Q982" s="30"/>
      <x:c r="R982" s="30"/>
      <x:c r="S982" s="30"/>
      <x:c r="T982" s="30"/>
      <x:c r="U982" s="30"/>
      <x:c r="V982" s="30"/>
      <x:c r="W982" s="30"/>
    </x:row>
    <x:row r="983">
      <x:c r="J983" s="30"/>
      <x:c r="K983" s="30"/>
      <x:c r="L983" s="32"/>
      <x:c r="M983" s="32"/>
      <x:c r="N983" s="32"/>
      <x:c r="O983" s="32"/>
      <x:c r="P983" s="30"/>
      <x:c r="Q983" s="30"/>
      <x:c r="R983" s="30"/>
      <x:c r="S983" s="30"/>
      <x:c r="T983" s="30"/>
      <x:c r="U983" s="30"/>
      <x:c r="V983" s="30"/>
      <x:c r="W983" s="30"/>
    </x:row>
    <x:row r="984">
      <x:c r="J984" s="30"/>
      <x:c r="K984" s="30"/>
      <x:c r="L984" s="32"/>
      <x:c r="M984" s="32"/>
      <x:c r="N984" s="32"/>
      <x:c r="O984" s="32"/>
      <x:c r="P984" s="30"/>
      <x:c r="Q984" s="30"/>
      <x:c r="R984" s="30"/>
      <x:c r="S984" s="30"/>
      <x:c r="T984" s="30"/>
      <x:c r="U984" s="30"/>
      <x:c r="V984" s="30"/>
      <x:c r="W984" s="30"/>
    </x:row>
    <x:row r="985">
      <x:c r="J985" s="30"/>
      <x:c r="K985" s="30"/>
      <x:c r="L985" s="32"/>
      <x:c r="M985" s="32"/>
      <x:c r="N985" s="32"/>
      <x:c r="O985" s="32"/>
      <x:c r="P985" s="30"/>
      <x:c r="Q985" s="30"/>
      <x:c r="R985" s="30"/>
      <x:c r="S985" s="30"/>
      <x:c r="T985" s="30"/>
      <x:c r="U985" s="30"/>
      <x:c r="V985" s="30"/>
      <x:c r="W985" s="30"/>
    </x:row>
    <x:row r="986">
      <x:c r="J986" s="30"/>
      <x:c r="K986" s="30"/>
      <x:c r="L986" s="32"/>
      <x:c r="M986" s="32"/>
      <x:c r="N986" s="32"/>
      <x:c r="O986" s="32"/>
      <x:c r="P986" s="30"/>
      <x:c r="Q986" s="30"/>
      <x:c r="R986" s="30"/>
      <x:c r="S986" s="30"/>
      <x:c r="T986" s="30"/>
      <x:c r="U986" s="30"/>
      <x:c r="V986" s="30"/>
      <x:c r="W986" s="30"/>
    </x:row>
    <x:row r="987">
      <x:c r="J987" s="30"/>
      <x:c r="K987" s="30"/>
      <x:c r="L987" s="32"/>
      <x:c r="M987" s="32"/>
      <x:c r="N987" s="32"/>
      <x:c r="O987" s="32"/>
      <x:c r="P987" s="30"/>
      <x:c r="Q987" s="30"/>
      <x:c r="R987" s="30"/>
      <x:c r="S987" s="30"/>
      <x:c r="T987" s="30"/>
      <x:c r="U987" s="30"/>
      <x:c r="V987" s="30"/>
      <x:c r="W987" s="30"/>
    </x:row>
    <x:row r="988">
      <x:c r="J988" s="30"/>
      <x:c r="K988" s="30"/>
      <x:c r="L988" s="32"/>
      <x:c r="M988" s="32"/>
      <x:c r="N988" s="32"/>
      <x:c r="O988" s="32"/>
      <x:c r="P988" s="30"/>
      <x:c r="Q988" s="30"/>
      <x:c r="R988" s="30"/>
      <x:c r="S988" s="30"/>
      <x:c r="T988" s="30"/>
      <x:c r="U988" s="30"/>
      <x:c r="V988" s="30"/>
      <x:c r="W988" s="30"/>
    </x:row>
    <x:row r="989">
      <x:c r="J989" s="30"/>
      <x:c r="K989" s="30"/>
      <x:c r="L989" s="32"/>
      <x:c r="M989" s="32"/>
      <x:c r="N989" s="32"/>
      <x:c r="O989" s="32"/>
      <x:c r="P989" s="30"/>
      <x:c r="Q989" s="30"/>
      <x:c r="R989" s="30"/>
      <x:c r="S989" s="30"/>
      <x:c r="T989" s="30"/>
      <x:c r="U989" s="30"/>
      <x:c r="V989" s="30"/>
      <x:c r="W989" s="30"/>
    </x:row>
    <x:row r="990">
      <x:c r="J990" s="30"/>
      <x:c r="K990" s="30"/>
      <x:c r="L990" s="32"/>
      <x:c r="M990" s="32"/>
      <x:c r="N990" s="32"/>
      <x:c r="O990" s="32"/>
      <x:c r="P990" s="30"/>
      <x:c r="Q990" s="30"/>
      <x:c r="R990" s="30"/>
      <x:c r="S990" s="30"/>
      <x:c r="T990" s="30"/>
      <x:c r="U990" s="30"/>
      <x:c r="V990" s="30"/>
      <x:c r="W990" s="30"/>
    </x:row>
    <x:row r="991">
      <x:c r="J991" s="30"/>
      <x:c r="K991" s="30"/>
      <x:c r="L991" s="32"/>
      <x:c r="M991" s="32"/>
      <x:c r="N991" s="32"/>
      <x:c r="O991" s="32"/>
      <x:c r="P991" s="30"/>
      <x:c r="Q991" s="30"/>
      <x:c r="R991" s="30"/>
      <x:c r="S991" s="30"/>
      <x:c r="T991" s="30"/>
      <x:c r="U991" s="30"/>
      <x:c r="V991" s="30"/>
      <x:c r="W991" s="30"/>
    </x:row>
    <x:row r="992">
      <x:c r="J992" s="30"/>
      <x:c r="K992" s="30"/>
      <x:c r="L992" s="32"/>
      <x:c r="M992" s="32"/>
      <x:c r="N992" s="32"/>
      <x:c r="O992" s="32"/>
      <x:c r="P992" s="30"/>
      <x:c r="Q992" s="30"/>
      <x:c r="R992" s="30"/>
      <x:c r="S992" s="30"/>
      <x:c r="T992" s="30"/>
      <x:c r="U992" s="30"/>
      <x:c r="V992" s="30"/>
      <x:c r="W992" s="30"/>
    </x:row>
    <x:row r="993">
      <x:c r="J993" s="30"/>
      <x:c r="K993" s="30"/>
      <x:c r="L993" s="32"/>
      <x:c r="M993" s="32"/>
      <x:c r="N993" s="32"/>
      <x:c r="O993" s="32"/>
      <x:c r="P993" s="30"/>
      <x:c r="Q993" s="30"/>
      <x:c r="R993" s="30"/>
      <x:c r="S993" s="30"/>
      <x:c r="T993" s="30"/>
      <x:c r="U993" s="30"/>
      <x:c r="V993" s="30"/>
      <x:c r="W993" s="30"/>
    </x:row>
    <x:row r="994">
      <x:c r="J994" s="30"/>
      <x:c r="K994" s="30"/>
      <x:c r="L994" s="32"/>
      <x:c r="M994" s="32"/>
      <x:c r="N994" s="32"/>
      <x:c r="O994" s="32"/>
      <x:c r="P994" s="30"/>
      <x:c r="Q994" s="30"/>
      <x:c r="R994" s="30"/>
      <x:c r="S994" s="30"/>
      <x:c r="T994" s="30"/>
      <x:c r="U994" s="30"/>
      <x:c r="V994" s="30"/>
      <x:c r="W994" s="30"/>
    </x:row>
    <x:row r="995">
      <x:c r="J995" s="30"/>
      <x:c r="K995" s="30"/>
      <x:c r="L995" s="32"/>
      <x:c r="M995" s="32"/>
      <x:c r="N995" s="32"/>
      <x:c r="O995" s="32"/>
      <x:c r="P995" s="30"/>
      <x:c r="Q995" s="30"/>
      <x:c r="R995" s="30"/>
      <x:c r="S995" s="30"/>
      <x:c r="T995" s="30"/>
      <x:c r="U995" s="30"/>
      <x:c r="V995" s="30"/>
      <x:c r="W995" s="30"/>
    </x:row>
    <x:row r="996">
      <x:c r="J996" s="30"/>
      <x:c r="K996" s="30"/>
      <x:c r="L996" s="32"/>
      <x:c r="M996" s="32"/>
      <x:c r="N996" s="32"/>
      <x:c r="O996" s="32"/>
      <x:c r="P996" s="30"/>
      <x:c r="Q996" s="30"/>
      <x:c r="R996" s="30"/>
      <x:c r="S996" s="30"/>
      <x:c r="T996" s="30"/>
      <x:c r="U996" s="30"/>
      <x:c r="V996" s="30"/>
      <x:c r="W996" s="30"/>
    </x:row>
    <x:row r="997">
      <x:c r="J997" s="30"/>
      <x:c r="K997" s="30"/>
      <x:c r="L997" s="32"/>
      <x:c r="M997" s="32"/>
      <x:c r="N997" s="32"/>
      <x:c r="O997" s="32"/>
      <x:c r="P997" s="30"/>
      <x:c r="Q997" s="30"/>
      <x:c r="R997" s="30"/>
      <x:c r="S997" s="30"/>
      <x:c r="T997" s="30"/>
      <x:c r="U997" s="30"/>
      <x:c r="V997" s="30"/>
      <x:c r="W997" s="30"/>
    </x:row>
    <x:row r="998">
      <x:c r="J998" s="30"/>
      <x:c r="K998" s="30"/>
      <x:c r="L998" s="32"/>
      <x:c r="M998" s="32"/>
      <x:c r="N998" s="32"/>
      <x:c r="O998" s="32"/>
      <x:c r="P998" s="30"/>
      <x:c r="Q998" s="30"/>
      <x:c r="R998" s="30"/>
      <x:c r="S998" s="30"/>
      <x:c r="T998" s="30"/>
      <x:c r="U998" s="30"/>
      <x:c r="V998" s="30"/>
      <x:c r="W998" s="30"/>
    </x:row>
    <x:row r="999">
      <x:c r="J999" s="30"/>
      <x:c r="K999" s="30"/>
      <x:c r="L999" s="32"/>
      <x:c r="M999" s="32"/>
      <x:c r="N999" s="32"/>
      <x:c r="O999" s="32"/>
      <x:c r="P999" s="30"/>
      <x:c r="Q999" s="30"/>
      <x:c r="R999" s="30"/>
      <x:c r="S999" s="30"/>
      <x:c r="T999" s="30"/>
      <x:c r="U999" s="30"/>
      <x:c r="V999" s="30"/>
      <x:c r="W999" s="30"/>
    </x:row>
    <x:row r="1000">
      <x:c r="J1000" s="30"/>
      <x:c r="K1000" s="30"/>
      <x:c r="L1000" s="32"/>
      <x:c r="M1000" s="32"/>
      <x:c r="N1000" s="32"/>
      <x:c r="O1000" s="32"/>
      <x:c r="P1000" s="30"/>
      <x:c r="Q1000" s="30"/>
      <x:c r="R1000" s="30"/>
      <x:c r="S1000" s="30"/>
      <x:c r="T1000" s="30"/>
      <x:c r="U1000" s="30"/>
      <x:c r="V1000" s="30"/>
      <x:c r="W1000" s="30"/>
    </x:row>
  </x:sheetData>
  <x:pageMargins left="0.7" right="0.7" top="0.75" bottom="0.75" header="0.3" footer="0.3"/>
  <x:tableParts count="1">
    <x:tablePart xmlns:r="http://schemas.openxmlformats.org/officeDocument/2006/relationships" r:id="R82b1b833244c4c90"/>
  </x:tableParts>
</x:worksheet>
</file>

<file path=xl/worksheets/sheet8.xml><?xml version="1.0" encoding="utf-8"?>
<x:worksheet xmlns:x="http://schemas.openxmlformats.org/spreadsheetml/2006/main">
  <x:sheetFormatPr defaultRowHeight="15"/>
  <x:cols>
    <x:col min="10" max="10" width="24" hidden="0" customWidth="1"/>
    <x:col min="11" max="11" width="34" hidden="0" customWidth="1"/>
    <x:col min="1" max="1" width="25" hidden="0" customWidth="1"/>
    <x:col min="2" max="2" width="18" hidden="0" customWidth="1"/>
    <x:col min="3" max="3" width="23" hidden="0" customWidth="1"/>
    <x:col min="4" max="4" width="12" hidden="0" customWidth="1"/>
    <x:col min="5" max="5" width="34" hidden="0" customWidth="1"/>
    <x:col min="6" max="6" width="28" hidden="0" customWidth="1"/>
    <x:col min="7" max="7" width="16" hidden="0" customWidth="1"/>
    <x:col min="8" max="8" width="28" hidden="0" customWidth="1"/>
  </x:cols>
  <x:sheetData>
    <x:row r="1" ht="28" customHeight="1">
      <x:c r="A1" s="81" t="str">
        <x:v>BETTING INTELLIGENCE v0.1.2 — PRE-BET GATE</x:v>
      </x:c>
      <x:c r="B1" s="81"/>
      <x:c r="C1" s="81"/>
      <x:c r="D1" s="81"/>
      <x:c r="E1" s="81"/>
      <x:c r="F1" s="81"/>
      <x:c r="G1" s="81"/>
      <x:c r="H1" s="81"/>
    </x:row>
    <x:row r="2">
      <x:c r="J2" s="89" t="str">
        <x:v>CURRENT MATCH</x:v>
      </x:c>
      <x:c r="K2" s="15" t="str">
        <x:v>Sporting Kansas City vs St. Louis CITY SC</x:v>
      </x:c>
    </x:row>
    <x:row r="3">
      <x:c r="A3" s="86" t="str">
        <x:v>Check</x:v>
      </x:c>
      <x:c r="B3" s="86" t="str">
        <x:v>Current Value</x:v>
      </x:c>
      <x:c r="C3" s="86" t="str">
        <x:v>Threshold / Rule</x:v>
      </x:c>
      <x:c r="D3" s="86" t="str">
        <x:v>Status</x:v>
      </x:c>
      <x:c r="E3" s="86" t="str">
        <x:v>Why It Matters</x:v>
      </x:c>
      <x:c r="F3" s="86" t="str">
        <x:v>Source / Formula</x:v>
      </x:c>
      <x:c r="G3" s="86" t="str">
        <x:v>Freeze Before Kickoff</x:v>
      </x:c>
      <x:c r="H3" s="86" t="str">
        <x:v>Notes</x:v>
      </x:c>
      <x:c r="J3" s="89" t="str">
        <x:v>Snapshot EAT</x:v>
      </x:c>
      <x:c r="K3" s="15" t="str">
        <x:v>2026-08-20 02:18</x:v>
      </x:c>
    </x:row>
    <x:row r="4">
      <x:c r="A4" s="15" t="str">
        <x:v>1. Snapshot is pre-kickoff</x:v>
      </x:c>
      <x:c r="B4" s="15" t="str">
        <x:v>Yes</x:v>
      </x:c>
      <x:c r="C4" s="15" t="str">
        <x:v>Must be before kickoff</x:v>
      </x:c>
      <x:c r="D4" s="15" t="str">
        <x:v>PASS</x:v>
      </x:c>
      <x:c r="E4" s="15" t="str">
        <x:v>Avoids hindsight/data leakage</x:v>
      </x:c>
      <x:c r="F4" s="15" t="str">
        <x:v>Timestamp vs official kickoff</x:v>
      </x:c>
      <x:c r="G4" s="15" t="str">
        <x:v>YES</x:v>
      </x:c>
      <x:c r="H4" s="15" t="str">
        <x:v>Frozen at 02:15 EAT</x:v>
      </x:c>
      <x:c r="J4" s="89" t="str">
        <x:v>Kickoff EAT</x:v>
      </x:c>
      <x:c r="K4" s="15" t="str">
        <x:v>2026-08-20 03:25</x:v>
      </x:c>
    </x:row>
    <x:row r="5">
      <x:c r="A5" s="15" t="str">
        <x:v>2. Official kickoff confirmed</x:v>
      </x:c>
      <x:c r="B5" s="15" t="str">
        <x:v>03:25 EAT</x:v>
      </x:c>
      <x:c r="C5" s="15" t="str">
        <x:v>Official club schedule</x:v>
      </x:c>
      <x:c r="D5" s="15" t="str">
        <x:v>PASS</x:v>
      </x:c>
      <x:c r="E5" s="15" t="str">
        <x:v>Ensures timing is correct</x:v>
      </x:c>
      <x:c r="F5" s="15" t="str">
        <x:v>SportingKC official preview</x:v>
      </x:c>
      <x:c r="G5" s="15" t="str">
        <x:v>YES</x:v>
      </x:c>
      <x:c r="H5" s="15" t="str">
        <x:v>7:25 PM CT = 03:25 EAT</x:v>
      </x:c>
      <x:c r="J5" s="89" t="str">
        <x:v>Market</x:v>
      </x:c>
      <x:c r="K5" s="15" t="str">
        <x:v>Over 2.5</x:v>
      </x:c>
    </x:row>
    <x:row r="6">
      <x:c r="A6" s="15" t="str">
        <x:v>3. Market price captured</x:v>
      </x:c>
      <x:c r="B6" s="15" t="str">
        <x:v>Over 2.5 @ 1.53</x:v>
      </x:c>
      <x:c r="C6" s="15" t="str">
        <x:v>Current observable odds</x:v>
      </x:c>
      <x:c r="D6" s="15" t="str">
        <x:v>PASS</x:v>
      </x:c>
      <x:c r="E6" s="15" t="str">
        <x:v>We need a price to measure value</x:v>
      </x:c>
      <x:c r="F6" s="15" t="str">
        <x:v>FOX Sports odds page</x:v>
      </x:c>
      <x:c r="G6" s="15" t="str">
        <x:v>YES</x:v>
      </x:c>
      <x:c r="H6" s="15" t="str">
        <x:v>Odds can still move</x:v>
      </x:c>
      <x:c r="J6" s="89" t="str">
        <x:v>Observed Over Odds</x:v>
      </x:c>
      <x:c r="K6" s="90" t="n">
        <x:v>1.47</x:v>
      </x:c>
    </x:row>
    <x:row r="7">
      <x:c r="A7" s="15" t="str">
        <x:v>4. Pattern status</x:v>
      </x:c>
      <x:c r="B7" s="15" t="str">
        <x:v>Candidate #001</x:v>
      </x:c>
      <x:c r="C7" s="15" t="str">
        <x:v>Validated preferred</x:v>
      </x:c>
      <x:c r="D7" s="15" t="str">
        <x:v>FAIL</x:v>
      </x:c>
      <x:c r="E7" s="15" t="str">
        <x:v>Candidate pattern has not survived independent validation</x:v>
      </x:c>
      <x:c r="F7" s="15" t="str">
        <x:v>Pattern_Log</x:v>
      </x:c>
      <x:c r="G7" s="15" t="str">
        <x:v>YES</x:v>
      </x:c>
      <x:c r="H7" s="15" t="str">
        <x:v>No validated sample yet</x:v>
      </x:c>
      <x:c r="J7" s="89" t="str">
        <x:v>Observed Under Odds</x:v>
      </x:c>
      <x:c r="K7" s="90" t="n">
        <x:v>2.6</x:v>
      </x:c>
    </x:row>
    <x:row r="8">
      <x:c r="A8" s="15" t="str">
        <x:v>5. Season/venue model</x:v>
      </x:c>
      <x:c r="B8" s="15" t="str">
        <x:v>54.4% Over</x:v>
      </x:c>
      <x:c r="C8" s="15" t="str">
        <x:v>Record, do not force</x:v>
      </x:c>
      <x:c r="D8" s="15" t="str">
        <x:v>INFO</x:v>
      </x:c>
      <x:c r="E8" s="15" t="str">
        <x:v>Baseline from venue scoring/conceding rates</x:v>
      </x:c>
      <x:c r="F8" s="15" t="str">
        <x:v>Poisson model</x:v>
      </x:c>
      <x:c r="G8" s="15" t="str">
        <x:v>YES</x:v>
      </x:c>
      <x:c r="H8" s="15" t="str">
        <x:v>λ≈2.855</x:v>
      </x:c>
      <x:c r="J8" s="89" t="str">
        <x:v>SKC Home GF/game</x:v>
      </x:c>
      <x:c r="K8" s="90" t="n">
        <x:v>1.22</x:v>
      </x:c>
    </x:row>
    <x:row r="9">
      <x:c r="A9" s="15" t="str">
        <x:v>6. Recent-form model</x:v>
      </x:c>
      <x:c r="B9" s="15" t="str">
        <x:v>62.0% Over</x:v>
      </x:c>
      <x:c r="C9" s="15" t="str">
        <x:v>Record, do not force</x:v>
      </x:c>
      <x:c r="D9" s="15" t="str">
        <x:v>INFO</x:v>
      </x:c>
      <x:c r="E9" s="15" t="str">
        <x:v>Captures short-term attack/defense changes</x:v>
      </x:c>
      <x:c r="F9" s="15" t="str">
        <x:v>Poisson model</x:v>
      </x:c>
      <x:c r="G9" s="15" t="str">
        <x:v>YES</x:v>
      </x:c>
      <x:c r="H9" s="15" t="str">
        <x:v>λ≈3.20</x:v>
      </x:c>
      <x:c r="J9" s="89" t="str">
        <x:v>SKC Home GA/game</x:v>
      </x:c>
      <x:c r="K9" s="90" t="n">
        <x:v>1.89</x:v>
      </x:c>
    </x:row>
    <x:row r="10">
      <x:c r="A10" s="15" t="str">
        <x:v>7. Ensemble model</x:v>
      </x:c>
      <x:c r="B10" s="15" t="str">
        <x:v>58.2% Over</x:v>
      </x:c>
      <x:c r="C10" s="15" t="str">
        <x:v>Must exceed fair market meaningfully</x:v>
      </x:c>
      <x:c r="D10" s="15" t="str">
        <x:v>FAIL</x:v>
      </x:c>
      <x:c r="E10" s="15" t="str">
        <x:v>Reduces dependence on one noisy model</x:v>
      </x:c>
      <x:c r="F10" s="15" t="str">
        <x:v>Average of two baseline models</x:v>
      </x:c>
      <x:c r="G10" s="15" t="str">
        <x:v>YES</x:v>
      </x:c>
      <x:c r="H10" s="15" t="str">
        <x:v>Simple v0.1 ensemble</x:v>
      </x:c>
      <x:c r="J10" s="89" t="str">
        <x:v>STL Away GF/game</x:v>
      </x:c>
      <x:c r="K10" s="90" t="n">
        <x:v>1.1</x:v>
      </x:c>
    </x:row>
    <x:row r="11">
      <x:c r="A11" s="15" t="str">
        <x:v>8. Market fair probability</x:v>
      </x:c>
      <x:c r="B11" s="15" t="str">
        <x:v>61.2% Over</x:v>
      </x:c>
      <x:c r="C11" s="15" t="str">
        <x:v>Benchmark after removing margin</x:v>
      </x:c>
      <x:c r="D11" s="15" t="str">
        <x:v>INFO</x:v>
      </x:c>
      <x:c r="E11" s="15" t="str">
        <x:v>Price already reflects a strong Over expectation</x:v>
      </x:c>
      <x:c r="F11" s="15" t="str">
        <x:v>De-vig from Over/Under prices</x:v>
      </x:c>
      <x:c r="G11" s="15" t="str">
        <x:v>YES</x:v>
      </x:c>
      <x:c r="H11" s="15" t="str">
        <x:v>Raw Over implied ≈65.2%</x:v>
      </x:c>
      <x:c r="J11" s="89" t="str">
        <x:v>STL Away GA/game</x:v>
      </x:c>
      <x:c r="K11" s="90" t="n">
        <x:v>1.5</x:v>
      </x:c>
    </x:row>
    <x:row r="12">
      <x:c r="A12" s="15" t="str">
        <x:v>9. Estimated edge</x:v>
      </x:c>
      <x:c r="B12" s="15" t="str">
        <x:v>-3.0 pp</x:v>
      </x:c>
      <x:c r="C12" s="15" t="str">
        <x:v>+5 pp preferred; +2 pp watchlist</x:v>
      </x:c>
      <x:c r="D12" s="15" t="str">
        <x:v>FAIL</x:v>
      </x:c>
      <x:c r="E12" s="15" t="str">
        <x:v>Negative edge means price is worse than our current estimate</x:v>
      </x:c>
      <x:c r="F12" s="15" t="str">
        <x:v>Ensemble - market fair</x:v>
      </x:c>
      <x:c r="G12" s="15" t="str">
        <x:v>YES</x:v>
      </x:c>
      <x:c r="H12" s="15" t="str">
        <x:v>Do not confuse likely with value</x:v>
      </x:c>
      <x:c r="J12" s="89" t="str">
        <x:v>SKC Last5 GF/game</x:v>
      </x:c>
      <x:c r="K12" s="90" t="n">
        <x:v>0.8</x:v>
      </x:c>
    </x:row>
    <x:row r="13">
      <x:c r="A13" s="15" t="str">
        <x:v>10. First-money-bet gate</x:v>
      </x:c>
      <x:c r="B13" s="15" t="str">
        <x:v>NO</x:v>
      </x:c>
      <x:c r="C13" s="15" t="str">
        <x:v>All critical gates must pass</x:v>
      </x:c>
      <x:c r="D13" s="15" t="str">
        <x:v>FAIL</x:v>
      </x:c>
      <x:c r="E13" s="15" t="str">
        <x:v>Professional discipline includes skipping a game</x:v>
      </x:c>
      <x:c r="F13" s="15" t="str">
        <x:v>System rule</x:v>
      </x:c>
      <x:c r="G13" s="15" t="str">
        <x:v>YES</x:v>
      </x:c>
      <x:c r="H13" s="15" t="str">
        <x:v>Paper observation only</x:v>
      </x:c>
      <x:c r="J13" s="89" t="str">
        <x:v>SKC Last5 GA/game</x:v>
      </x:c>
      <x:c r="K13" s="90" t="n">
        <x:v>2.4</x:v>
      </x:c>
    </x:row>
    <x:row r="14">
      <x:c r="A14" s="15" t="str">
        <x:v>11. Lineup gate</x:v>
      </x:c>
      <x:c r="B14" s="15" t="str">
        <x:v>PENDING</x:v>
      </x:c>
      <x:c r="C14" s="15" t="str">
        <x:v>Official XI required for final confirmation</x:v>
      </x:c>
      <x:c r="D14" s="15" t="str">
        <x:v>PENDING</x:v>
      </x:c>
      <x:c r="E14" s="15" t="str">
        <x:v>Starting XI can materially change attack/defense expectation</x:v>
      </x:c>
      <x:c r="F14" s="15" t="str">
        <x:v>Official team lineup page</x:v>
      </x:c>
      <x:c r="G14" s="15" t="str">
        <x:v>NO</x:v>
      </x:c>
      <x:c r="H14" s="15" t="str">
        <x:v>Not yet readable</x:v>
      </x:c>
      <x:c r="J14" s="89" t="str">
        <x:v>STL Last5 GF/game</x:v>
      </x:c>
      <x:c r="K14" s="90" t="n">
        <x:v>2.2</x:v>
      </x:c>
    </x:row>
    <x:row r="15">
      <x:c r="A15" s="15" t="str">
        <x:v>12. Price threshold</x:v>
      </x:c>
      <x:c r="B15" s="15" t="str">
        <x:v>1.72 break-even</x:v>
      </x:c>
      <x:c r="C15" s="15" t="str">
        <x:v>Current 1.47 is below model break-even</x:v>
      </x:c>
      <x:c r="D15" s="15" t="str">
        <x:v>FAIL</x:v>
      </x:c>
      <x:c r="E15" s="15" t="str">
        <x:v>Even a likely outcome can be a bad purchase at the wrong price</x:v>
      </x:c>
      <x:c r="F15" s="15" t="str">
        <x:v>1 / model probability</x:v>
      </x:c>
      <x:c r="G15" s="15" t="str">
        <x:v>YES</x:v>
      </x:c>
      <x:c r="H15" s="15" t="str">
        <x:v>Need materially higher odds</x:v>
      </x:c>
      <x:c r="J15" s="89" t="str">
        <x:v>STL Last5 GA/game</x:v>
      </x:c>
      <x:c r="K15" s="90" t="n">
        <x:v>1</x:v>
      </x:c>
    </x:row>
    <x:row r="16">
      <x:c r="A16" s="67" t="str">
        <x:v>13. +5% EV threshold</x:v>
      </x:c>
      <x:c r="B16" s="67" t="str">
        <x:v>1.80 target</x:v>
      </x:c>
      <x:c r="C16" s="67" t="str">
        <x:v>Current 1.47 far below threshold</x:v>
      </x:c>
      <x:c r="D16" s="67" t="str">
        <x:v>FAIL</x:v>
      </x:c>
      <x:c r="E16" s="67" t="str">
        <x:v>Adds cushion for model error and uncertainty</x:v>
      </x:c>
      <x:c r="F16" s="67" t="str">
        <x:v>1.05 / model probability</x:v>
      </x:c>
      <x:c r="G16" s="67" t="str">
        <x:v>YES</x:v>
      </x:c>
      <x:c r="H16" s="67" t="str">
        <x:v>Research threshold only</x:v>
      </x:c>
    </x:row>
    <x:row r="17">
      <x:c r="A17" s="89" t="str">
        <x:v>Official kickoff</x:v>
      </x:c>
      <x:c r="B17" s="15" t="str">
        <x:v>https://www.sportingkc.com/news/preview-sporting-kc-hosts-rivals-st-louis-city-sc-on-wednesday-at-sporting-park</x:v>
      </x:c>
      <x:c r="J17" s="93" t="str">
        <x:v>MODEL CALCULATION</x:v>
      </x:c>
      <x:c r="K17" s="93" t="str">
        <x:v>Value</x:v>
      </x:c>
    </x:row>
    <x:row r="18">
      <x:c r="A18" s="131" t="str">
        <x:v>SOURCE URLs FOR THIS SNAPSHOT</x:v>
      </x:c>
      <x:c r="B18" s="131" t="str">
        <x:v>https://footystats.org/usa/sporting-kansas-city-vs-st-louis-city-sc-h2h-stats</x:v>
      </x:c>
      <x:c r="C18" s="132"/>
      <x:c r="D18" s="132"/>
      <x:c r="E18" s="132"/>
      <x:c r="F18" s="132"/>
      <x:c r="G18" s="132"/>
      <x:c r="H18" s="132"/>
      <x:c r="J18" s="95" t="str">
        <x:v>Raw Over implied</x:v>
      </x:c>
      <x:c r="K18" s="32" t="n">
        <x:f>1/K6</x:f>
        <x:v>0.6802721088435374</x:v>
      </x:c>
    </x:row>
    <x:row r="19">
      <x:c r="A19" s="133" t="str">
        <x:v>Official kickoff</x:v>
      </x:c>
      <x:c r="B19" s="15" t="str">
        <x:v>https://www.sportingkc.com/news/preview-sporting-kc-hosts-rivals-st-louis-city-sc-on-wednesday-at-sporting-park</x:v>
      </x:c>
      <x:c r="J19" s="95" t="str">
        <x:v>Raw Under implied</x:v>
      </x:c>
      <x:c r="K19" s="32" t="n">
        <x:f>1/K7</x:f>
        <x:v>0.3846153846153846</x:v>
      </x:c>
    </x:row>
    <x:row r="20">
      <x:c r="A20" s="133" t="str">
        <x:v>Availability report</x:v>
      </x:c>
      <x:c r="B20" s="15" t="str">
        <x:v>https://www.mlssoccer.com/news/mls-player-status-report-matchday-21-wednesday-august-19</x:v>
      </x:c>
      <x:c r="J20" s="95" t="str">
        <x:v>Devig market Over</x:v>
      </x:c>
      <x:c r="K20" s="32" t="n">
        <x:f>K18/(K18+K19)</x:f>
        <x:v>0.6388206388206389</x:v>
      </x:c>
    </x:row>
    <x:row r="21">
      <x:c r="A21" s="133" t="str">
        <x:v>Official lineup page</x:v>
      </x:c>
      <x:c r="B21" s="15" t="str">
        <x:v>https://www.stlcitysc.com/competitions/mls-regular-season/2026/matches/skcvsstl-08-19-2026/lineups</x:v>
      </x:c>
      <x:c r="J21" s="95" t="str">
        <x:v>Season/Venue λ total</x:v>
      </x:c>
      <x:c r="K21" s="96" t="n">
        <x:f>((K8+K11)/2)+((K10+K9)/2)</x:f>
        <x:v>2.855</x:v>
      </x:c>
    </x:row>
    <x:row r="22">
      <x:c r="A22" s="133" t="str">
        <x:v>Observed O/U odds</x:v>
      </x:c>
      <x:c r="B22" s="15" t="str">
        <x:v>https://www.sportsgambler.com/betting-tips/football/sporting-kansas-city-vs-st-louis-city-prediction-lineups-odds-2026-08-19/</x:v>
      </x:c>
      <x:c r="J22" s="95" t="str">
        <x:v>Season/Venue P(Over2.5)</x:v>
      </x:c>
      <x:c r="K22" s="96" t="n">
        <x:f>1-EXP(-K21)*(1+K21+(K21^2)/2)</x:f>
        <x:v>0.5435528411530175</x:v>
      </x:c>
    </x:row>
    <x:row r="23">
      <x:c r="J23" s="95" t="str">
        <x:v>Recent-form λ total</x:v>
      </x:c>
      <x:c r="K23" s="96" t="n">
        <x:f>((K12+K15)/2)+((K14+K13)/2)</x:f>
        <x:v>3.1999999999999997</x:v>
      </x:c>
    </x:row>
    <x:row r="24">
      <x:c r="J24" s="95" t="str">
        <x:v>Recent-form P(Over2.5)</x:v>
      </x:c>
      <x:c r="K24" s="32" t="n">
        <x:f>1-EXP(-K23)*(1+K23+(K23^2)/2)</x:f>
        <x:v>0.6200962589216268</x:v>
      </x:c>
    </x:row>
    <x:row r="25">
      <x:c r="J25" s="95" t="str">
        <x:v>Simple Ensemble P</x:v>
      </x:c>
      <x:c r="K25" s="32" t="n">
        <x:f>(K22+K24)/2</x:f>
        <x:v>0.5818245500373221</x:v>
      </x:c>
    </x:row>
    <x:row r="26">
      <x:c r="J26" s="95" t="str">
        <x:v>Edge vs Devig Market</x:v>
      </x:c>
      <x:c r="K26" s="32" t="n">
        <x:f>K25-K20</x:f>
        <x:v>-0.056996088783316745</x:v>
      </x:c>
    </x:row>
    <x:row r="27">
      <x:c r="J27" s="95" t="str">
        <x:v>Research Decision</x:v>
      </x:c>
      <x:c r="K27" s="99" t="str">
        <x:f>IF(K26&gt;=0.05,"PASS: VALUE CANDIDATE",IF(K26&gt;=0.02,"WATCHLIST","NO BET / PAPER ONLY"))</x:f>
        <x:v>NO BET / PAPER ONLY</x:v>
      </x:c>
    </x:row>
  </x:sheetData>
  <x:mergeCells>
    <x:mergeCell ref="A1:H1"/>
    <x:mergeCell ref="A16:H16"/>
    <x:mergeCell ref="A18:H18"/>
  </x:mergeCells>
  <x:conditionalFormatting sqref="D4:D13">
    <x:cfRule type="expression" dxfId="4" priority="1">
      <x:formula>D4="PASS"</x:formula>
    </x:cfRule>
    <x:cfRule type="expression" dxfId="5" priority="2">
      <x:formula>D4="FAIL"</x:formula>
    </x:cfRule>
    <x:cfRule type="expression" dxfId="6" priority="3">
      <x:formula>D4="INFO"</x:formula>
    </x:cfRule>
  </x:conditionalFormatting>
  <x:conditionalFormatting sqref="D14:D16">
    <x:cfRule type="expression" dxfId="11" priority="4">
      <x:formula>D14="FAIL"</x:formula>
    </x:cfRule>
    <x:cfRule type="expression" dxfId="12" priority="5">
      <x:formula>D14="PENDING"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14" hidden="0" customWidth="1"/>
    <x:col min="6" max="6" width="30" hidden="0" customWidth="1"/>
    <x:col min="7" max="7" width="32" hidden="0" customWidth="1"/>
  </x:cols>
  <x:sheetData>
    <x:row r="1">
      <x:c r="A1" s="119" t="str">
        <x:v>v0.1.3 — PRICE THRESHOLD ENGINE</x:v>
      </x:c>
      <x:c r="B1" s="119"/>
      <x:c r="C1" s="119"/>
      <x:c r="D1" s="119"/>
      <x:c r="E1" s="119"/>
      <x:c r="F1" s="119"/>
      <x:c r="G1" s="119"/>
    </x:row>
    <x:row r="3">
      <x:c r="A3" s="124" t="str">
        <x:v>Metric</x:v>
      </x:c>
      <x:c r="B3" s="124" t="str">
        <x:v>Value</x:v>
      </x:c>
      <x:c r="C3" s="124" t="str">
        <x:v>Meaning</x:v>
      </x:c>
      <x:c r="D3" s="124" t="str">
        <x:v>Rule</x:v>
      </x:c>
      <x:c r="E3" s="124" t="str">
        <x:v>Status</x:v>
      </x:c>
      <x:c r="F3" s="124" t="str">
        <x:v>Formula / Source</x:v>
      </x:c>
      <x:c r="G3" s="124" t="str">
        <x:v>Notes</x:v>
      </x:c>
    </x:row>
    <x:row r="4">
      <x:c r="A4" s="15" t="str">
        <x:v>Model probability</x:v>
      </x:c>
      <x:c r="B4" s="125" t="n">
        <x:v>0.58182455</x:v>
      </x:c>
      <x:c r="C4" s="15" t="str">
        <x:v>Current simple ensemble estimate</x:v>
      </x:c>
      <x:c r="D4" s="15" t="str">
        <x:v>Frozen until lineup evidence changes</x:v>
      </x:c>
      <x:c r="E4" s="15" t="str">
        <x:v>INFO</x:v>
      </x:c>
      <x:c r="F4" s="15" t="str">
        <x:v>From Pre_Bet_Gate v0.1.2</x:v>
      </x:c>
      <x:c r="G4" s="15" t="str">
        <x:v>Not a validated model yet</x:v>
      </x:c>
    </x:row>
    <x:row r="5">
      <x:c r="A5" s="15" t="str">
        <x:v>Current Over odds</x:v>
      </x:c>
      <x:c r="B5" s="15" t="n">
        <x:v>1.47</x:v>
      </x:c>
      <x:c r="C5" s="15" t="str">
        <x:v>Price currently offered for Over 2.5</x:v>
      </x:c>
      <x:c r="D5" s="15" t="str">
        <x:v>Higher is better for buyer</x:v>
      </x:c>
      <x:c r="E5" s="15" t="str">
        <x:v>INFO</x:v>
      </x:c>
      <x:c r="F5" s="15" t="str">
        <x:v>Observed market</x:v>
      </x:c>
      <x:c r="G5" s="15" t="str">
        <x:v>Current check</x:v>
      </x:c>
    </x:row>
    <x:row r="6">
      <x:c r="A6" s="15" t="str">
        <x:v>Current Under odds</x:v>
      </x:c>
      <x:c r="B6" s="15" t="n">
        <x:v>2.6</x:v>
      </x:c>
      <x:c r="C6" s="15" t="str">
        <x:v>Other side of same market</x:v>
      </x:c>
      <x:c r="D6" s="15" t="str">
        <x:v>Used to estimate bookmaker margin</x:v>
      </x:c>
      <x:c r="E6" s="15" t="str">
        <x:v>INFO</x:v>
      </x:c>
      <x:c r="F6" s="15" t="str">
        <x:v>Observed market</x:v>
      </x:c>
      <x:c r="G6" s="15" t="str">
        <x:v>Same source pair</x:v>
      </x:c>
    </x:row>
    <x:row r="7">
      <x:c r="A7" s="15" t="str">
        <x:v>Raw Over implied</x:v>
      </x:c>
      <x:c r="B7" s="125" t="n">
        <x:f>1/B5</x:f>
        <x:v>0.6802721088435374</x:v>
      </x:c>
      <x:c r="C7" s="15" t="str">
        <x:v>1 / Over odds</x:v>
      </x:c>
      <x:c r="D7" s="15" t="str">
        <x:v>Market probability before de-vig</x:v>
      </x:c>
      <x:c r="E7" s="15" t="str">
        <x:v>INFO</x:v>
      </x:c>
      <x:c r="F7" s="15" t="str">
        <x:v>Formula</x:v>
      </x:c>
      <x:c r="G7" s="15" t="str"/>
    </x:row>
    <x:row r="8">
      <x:c r="A8" s="15" t="str">
        <x:v>De-vig fair Over</x:v>
      </x:c>
      <x:c r="B8" s="125" t="n">
        <x:f>(1/B5)/((1/B5)+(1/B6))</x:f>
        <x:v>0.6388206388206389</x:v>
      </x:c>
      <x:c r="C8" s="15" t="str">
        <x:v>Normalize both sides</x:v>
      </x:c>
      <x:c r="D8" s="15" t="str">
        <x:v>Benchmark against model</x:v>
      </x:c>
      <x:c r="E8" s="15" t="str">
        <x:v>INFO</x:v>
      </x:c>
      <x:c r="F8" s="15" t="str">
        <x:v>Formula</x:v>
      </x:c>
      <x:c r="G8" s="15" t="str"/>
    </x:row>
    <x:row r="9">
      <x:c r="A9" s="15" t="str">
        <x:v>Break-even odds</x:v>
      </x:c>
      <x:c r="B9" s="90" t="n">
        <x:f>1/B4</x:f>
        <x:v>1.7187311879500444</x:v>
      </x:c>
      <x:c r="C9" s="15" t="str">
        <x:v>Minimum odds at model probability</x:v>
      </x:c>
      <x:c r="D9" s="15" t="str">
        <x:v>Odds must exceed this for positive EV</x:v>
      </x:c>
      <x:c r="E9" s="15" t="str">
        <x:v>THRESHOLD</x:v>
      </x:c>
      <x:c r="F9" s="15" t="str">
        <x:v>1 / model probability</x:v>
      </x:c>
      <x:c r="G9" s="15" t="str"/>
    </x:row>
    <x:row r="10">
      <x:c r="A10" s="15" t="str">
        <x:v>Odds for +3% EV</x:v>
      </x:c>
      <x:c r="B10" s="90" t="n">
        <x:f>1.03/B4</x:f>
        <x:v>1.7702931235885457</x:v>
      </x:c>
      <x:c r="C10" s="15" t="str">
        <x:v>Price needed for ~3% expected return</x:v>
      </x:c>
      <x:c r="D10" s="15" t="str">
        <x:v>Preferred minimum research margin</x:v>
      </x:c>
      <x:c r="E10" s="15" t="str">
        <x:v>THRESHOLD</x:v>
      </x:c>
      <x:c r="F10" s="15" t="str">
        <x:v>1.03 / model probability</x:v>
      </x:c>
      <x:c r="G10" s="15" t="str"/>
    </x:row>
    <x:row r="11">
      <x:c r="A11" s="15" t="str">
        <x:v>Odds for +5% EV</x:v>
      </x:c>
      <x:c r="B11" s="90" t="n">
        <x:f>1.05/B4</x:f>
        <x:v>1.8046677473475468</x:v>
      </x:c>
      <x:c r="C11" s="15" t="str">
        <x:v>Price needed for ~5% expected return</x:v>
      </x:c>
      <x:c r="D11" s="15" t="str">
        <x:v>Strong paper-bet gate</x:v>
      </x:c>
      <x:c r="E11" s="15" t="str">
        <x:v>THRESHOLD</x:v>
      </x:c>
      <x:c r="F11" s="15" t="str">
        <x:v>1.05 / model probability</x:v>
      </x:c>
      <x:c r="G11" s="15" t="str"/>
    </x:row>
    <x:row r="12">
      <x:c r="A12" s="15" t="str">
        <x:v>Current expected value</x:v>
      </x:c>
      <x:c r="B12" s="125" t="n">
        <x:f>B4*B5-1</x:f>
        <x:v>-0.14471791150000002</x:v>
      </x:c>
      <x:c r="C12" s="15" t="str">
        <x:v>Model P × odds − 1</x:v>
      </x:c>
      <x:c r="D12" s="15" t="str">
        <x:v>Positive required for value</x:v>
      </x:c>
      <x:c r="E12" s="15" t="str">
        <x:v>FAIL</x:v>
      </x:c>
      <x:c r="F12" s="15" t="str">
        <x:v>Formula</x:v>
      </x:c>
      <x:c r="G12" s="15" t="str"/>
    </x:row>
    <x:row r="13">
      <x:c r="A13" s="15" t="str">
        <x:v>Odds movement vs 02:04</x:v>
      </x:c>
      <x:c r="B13" s="125" t="n">
        <x:f>B5/1.5128205128205128-1</x:f>
        <x:v>-0.028305084745762654</x:v>
      </x:c>
      <x:c r="C13" s="15" t="str">
        <x:v>Change from first snapshot</x:v>
      </x:c>
      <x:c r="D13" s="15" t="str">
        <x:v>Falling Over odds = worse price</x:v>
      </x:c>
      <x:c r="E13" s="15" t="str">
        <x:v>FAIL</x:v>
      </x:c>
      <x:c r="F13" s="15" t="str">
        <x:v>1.47 vs 1.5128</x:v>
      </x:c>
      <x:c r="G13" s="15" t="str">
        <x:v>Market moved against buying Over</x:v>
      </x:c>
    </x:row>
    <x:row r="14">
      <x:c r="A14" s="15" t="str">
        <x:v>Lineup status</x:v>
      </x:c>
      <x:c r="B14" s="15" t="str">
        <x:v>PENDING</x:v>
      </x:c>
      <x:c r="C14" s="15" t="str">
        <x:v>Official starting XI not yet readable</x:v>
      </x:c>
      <x:c r="D14" s="15" t="str">
        <x:v>Must be confirmed before final gate</x:v>
      </x:c>
      <x:c r="E14" s="15" t="str">
        <x:v>PENDING</x:v>
      </x:c>
      <x:c r="F14" s="15" t="str">
        <x:v>Official St. Louis lineup page</x:v>
      </x:c>
      <x:c r="G14" s="15" t="str"/>
    </x:row>
    <x:row r="15">
      <x:c r="A15" s="15" t="str">
        <x:v>Final current decision</x:v>
      </x:c>
      <x:c r="B15" s="15" t="str">
        <x:v>NO BET / PAPER ONLY</x:v>
      </x:c>
      <x:c r="C15" s="15" t="str">
        <x:v>Do not force first bet</x:v>
      </x:c>
      <x:c r="D15" s="15" t="str">
        <x:v>Critical gates not passed</x:v>
      </x:c>
      <x:c r="E15" s="15" t="str">
        <x:v>FAIL</x:v>
      </x:c>
      <x:c r="F15" s="15" t="str">
        <x:v>System rule</x:v>
      </x:c>
      <x:c r="G15" s="15" t="str"/>
    </x:row>
  </x:sheetData>
  <x:mergeCells>
    <x:mergeCell ref="A1:G1"/>
  </x:mergeCells>
  <x:conditionalFormatting sqref="E4:E15">
    <x:cfRule type="expression" dxfId="7" priority="1">
      <x:formula>E4="FAIL"</x:formula>
    </x:cfRule>
    <x:cfRule type="expression" dxfId="8" priority="2">
      <x:formula>E4="INFO"</x:formula>
    </x:cfRule>
    <x:cfRule type="expression" dxfId="9" priority="3">
      <x:formula>E4="THRESHOLD"</x:formula>
    </x:cfRule>
    <x:cfRule type="expression" dxfId="10" priority="4">
      <x:formula>E4="PENDING"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</x:cols>
  <x:sheetData>
    <x:row r="1" ht="28" customHeight="1">
      <x:c r="A1" s="172" t="str">
        <x:v>BETTING INTELLIGENCE v0.1.4 — WEIGHTED GOALS MODEL</x:v>
      </x:c>
      <x:c r="B1" s="172"/>
      <x:c r="C1" s="172"/>
      <x:c r="D1" s="172"/>
      <x:c r="E1" s="172"/>
      <x:c r="F1" s="172"/>
      <x:c r="G1" s="172"/>
      <x:c r="H1" s="172"/>
    </x:row>
    <x:row r="3">
      <x:c r="A3" s="156" t="str">
        <x:v>Window</x:v>
      </x:c>
      <x:c r="B3" s="156" t="str">
        <x:v>Weight</x:v>
      </x:c>
      <x:c r="C3" s="156" t="str">
        <x:v>SKC GF</x:v>
      </x:c>
      <x:c r="D3" s="156" t="str">
        <x:v>SKC GA</x:v>
      </x:c>
      <x:c r="E3" s="156" t="str">
        <x:v>STL GF</x:v>
      </x:c>
      <x:c r="F3" s="156" t="str">
        <x:v>STL GA</x:v>
      </x:c>
      <x:c r="G3" s="156" t="str">
        <x:v>Expected Home λ</x:v>
      </x:c>
      <x:c r="H3" s="156" t="str">
        <x:v>Expected Away λ</x:v>
      </x:c>
    </x:row>
    <x:row r="4">
      <x:c r="A4" t="str">
        <x:v>Home/Away venue</x:v>
      </x:c>
      <x:c r="B4" s="171" t="n">
        <x:v>0.5</x:v>
      </x:c>
      <x:c r="C4" s="30" t="n">
        <x:v>1.1</x:v>
      </x:c>
      <x:c r="D4" s="30" t="n">
        <x:v>1.7</x:v>
      </x:c>
      <x:c r="E4" s="30" t="n">
        <x:v>1.1</x:v>
      </x:c>
      <x:c r="F4" s="30" t="n">
        <x:v>1.5</x:v>
      </x:c>
      <x:c r="G4" s="30" t="n">
        <x:f>(C4+F4)/2</x:f>
        <x:v>1.3</x:v>
      </x:c>
      <x:c r="H4" s="30" t="n">
        <x:f>(E4+D4)/2</x:f>
        <x:v>1.4</x:v>
      </x:c>
    </x:row>
    <x:row r="5">
      <x:c r="A5" t="str">
        <x:v>Last 10 overall</x:v>
      </x:c>
      <x:c r="B5" s="171" t="n">
        <x:v>0.3</x:v>
      </x:c>
      <x:c r="C5" s="30" t="n">
        <x:v>1.1</x:v>
      </x:c>
      <x:c r="D5" s="30" t="n">
        <x:v>2.3</x:v>
      </x:c>
      <x:c r="E5" s="30" t="n">
        <x:v>1.8</x:v>
      </x:c>
      <x:c r="F5" s="30" t="n">
        <x:v>0.9</x:v>
      </x:c>
      <x:c r="G5" s="30" t="n">
        <x:f>(C5+F5)/2</x:f>
        <x:v>1</x:v>
      </x:c>
      <x:c r="H5" s="30" t="n">
        <x:f>(E5+D5)/2</x:f>
        <x:v>2.05</x:v>
      </x:c>
    </x:row>
    <x:row r="6">
      <x:c r="A6" t="str">
        <x:v>Last 5 overall</x:v>
      </x:c>
      <x:c r="B6" s="171" t="n">
        <x:v>0.2</x:v>
      </x:c>
      <x:c r="C6" s="30" t="n">
        <x:v>0.8</x:v>
      </x:c>
      <x:c r="D6" s="30" t="n">
        <x:v>2.4</x:v>
      </x:c>
      <x:c r="E6" s="30" t="n">
        <x:v>2.2</x:v>
      </x:c>
      <x:c r="F6" s="30" t="n">
        <x:v>1</x:v>
      </x:c>
      <x:c r="G6" s="30" t="n">
        <x:f>(C6+F6)/2</x:f>
        <x:v>0.9</x:v>
      </x:c>
      <x:c r="H6" s="30" t="n">
        <x:f>(E6+D6)/2</x:f>
        <x:v>2.3</x:v>
      </x:c>
    </x:row>
    <x:row r="8">
      <x:c r="A8" s="159" t="str">
        <x:v>Metric</x:v>
      </x:c>
      <x:c r="B8" s="159" t="str">
        <x:v>Value</x:v>
      </x:c>
      <x:c r="D8" s="163" t="str">
        <x:v>Market</x:v>
      </x:c>
      <x:c r="E8" s="163" t="str">
        <x:v>Model P</x:v>
      </x:c>
      <x:c r="F8" s="163" t="str">
        <x:v>Observed Odds</x:v>
      </x:c>
      <x:c r="G8" s="163" t="str">
        <x:v>Market Fair P</x:v>
      </x:c>
      <x:c r="H8" s="163" t="str">
        <x:v>Edge (pp)</x:v>
      </x:c>
    </x:row>
    <x:row r="9">
      <x:c r="A9" s="161" t="str">
        <x:v>Weighted Home λ</x:v>
      </x:c>
      <x:c r="B9" s="96" t="n">
        <x:f>SUMPRODUCT(B4:B6,G4:G6)</x:f>
        <x:v>1.13</x:v>
      </x:c>
      <x:c r="D9" t="str">
        <x:v>Over 1.5</x:v>
      </x:c>
      <x:c r="E9" s="32" t="n">
        <x:f>1-EXP(-$B$11)*(1+$B$11)</x:f>
        <x:v>0.7862059727011804</x:v>
      </x:c>
    </x:row>
    <x:row r="10">
      <x:c r="A10" s="161" t="str">
        <x:v>Weighted Away λ</x:v>
      </x:c>
      <x:c r="B10" s="96" t="n">
        <x:f>SUMPRODUCT(B4:B6,H4:H6)</x:f>
        <x:v>1.775</x:v>
      </x:c>
      <x:c r="D10" t="str">
        <x:v>Over 2.5</x:v>
      </x:c>
      <x:c r="E10" s="32" t="n">
        <x:f>1-EXP(-$B$11)*(1+$B$11+($B$11^2)/2)</x:f>
        <x:v>0.5551927663983096</x:v>
      </x:c>
      <x:c r="F10" s="30" t="n">
        <x:v>1.47</x:v>
      </x:c>
      <x:c r="G10" s="32" t="n">
        <x:f>(1/F10)/((1/F10)+(1/F11))</x:f>
        <x:v>0.6388206388206389</x:v>
      </x:c>
      <x:c r="H10" s="32" t="n">
        <x:f>E10-G10</x:f>
        <x:v>-0.08362787242232927</x:v>
      </x:c>
    </x:row>
    <x:row r="11">
      <x:c r="A11" s="161" t="str">
        <x:v>Weighted Total λ</x:v>
      </x:c>
      <x:c r="B11" s="96" t="n">
        <x:f>B9+B10</x:f>
        <x:v>2.905</x:v>
      </x:c>
      <x:c r="D11" t="str">
        <x:v>Under 2.5</x:v>
      </x:c>
      <x:c r="E11" s="32" t="n">
        <x:f>1-E10</x:f>
        <x:v>0.4448072336016904</x:v>
      </x:c>
      <x:c r="F11" s="30" t="n">
        <x:v>2.6</x:v>
      </x:c>
      <x:c r="G11" s="32" t="n">
        <x:f>(1/F11)/((1/F10)+(1/F11))</x:f>
        <x:v>0.3611793611793612</x:v>
      </x:c>
      <x:c r="H11" s="32" t="n">
        <x:f>E11-G11</x:f>
        <x:v>0.08362787242232916</x:v>
      </x:c>
    </x:row>
    <x:row r="12">
      <x:c r="A12" s="161" t="str">
        <x:v>Model version</x:v>
      </x:c>
      <x:c r="B12" t="str">
        <x:v>v0.1.4</x:v>
      </x:c>
      <x:c r="D12" t="str">
        <x:v>Over 3.5</x:v>
      </x:c>
      <x:c r="E12" s="32" t="n">
        <x:f>1-EXP(-$B$11)*(1+$B$11+($B$11^2)/2+($B$11^3)/6)</x:f>
        <x:v>0.33149497829502983</x:v>
      </x:c>
      <x:c r="F12" s="30" t="n">
        <x:v>2.4</x:v>
      </x:c>
      <x:c r="G12" s="32" t="n">
        <x:f>(1/F12)/((1/F12)+(1/F13))</x:f>
        <x:v>0.4009077155824508</x:v>
      </x:c>
      <x:c r="H12" s="32" t="n">
        <x:f>E12-G12</x:f>
        <x:v>-0.06941273728742098</x:v>
      </x:c>
    </x:row>
    <x:row r="13">
      <x:c r="D13" t="str">
        <x:v>Under 3.5</x:v>
      </x:c>
      <x:c r="E13" s="32" t="n">
        <x:f>1-E12</x:f>
        <x:v>0.6685050217049702</x:v>
      </x:c>
      <x:c r="F13" s="30" t="n">
        <x:v>1.606060606060606</x:v>
      </x:c>
      <x:c r="G13" s="32" t="n">
        <x:f>(1/F13)/((1/F12)+(1/F13))</x:f>
        <x:v>0.5990922844175491</x:v>
      </x:c>
      <x:c r="H13" s="32" t="n">
        <x:f>E13-G13</x:f>
        <x:v>0.06941273728742103</x:v>
      </x:c>
    </x:row>
    <x:row r="15">
      <x:c r="A15" s="162" t="str">
        <x:v>Source</x:v>
      </x:c>
      <x:c r="B15" s="162" t="str">
        <x:v>URL</x:v>
      </x:c>
      <x:c r="D15" s="167" t="str">
        <x:v>Gate</x:v>
      </x:c>
      <x:c r="E15" s="167" t="str">
        <x:v>Threshold</x:v>
      </x:c>
      <x:c r="F15" s="167" t="str">
        <x:v>Under 3.5 Current</x:v>
      </x:c>
      <x:c r="G15" s="167" t="str">
        <x:v>Status</x:v>
      </x:c>
      <x:c r="H15" s="167" t="str">
        <x:v>Interpretation</x:v>
      </x:c>
    </x:row>
    <x:row r="16">
      <x:c r="A16" s="170" t="str">
        <x:v>Home/Away + recent stats</x:v>
      </x:c>
      <x:c r="B16" s="15" t="str">
        <x:v>https://www.sportsgambler.com/betting-tips/football/sporting-kansas-city-vs-st-louis-city-prediction-lineups-odds-2026-08-19/</x:v>
      </x:c>
      <x:c r="D16" s="169" t="str">
        <x:v>Model edge</x:v>
      </x:c>
      <x:c r="E16" t="str">
        <x:v>+5 pp preferred</x:v>
      </x:c>
      <x:c r="F16" s="32" t="n">
        <x:f>H13</x:f>
        <x:v>0.06941273728742103</x:v>
      </x:c>
      <x:c r="G16" t="str">
        <x:f>IF(F16&gt;=0.05,"PASS",IF(F16&gt;=0.02,"WATCH","FAIL"))</x:f>
        <x:v>PASS</x:v>
      </x:c>
      <x:c r="H16" t="str">
        <x:v>Price/model gate passes if edge is stable.</x:v>
      </x:c>
    </x:row>
    <x:row r="17">
      <x:c r="A17" s="170" t="str">
        <x:v>Home/Away Over/Under profile</x:v>
      </x:c>
      <x:c r="B17" s="15" t="str">
        <x:v>https://footystats.org/usa/sporting-kansas-city-vs-st-louis-city-sc-h2h-stats</x:v>
      </x:c>
      <x:c r="D17" s="169" t="str">
        <x:v>Expected value</x:v>
      </x:c>
      <x:c r="E17" t="str">
        <x:v>+3% preferred</x:v>
      </x:c>
      <x:c r="F17" s="32" t="n">
        <x:f>E13*F13-1</x:f>
        <x:v>0.07365958031404296</x:v>
      </x:c>
      <x:c r="G17" t="str">
        <x:f>IF(F17&gt;=0.03,"PASS",IF(F17&gt;0,"WATCH","FAIL"))</x:f>
        <x:v>PASS</x:v>
      </x:c>
      <x:c r="H17" t="str">
        <x:v>Positive EV is model-based, not guaranteed.</x:v>
      </x:c>
    </x:row>
    <x:row r="18">
      <x:c r="A18" s="170" t="str">
        <x:v>Current 3.5 odds comparison</x:v>
      </x:c>
      <x:c r="B18" s="15" t="str">
        <x:v>https://www.oddschecker.com/us/soccer/mls/sporting-kansas-city-v-st.-louis-city</x:v>
      </x:c>
      <x:c r="D18" s="169" t="str">
        <x:v>Pattern validation</x:v>
      </x:c>
      <x:c r="E18" t="str">
        <x:v>Required for real-money gate</x:v>
      </x:c>
      <x:c r="F18" t="str">
        <x:v>Not validated</x:v>
      </x:c>
      <x:c r="G18" t="str">
        <x:v>FAIL</x:v>
      </x:c>
      <x:c r="H18" t="str">
        <x:v>No historical validation sample yet.</x:v>
      </x:c>
    </x:row>
    <x:row r="19">
      <x:c r="A19" s="170" t="str">
        <x:v>Official match time</x:v>
      </x:c>
      <x:c r="B19" s="15" t="str">
        <x:v>https://www.sportingkc.com/news/preview-sporting-kc-hosts-rivals-st-louis-city-sc-on-wednesday-at-sporting-park</x:v>
      </x:c>
      <x:c r="D19" s="169" t="str">
        <x:v>Lineup confirmation</x:v>
      </x:c>
      <x:c r="E19" t="str">
        <x:v>Required</x:v>
      </x:c>
      <x:c r="F19" t="str">
        <x:v>Pending</x:v>
      </x:c>
      <x:c r="G19" t="str">
        <x:v>PENDING</x:v>
      </x:c>
      <x:c r="H19" t="str">
        <x:v>Confirmed XI must not materially change assumptions.</x:v>
      </x:c>
    </x:row>
    <x:row r="20">
      <x:c r="A20" s="170" t="str">
        <x:v>Official availability</x:v>
      </x:c>
      <x:c r="B20" s="15" t="str">
        <x:v>https://www.mlssoccer.com/news/mls-player-status-report-matchday-21-wednesday-august-19</x:v>
      </x:c>
    </x:row>
  </x:sheetData>
  <x:mergeCells>
    <x:mergeCell ref="A1:H1"/>
  </x:mergeCells>
  <x:conditionalFormatting sqref="G16:G19">
    <x:cfRule type="expression" dxfId="13" priority="1">
      <x:formula>G16="PASS"</x:formula>
    </x:cfRule>
    <x:cfRule type="expression" dxfId="14" priority="2">
      <x:formula>G16="WATCH"</x:formula>
    </x:cfRule>
    <x:cfRule type="expression" dxfId="15" priority="3">
      <x:formula>G16="FAIL"</x:formula>
    </x:cfRule>
    <x:cfRule type="expression" dxfId="16" priority="4">
      <x:formula>G16="PENDING"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25" hidden="0" customWidth="1"/>
    <x:col min="7" max="7" width="18" hidden="0" customWidth="1"/>
    <x:col min="8" max="8" width="18" hidden="0" customWidth="1"/>
    <x:col min="9" max="9" width="16" hidden="0" customWidth="1"/>
    <x:col min="10" max="10" width="38" hidden="0" customWidth="1"/>
  </x:cols>
  <x:sheetData>
    <x:row r="1" ht="28" customHeight="1">
      <x:c r="A1" s="203" t="str">
        <x:v>BETTING INTELLIGENCE v0.1.5 — xG CONFIRMATION &amp; STRESS TEST</x:v>
      </x:c>
      <x:c r="B1" s="203"/>
      <x:c r="C1" s="203"/>
      <x:c r="D1" s="203"/>
      <x:c r="E1" s="203"/>
      <x:c r="F1" s="203"/>
      <x:c r="G1" s="203"/>
      <x:c r="H1" s="203"/>
      <x:c r="I1" s="15"/>
      <x:c r="J1" s="15"/>
    </x:row>
    <x:row r="3">
      <x:c r="A3" s="189" t="str">
        <x:v>xG Input</x:v>
      </x:c>
      <x:c r="B3" s="189" t="str">
        <x:v>SKC Home</x:v>
      </x:c>
      <x:c r="C3" s="189" t="str">
        <x:v>STL Away</x:v>
      </x:c>
      <x:c r="D3" s="189" t="str">
        <x:v>Opponent Blend</x:v>
      </x:c>
      <x:c r="E3" s="189" t="str">
        <x:v>Weight</x:v>
      </x:c>
      <x:c r="F3" s="189" t="str">
        <x:v>Source</x:v>
      </x:c>
    </x:row>
    <x:row r="4">
      <x:c r="A4" t="str">
        <x:v>Attack xG / Opp xGA</x:v>
      </x:c>
      <x:c r="B4" s="30" t="n">
        <x:v>1.26</x:v>
      </x:c>
      <x:c r="C4" s="30" t="n">
        <x:v>1.42</x:v>
      </x:c>
      <x:c r="D4" s="30" t="n">
        <x:f>AVERAGE(B4:C4)</x:f>
        <x:v>1.3399999999999999</x:v>
      </x:c>
      <x:c r="E4" s="30" t="n">
        <x:v>0.4</x:v>
      </x:c>
      <x:c r="F4" t="str">
        <x:v>FootyStats</x:v>
      </x:c>
    </x:row>
    <x:row r="5">
      <x:c r="A5" t="str">
        <x:v>Away attack xG / Home xGA</x:v>
      </x:c>
      <x:c r="B5" s="30" t="n">
        <x:v>1.41</x:v>
      </x:c>
      <x:c r="C5" s="30" t="n">
        <x:v>1.8</x:v>
      </x:c>
      <x:c r="D5" s="30" t="n">
        <x:f>AVERAGE(B5:C5)</x:f>
        <x:v>1.605</x:v>
      </x:c>
      <x:c r="E5" s="30" t="n">
        <x:v>0.4</x:v>
      </x:c>
      <x:c r="F5" t="str">
        <x:v>FootyStats</x:v>
      </x:c>
    </x:row>
    <x:row r="7">
      <x:c r="A7" s="193" t="str">
        <x:v>Model Component</x:v>
      </x:c>
      <x:c r="B7" s="193" t="str">
        <x:v>Home λ</x:v>
      </x:c>
      <x:c r="C7" s="193" t="str">
        <x:v>Away λ</x:v>
      </x:c>
      <x:c r="D7" s="193" t="str">
        <x:v>Total λ</x:v>
      </x:c>
      <x:c r="F7" s="193" t="str">
        <x:v>Scenario</x:v>
      </x:c>
      <x:c r="G7" s="193" t="str">
        <x:v>λ Total</x:v>
      </x:c>
      <x:c r="H7" s="193" t="str">
        <x:v>P Under 3.5</x:v>
      </x:c>
      <x:c r="I7" s="193" t="str">
        <x:v>Current Odds</x:v>
      </x:c>
      <x:c r="J7" s="193" t="str">
        <x:v>Expected Value</x:v>
      </x:c>
    </x:row>
    <x:row r="8">
      <x:c r="A8" s="195" t="str">
        <x:v>Goal-rate weighted model</x:v>
      </x:c>
      <x:c r="B8" s="96" t="n">
        <x:v>1.13</x:v>
      </x:c>
      <x:c r="C8" s="96" t="n">
        <x:v>1.775</x:v>
      </x:c>
      <x:c r="D8" s="96" t="n">
        <x:f>B8+C8</x:f>
        <x:v>2.905</x:v>
      </x:c>
      <x:c r="F8" t="str">
        <x:v>Low-goal stress</x:v>
      </x:c>
      <x:c r="G8" t="n">
        <x:f>$D$11</x:f>
        <x:v>2.621</x:v>
      </x:c>
      <x:c r="H8" s="32" t="n">
        <x:f>EXP(-G8)*(1+G8+(G8^2)/2+(G8^3)/6)</x:f>
        <x:v>0.731425391069279</x:v>
      </x:c>
      <x:c r="I8" s="30" t="n">
        <x:v>1.606060606060606</x:v>
      </x:c>
      <x:c r="J8" s="32" t="n">
        <x:f>H8*I8-1</x:f>
        <x:v>0.1747135068688419</x:v>
      </x:c>
    </x:row>
    <x:row r="9">
      <x:c r="A9" s="195" t="str">
        <x:v>xG matchup model</x:v>
      </x:c>
      <x:c r="B9" s="96" t="n">
        <x:f>D4</x:f>
        <x:v>1.3399999999999999</x:v>
      </x:c>
      <x:c r="C9" s="96" t="n">
        <x:f>D5</x:f>
        <x:v>1.605</x:v>
      </x:c>
      <x:c r="D9" s="96" t="n">
        <x:f>B9+C9</x:f>
        <x:v>2.945</x:v>
      </x:c>
      <x:c r="F9" t="str">
        <x:v>Base</x:v>
      </x:c>
      <x:c r="G9" t="n">
        <x:f>$D$10</x:f>
        <x:v>2.921</x:v>
      </x:c>
      <x:c r="H9" s="32" t="n">
        <x:f>EXP(-G9)*(1+G9+(G9^2)/2+(G9^3)/6)</x:f>
        <x:v>0.6649249747173935</x:v>
      </x:c>
      <x:c r="I9" s="30" t="n">
        <x:v>1.606060606060606</x:v>
      </x:c>
      <x:c r="J9" s="32" t="n">
        <x:f>H9*I9-1</x:f>
        <x:v>0.06790980787945022</x:v>
      </x:c>
    </x:row>
    <x:row r="10">
      <x:c r="A10" s="195" t="str">
        <x:v>Blended model (60% rates / 40% xG)</x:v>
      </x:c>
      <x:c r="B10" s="96" t="n">
        <x:f>0.6*B8+0.4*B9</x:f>
        <x:v>1.214</x:v>
      </x:c>
      <x:c r="C10" s="96" t="n">
        <x:f>0.6*C8+0.4*C9</x:f>
        <x:v>1.7069999999999999</x:v>
      </x:c>
      <x:c r="D10" s="96" t="n">
        <x:f>B10+C10</x:f>
        <x:v>2.921</x:v>
      </x:c>
      <x:c r="F10" t="str">
        <x:v>High-goal stress</x:v>
      </x:c>
      <x:c r="G10" t="n">
        <x:f>$D$12</x:f>
        <x:v>3.2209999999999996</x:v>
      </x:c>
      <x:c r="H10" s="32" t="n">
        <x:f>EXP(-G10)*(1+G10+(G10^2)/2+(G10^3)/6)</x:f>
        <x:v>0.5978479555771207</x:v>
      </x:c>
      <x:c r="I10" s="30" t="n">
        <x:v>1.606060606060606</x:v>
      </x:c>
      <x:c r="J10" s="32" t="n">
        <x:f>H10*I10-1</x:f>
        <x:v>-0.03981995013371531</x:v>
      </x:c>
    </x:row>
    <x:row r="11">
      <x:c r="A11" s="195" t="str">
        <x:v>Stress low λ</x:v>
      </x:c>
      <x:c r="B11" s="96" t="str"/>
      <x:c r="C11" s="96" t="str"/>
      <x:c r="D11" s="96" t="n">
        <x:f>D10-0.30</x:f>
        <x:v>2.621</x:v>
      </x:c>
    </x:row>
    <x:row r="12">
      <x:c r="A12" s="195" t="str">
        <x:v>Stress high λ</x:v>
      </x:c>
      <x:c r="B12" s="96" t="str"/>
      <x:c r="C12" s="96" t="str"/>
      <x:c r="D12" s="96" t="n">
        <x:f>D10+0.30</x:f>
        <x:v>3.2209999999999996</x:v>
      </x:c>
      <x:c r="F12" s="199" t="str">
        <x:v>Market Benchmark</x:v>
      </x:c>
      <x:c r="G12" s="199" t="str">
        <x:v>Value</x:v>
      </x:c>
      <x:c r="H12" s="199" t="str">
        <x:v>Rule</x:v>
      </x:c>
      <x:c r="I12" s="199" t="str">
        <x:v>Status</x:v>
      </x:c>
      <x:c r="J12" s="199" t="str">
        <x:v>Interpretation</x:v>
      </x:c>
    </x:row>
    <x:row r="13">
      <x:c r="F13" s="201" t="str">
        <x:v>Market fair P Under 3.5</x:v>
      </x:c>
      <x:c r="G13" s="32" t="n">
        <x:f>(1/$I$9)/((1/$I$9)+(1/2.40))</x:f>
        <x:v>0.5990922844175491</x:v>
      </x:c>
      <x:c r="H13" t="str">
        <x:v>&gt; model stress floor?</x:v>
      </x:c>
      <x:c r="I13" t="str">
        <x:f>IF($H$10&gt;G13,"PASS","FAIL")</x:f>
        <x:v>FAIL</x:v>
      </x:c>
      <x:c r="J13" t="str">
        <x:v>Current Under 3.5 market benchmark after de-vig.</x:v>
      </x:c>
    </x:row>
    <x:row r="14">
      <x:c r="F14" s="201" t="str">
        <x:v>Base model edge</x:v>
      </x:c>
      <x:c r="G14" s="32" t="n">
        <x:f>$H$9-G13</x:f>
        <x:v>0.0658326902998444</x:v>
      </x:c>
      <x:c r="H14" t="str">
        <x:v>&gt;= +5 pp preferred</x:v>
      </x:c>
      <x:c r="I14" t="str">
        <x:f>IF(G14&gt;=0.05,"PASS",IF(G14&gt;=0.02,"WATCH","FAIL"))</x:f>
        <x:v>PASS</x:v>
      </x:c>
      <x:c r="J14" t="str">
        <x:v>Base case has a meaningful model-vs-market gap.</x:v>
      </x:c>
    </x:row>
    <x:row r="15">
      <x:c r="A15" s="192" t="str">
        <x:v>Source</x:v>
      </x:c>
      <x:c r="B15" s="192" t="str">
        <x:v>URL</x:v>
      </x:c>
      <x:c r="F15" s="201" t="str">
        <x:v>Stress-high edge</x:v>
      </x:c>
      <x:c r="G15" s="32" t="n">
        <x:f>$H$10-G13</x:f>
        <x:v>-0.0012443288404284658</x:v>
      </x:c>
      <x:c r="H15" t="str">
        <x:v>&gt; 0 pp minimum</x:v>
      </x:c>
      <x:c r="I15" t="str">
        <x:f>IF(G15&gt;0,"PASS","FAIL")</x:f>
        <x:v>FAIL</x:v>
      </x:c>
      <x:c r="J15" t="str">
        <x:v>If λ is 0.30 goals too low, the edge nearly disappears.</x:v>
      </x:c>
    </x:row>
    <x:row r="16">
      <x:c r="A16" s="202" t="str">
        <x:v>xG/xGA data</x:v>
      </x:c>
      <x:c r="B16" s="15" t="str">
        <x:v>https://footystats.org/usa/sporting-kansas-city-vs-st-louis-city-sc-h2h-stats</x:v>
      </x:c>
      <x:c r="F16" s="201" t="str">
        <x:v>Robustness verdict</x:v>
      </x:c>
      <x:c r="G16" t="str">
        <x:f>IF(G15&gt;=0.02,"ROBUST",IF(G15&gt;0,"FRAGILE EDGE","NOT ROBUST"))</x:f>
        <x:v>NOT ROBUST</x:v>
      </x:c>
      <x:c r="H16" t="str"/>
      <x:c r="I16" t="str">
        <x:f>IF(G16="ROBUST","PASS",IF(G16="FRAGILE EDGE","WATCH","FAIL"))</x:f>
        <x:v>FAIL</x:v>
      </x:c>
      <x:c r="J16" t="str">
        <x:v>This protects us from false confidence due to model error.</x:v>
      </x:c>
    </x:row>
    <x:row r="17">
      <x:c r="A17" s="202" t="str">
        <x:v>3.5 market odds</x:v>
      </x:c>
      <x:c r="B17" s="15" t="str">
        <x:v>https://www.oddschecker.com/us/soccer/mls/sporting-kansas-city-v-st.-louis-city</x:v>
      </x:c>
      <x:c r="F17" s="201" t="str">
        <x:v>Real-money verdict</x:v>
      </x:c>
      <x:c r="G17" t="str">
        <x:f>IF(AND(G16="ROBUST",I18="CONFIRMED",I19="VALIDATED"),"PASS","NO — PAPER ONLY")</x:f>
        <x:v>NO — PAPER ONLY</x:v>
      </x:c>
      <x:c r="H17" t="str"/>
      <x:c r="I17" t="str">
        <x:f>IF(G17="PASS","PASS","FAIL")</x:f>
        <x:v>FAIL</x:v>
      </x:c>
      <x:c r="J17" t="str">
        <x:v>Pattern is still unvalidated and confirmed XI is pending.</x:v>
      </x:c>
    </x:row>
    <x:row r="18">
      <x:c r="A18" s="202" t="str">
        <x:v>2.5 / form stats</x:v>
      </x:c>
      <x:c r="B18" s="15" t="str">
        <x:v>https://www.sportsgambler.com/betting-tips/football/sporting-kansas-city-vs-st-louis-city-prediction-lineups-odds-2026-08-19/</x:v>
      </x:c>
      <x:c r="H18" s="195" t="str">
        <x:v>Lineup gate</x:v>
      </x:c>
      <x:c r="I18" t="str">
        <x:v>PENDING</x:v>
      </x:c>
    </x:row>
    <x:row r="19">
      <x:c r="A19" s="202" t="str">
        <x:v>Official kickoff</x:v>
      </x:c>
      <x:c r="B19" s="15" t="str">
        <x:v>https://www.sportingkc.com/news/preview-sporting-kc-hosts-rivals-st-louis-city-sc-on-wednesday-at-sporting-park</x:v>
      </x:c>
      <x:c r="H19" s="195" t="str">
        <x:v>Pattern gate</x:v>
      </x:c>
      <x:c r="I19" t="str">
        <x:v>NOT VALIDATED</x:v>
      </x:c>
    </x:row>
  </x:sheetData>
  <x:mergeCells>
    <x:mergeCell ref="A1:H1"/>
  </x:mergeCells>
  <x:conditionalFormatting sqref="I13:I17">
    <x:cfRule type="expression" dxfId="17" priority="1">
      <x:formula>I13="PASS"</x:formula>
    </x:cfRule>
    <x:cfRule type="expression" dxfId="18" priority="2">
      <x:formula>I13="WATCH"</x:formula>
    </x:cfRule>
    <x:cfRule type="expression" dxfId="19" priority="3">
      <x:formula>I13="FAIL"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8" hidden="0" customWidth="1"/>
    <x:col min="4" max="4" width="30" hidden="0" customWidth="1"/>
    <x:col min="5" max="5" width="14" hidden="0" customWidth="1"/>
    <x:col min="6" max="6" width="38" hidden="0" customWidth="1"/>
    <x:col min="7" max="7" width="32" hidden="0" customWidth="1"/>
    <x:col min="9" max="9" width="28" hidden="0" customWidth="1"/>
    <x:col min="10" max="10" width="20" hidden="0" customWidth="1"/>
  </x:cols>
  <x:sheetData>
    <x:row r="1" ht="28" customHeight="1">
      <x:c r="A1" s="249" t="str">
        <x:v>BETTING INTELLIGENCE v0.1.6 — CONFIRMED LINEUP + SHRINKAGE GATE</x:v>
      </x:c>
      <x:c r="B1" s="249"/>
      <x:c r="C1" s="249"/>
      <x:c r="D1" s="249"/>
      <x:c r="E1" s="249"/>
      <x:c r="F1" s="249"/>
      <x:c r="G1" s="249"/>
      <x:c r="H1" s="249"/>
      <x:c r="I1" s="249"/>
      <x:c r="J1" s="249"/>
    </x:row>
    <x:row r="3">
      <x:c r="A3" s="219" t="str">
        <x:v>Team</x:v>
      </x:c>
      <x:c r="B3" s="219" t="str">
        <x:v>Confirmed XI</x:v>
      </x:c>
      <x:c r="C3" s="219" t="str">
        <x:v>Attack/Defense Note</x:v>
      </x:c>
      <x:c r="D3" s="219" t="str">
        <x:v>Gate Impact</x:v>
      </x:c>
      <x:c r="E3" s="219" t="str">
        <x:v>Source</x:v>
      </x:c>
      <x:c r="F3" s="219" t="str">
        <x:v>Status</x:v>
      </x:c>
      <x:c r="I3" s="231" t="str">
        <x:v>PRICE THRESHOLDS</x:v>
      </x:c>
      <x:c r="J3" s="231" t="str">
        <x:v>Value</x:v>
      </x:c>
    </x:row>
    <x:row r="4">
      <x:c r="A4" s="15" t="str">
        <x:v>Sporting Kansas City</x:v>
      </x:c>
      <x:c r="B4" s="15" t="str">
        <x:v>Cleveland; Karic, Meyer, Blorian, Davis; Capita, Bassong, Lasse Berg Johnsen, Calheira; Harris, Joveljic</x:v>
      </x:c>
      <x:c r="C4" s="15" t="str">
        <x:v>Two forwards start; Blorian starts despite prior questionable tag; Agyabeng and Mosquera suspended.</x:v>
      </x:c>
      <x:c r="D4" s="15" t="str">
        <x:v>Small upward goal-risk adjustment</x:v>
      </x:c>
      <x:c r="E4" s="15" t="str">
        <x:v>https://www.rotowire.com/soccer/lineups.php?league=MLS</x:v>
      </x:c>
      <x:c r="F4" s="223" t="str">
        <x:v>CONFIRMED</x:v>
      </x:c>
      <x:c r="I4" s="233" t="str">
        <x:v>Conservative P</x:v>
      </x:c>
      <x:c r="J4" s="32" t="n">
        <x:f>B15</x:f>
        <x:v>0.6258410276320822</x:v>
      </x:c>
    </x:row>
    <x:row r="5">
      <x:c r="A5" s="15" t="str">
        <x:v>St. Louis CITY SC</x:v>
      </x:c>
      <x:c r="B5" s="15" t="str">
        <x:v>Burki; Baumgartl, MacNaughton, Polvara; Totland, Edelman, Durkin, Wallem; Lowen; Jeong, Becher</x:v>
      </x:c>
      <x:c r="C5" s="15" t="str">
        <x:v>Key attacking creators/forwards start; Hiebert, McSorley and Pompeu remain out.</x:v>
      </x:c>
      <x:c r="D5" s="15" t="str">
        <x:v>No downward attack adjustment</x:v>
      </x:c>
      <x:c r="E5" s="15" t="str">
        <x:v>https://www.rotowire.com/soccer/lineups.php?league=MLS</x:v>
      </x:c>
      <x:c r="F5" s="223" t="str">
        <x:v>CONFIRMED</x:v>
      </x:c>
      <x:c r="I5" s="233" t="str">
        <x:v>Break-even odds</x:v>
      </x:c>
      <x:c r="J5" s="30" t="n">
        <x:f>1/J4</x:f>
        <x:v>1.59784986258184</x:v>
      </x:c>
    </x:row>
    <x:row r="6">
      <x:c r="I6" s="233" t="str">
        <x:v>Odds for +2% EV</x:v>
      </x:c>
      <x:c r="J6" s="30" t="n">
        <x:f>1.02/J4</x:f>
        <x:v>1.6298068598334767</x:v>
      </x:c>
    </x:row>
    <x:row r="7">
      <x:c r="I7" s="233" t="str">
        <x:v>Odds for +3% EV</x:v>
      </x:c>
      <x:c r="J7" s="30" t="n">
        <x:f>1.03/J4</x:f>
        <x:v>1.6457853584592952</x:v>
      </x:c>
    </x:row>
    <x:row r="8">
      <x:c r="A8" s="228" t="str">
        <x:v>Metric</x:v>
      </x:c>
      <x:c r="B8" s="228" t="str">
        <x:v>Value</x:v>
      </x:c>
      <x:c r="C8" s="228" t="str">
        <x:v>Formula / Source</x:v>
      </x:c>
      <x:c r="D8" s="228" t="str">
        <x:v>Rule</x:v>
      </x:c>
      <x:c r="E8" s="228" t="str">
        <x:v>Status</x:v>
      </x:c>
      <x:c r="F8" s="228" t="str">
        <x:v>Interpretation</x:v>
      </x:c>
      <x:c r="G8" s="228" t="str">
        <x:v>Notes</x:v>
      </x:c>
      <x:c r="I8" s="233" t="str">
        <x:v>Odds for +5% EV</x:v>
      </x:c>
      <x:c r="J8" s="30" t="n">
        <x:f>1.05/J4</x:f>
        <x:v>1.677742355710932</x:v>
      </x:c>
    </x:row>
    <x:row r="9">
      <x:c r="A9" t="str">
        <x:v>Weighted pre-lineup λ</x:v>
      </x:c>
      <x:c r="B9" t="n">
        <x:v>2.921</x:v>
      </x:c>
      <x:c r="C9" t="str">
        <x:v>v0.1.5 blended rate+xG model</x:v>
      </x:c>
      <x:c r="D9" t="str">
        <x:v>Baseline only</x:v>
      </x:c>
      <x:c r="E9" t="str">
        <x:v>INFO</x:v>
      </x:c>
      <x:c r="F9" t="str">
        <x:v>Expected total-goal intensity before final XI adjustment</x:v>
      </x:c>
      <x:c r="G9" t="str"/>
      <x:c r="I9" s="233" t="str">
        <x:v>Current observed</x:v>
      </x:c>
      <x:c r="J9" s="30" t="str">
        <x:v>1.625</x:v>
      </x:c>
    </x:row>
    <x:row r="10">
      <x:c r="A10" t="str">
        <x:v>Provisional lineup λ adjustment</x:v>
      </x:c>
      <x:c r="B10" t="n">
        <x:v>0.1</x:v>
      </x:c>
      <x:c r="C10" t="str">
        <x:v>System safety assumption</x:v>
      </x:c>
      <x:c r="D10" t="str">
        <x:v>Do not use a precise lineup boost until learned historically</x:v>
      </x:c>
      <x:c r="E10" t="str">
        <x:v>INFO</x:v>
      </x:c>
      <x:c r="F10" t="str">
        <x:v>Attack-heavy confirmed XIs increase goal-risk slightly</x:v>
      </x:c>
      <x:c r="G10" t="str">
        <x:v>Conservative placeholder, not learned parameter</x:v>
      </x:c>
      <x:c r="I10" s="233" t="str">
        <x:v>Current price status</x:v>
      </x:c>
      <x:c r="J10" t="str">
        <x:f>IF(J9&gt;=J8,"STRONG",IF(J9&gt;=J7,"PAPER PASS",IF(J9&gt;=J6,"WATCH","NO VALUE")))</x:f>
        <x:v>NO VALUE</x:v>
      </x:c>
    </x:row>
    <x:row r="11">
      <x:c r="A11" t="str">
        <x:v>Post-lineup λ</x:v>
      </x:c>
      <x:c r="B11" t="n">
        <x:f>B9+B10</x:f>
        <x:v>3.021</x:v>
      </x:c>
      <x:c r="C11" t="str">
        <x:v>base λ + lineup adjustment</x:v>
      </x:c>
      <x:c r="D11" t="str">
        <x:v>Used for final probability</x:v>
      </x:c>
      <x:c r="E11" t="str">
        <x:v>INFO</x:v>
      </x:c>
      <x:c r="F11" t="str"/>
      <x:c r="G11" t="str"/>
    </x:row>
    <x:row r="12">
      <x:c r="A12" t="str">
        <x:v>Model P Under 3.5</x:v>
      </x:c>
      <x:c r="B12" s="32" t="n">
        <x:f>EXP(-B11)*(1+B11+(B11^2)/2+(B11^3)/6)</x:f>
        <x:v>0.6425271256866996</x:v>
      </x:c>
      <x:c r="C12" t="str">
        <x:v>Poisson P(Total goals &lt;=3)</x:v>
      </x:c>
      <x:c r="D12" t="str">
        <x:v>Raw model</x:v>
      </x:c>
      <x:c r="E12" t="str">
        <x:v>INFO</x:v>
      </x:c>
      <x:c r="F12" t="str"/>
      <x:c r="G12" t="str"/>
    </x:row>
    <x:row r="13">
      <x:c r="A13" t="str">
        <x:v>MLS 2026 Under 3.5 baseline</x:v>
      </x:c>
      <x:c r="B13" s="32" t="n">
        <x:v>0.6091549295774648</x:v>
      </x:c>
      <x:c r="C13" t="str">
        <x:v>173 Under / 284 matches</x:v>
      </x:c>
      <x:c r="D13" t="str">
        <x:v>League prior</x:v>
      </x:c>
      <x:c r="E13" t="str">
        <x:v>INFO</x:v>
      </x:c>
      <x:c r="F13" t="str">
        <x:v>League-wide prior before matchup-specific evidence</x:v>
      </x:c>
      <x:c r="G13" t="str"/>
      <x:c r="I13" s="246" t="str">
        <x:v>FINAL GATE</x:v>
      </x:c>
      <x:c r="J13" s="246" t="str">
        <x:v>Status</x:v>
      </x:c>
    </x:row>
    <x:row r="14">
      <x:c r="A14" t="str">
        <x:v>Unvalidated-model shrinkage</x:v>
      </x:c>
      <x:c r="B14" s="32" t="n">
        <x:v>0.5</x:v>
      </x:c>
      <x:c r="C14" t="str">
        <x:v>Provisional system rule</x:v>
      </x:c>
      <x:c r="D14" t="str">
        <x:v>50% model + 50% league baseline</x:v>
      </x:c>
      <x:c r="E14" t="str">
        <x:v>SAFETY</x:v>
      </x:c>
      <x:c r="F14" t="str">
        <x:v>Reduces overconfidence before historical validation</x:v>
      </x:c>
      <x:c r="G14" t="str"/>
      <x:c r="I14" s="248" t="str">
        <x:v>Confirmed lineup</x:v>
      </x:c>
      <x:c r="J14" t="str">
        <x:v>PASS</x:v>
      </x:c>
    </x:row>
    <x:row r="15">
      <x:c r="A15" t="str">
        <x:v>Conservative P Under 3.5</x:v>
      </x:c>
      <x:c r="B15" s="32" t="n">
        <x:f>B14*B12+(1-B14)*B13</x:f>
        <x:v>0.6258410276320822</x:v>
      </x:c>
      <x:c r="C15" t="str">
        <x:v>Shrink raw model toward MLS baseline</x:v>
      </x:c>
      <x:c r="D15" t="str">
        <x:v>Used for price gate</x:v>
      </x:c>
      <x:c r="E15" t="str">
        <x:v>INFO</x:v>
      </x:c>
      <x:c r="F15" t="str"/>
      <x:c r="G15" t="str"/>
      <x:c r="I15" s="248" t="str">
        <x:v>Pre-kick snapshot</x:v>
      </x:c>
      <x:c r="J15" t="str">
        <x:v>PASS</x:v>
      </x:c>
    </x:row>
    <x:row r="16">
      <x:c r="A16" t="str">
        <x:v>Observed Under 3.5 odds</x:v>
      </x:c>
      <x:c r="B16" t="n">
        <x:v>1.625</x:v>
      </x:c>
      <x:c r="C16" t="str">
        <x:v>FOX: -160</x:v>
      </x:c>
      <x:c r="D16" t="str">
        <x:v>Use observed price, not remembered price</x:v>
      </x:c>
      <x:c r="E16" t="str">
        <x:v>INFO</x:v>
      </x:c>
      <x:c r="F16" t="str"/>
      <x:c r="G16" t="str"/>
      <x:c r="I16" s="248" t="str">
        <x:v>Raw model edge vs fair market</x:v>
      </x:c>
      <x:c r="J16" s="32" t="n">
        <x:f>B12-B18</x:f>
        <x:v>0.06736372699388915</x:v>
      </x:c>
    </x:row>
    <x:row r="17">
      <x:c r="A17" t="str">
        <x:v>Observed Over 3.5 odds</x:v>
      </x:c>
      <x:c r="B17" t="n">
        <x:v>2.2</x:v>
      </x:c>
      <x:c r="C17" t="str">
        <x:v>FOX: +120</x:v>
      </x:c>
      <x:c r="D17" t="str">
        <x:v>Paired line for de-vig</x:v>
      </x:c>
      <x:c r="E17" t="str">
        <x:v>INFO</x:v>
      </x:c>
      <x:c r="F17" t="str"/>
      <x:c r="G17" t="str"/>
      <x:c r="I17" s="248" t="str">
        <x:v>Conservative EV @ observed price</x:v>
      </x:c>
      <x:c r="J17" s="32" t="n">
        <x:f>B20</x:f>
        <x:v>0.01699166990213352</x:v>
      </x:c>
    </x:row>
    <x:row r="18">
      <x:c r="A18" t="str">
        <x:v>Market fair P Under 3.5</x:v>
      </x:c>
      <x:c r="B18" s="32" t="n">
        <x:f>(1/B16)/((1/B16)+(1/B17))</x:f>
        <x:v>0.5751633986928104</x:v>
      </x:c>
      <x:c r="C18" t="str">
        <x:v>De-vig paired odds</x:v>
      </x:c>
      <x:c r="D18" t="str">
        <x:v>Benchmark</x:v>
      </x:c>
      <x:c r="E18" t="str">
        <x:v>INFO</x:v>
      </x:c>
      <x:c r="F18" t="str"/>
      <x:c r="G18" t="str"/>
      <x:c r="I18" s="248" t="str">
        <x:v>Paper price threshold</x:v>
      </x:c>
      <x:c r="J18" t="str">
        <x:f>IF(J9&gt;=J7,"PASS",IF(J9&gt;=J6,"WATCH","FAIL"))</x:f>
        <x:v>FAIL</x:v>
      </x:c>
    </x:row>
    <x:row r="19">
      <x:c r="A19" t="str">
        <x:v>Break-even P at offered odds</x:v>
      </x:c>
      <x:c r="B19" s="32" t="n">
        <x:f>1/B16</x:f>
        <x:v>0.6153846153846154</x:v>
      </x:c>
      <x:c r="C19" t="str">
        <x:v>1 / Under odds</x:v>
      </x:c>
      <x:c r="D19" t="str">
        <x:v>Must be below our probability</x:v>
      </x:c>
      <x:c r="E19" t="str">
        <x:v>THRESHOLD</x:v>
      </x:c>
      <x:c r="F19" t="str"/>
      <x:c r="G19" t="str"/>
      <x:c r="I19" s="248" t="str">
        <x:v>Historical matched validation</x:v>
      </x:c>
      <x:c r="J19" t="str">
        <x:v>FAIL</x:v>
      </x:c>
    </x:row>
    <x:row r="20">
      <x:c r="A20" t="str">
        <x:v>Conservative model EV</x:v>
      </x:c>
      <x:c r="B20" s="32" t="n">
        <x:f>B15*B16-1</x:f>
        <x:v>0.01699166990213352</x:v>
      </x:c>
      <x:c r="C20" t="str">
        <x:v>P × odds - 1</x:v>
      </x:c>
      <x:c r="D20" t="str">
        <x:v>+3% preferred for paper gate</x:v>
      </x:c>
      <x:c r="E20" t="str">
        <x:v>WATCH</x:v>
      </x:c>
      <x:c r="F20" t="str"/>
      <x:c r="G20" t="str"/>
      <x:c r="I20" s="248" t="str">
        <x:v>Robustness under +0.20 λ</x:v>
      </x:c>
      <x:c r="J20" t="str">
        <x:f>IF(E26&gt;0,"PASS","FAIL")</x:f>
        <x:v>FAIL</x:v>
      </x:c>
    </x:row>
    <x:row r="21">
      <x:c r="I21" s="248" t="str">
        <x:v>Real-money gate</x:v>
      </x:c>
      <x:c r="J21" t="str">
        <x:v>NO</x:v>
      </x:c>
    </x:row>
    <x:row r="22">
      <x:c r="I22" s="248" t="str">
        <x:v>Paper-test gate</x:v>
      </x:c>
      <x:c r="J22" t="str">
        <x:f>IF(AND(J14="PASS",J15="PASS",J17&gt;0,J18&lt;&gt;"FAIL"),"PASS","WATCH")</x:f>
        <x:v>WATCH</x:v>
      </x:c>
    </x:row>
    <x:row r="23">
      <x:c r="A23" s="238" t="str">
        <x:v>Lineup λ adjustment</x:v>
      </x:c>
      <x:c r="B23" s="238" t="str">
        <x:v>Total λ</x:v>
      </x:c>
      <x:c r="C23" s="238" t="str">
        <x:v>Raw P U3.5</x:v>
      </x:c>
      <x:c r="D23" s="238" t="str">
        <x:v>Shrunk P U3.5</x:v>
      </x:c>
      <x:c r="E23" s="238" t="str">
        <x:v>EV @1.625</x:v>
      </x:c>
      <x:c r="F23" s="238" t="str">
        <x:v>Price for +3% EV</x:v>
      </x:c>
      <x:c r="G23" s="238" t="str">
        <x:v>Interpretation</x:v>
      </x:c>
      <x:c r="I23" s="248" t="str">
        <x:v>Decision</x:v>
      </x:c>
      <x:c r="J23" t="str">
        <x:f>IF(J21="NO","PAPER ONLY — Under 3.5","REVIEW")</x:f>
        <x:v>PAPER ONLY — Under 3.5</x:v>
      </x:c>
    </x:row>
    <x:row r="24">
      <x:c r="A24" s="30" t="n">
        <x:v>0</x:v>
      </x:c>
      <x:c r="B24" s="96" t="n">
        <x:f>$B$9+A24</x:f>
        <x:v>2.921</x:v>
      </x:c>
      <x:c r="C24" s="32" t="n">
        <x:f>EXP(-B24)*(1+B24+(B24^2)/2+(B24^3)/6)</x:f>
        <x:v>0.6649249747173935</x:v>
      </x:c>
      <x:c r="D24" s="32" t="n">
        <x:f>$B$14*C24+(1-$B$14)*$B$13</x:f>
        <x:v>0.6370399521474291</x:v>
      </x:c>
      <x:c r="E24" s="32" t="n">
        <x:f>D24*$B$16-1</x:f>
        <x:v>0.0351899222395724</x:v>
      </x:c>
      <x:c r="F24" s="30" t="n">
        <x:f>1.03/D24</x:f>
        <x:v>1.61685306632327</x:v>
      </x:c>
      <x:c r="G24" t="str">
        <x:v>No lineup penalty</x:v>
      </x:c>
    </x:row>
    <x:row r="25">
      <x:c r="A25" s="30" t="n">
        <x:v>0.1</x:v>
      </x:c>
      <x:c r="B25" s="96" t="n">
        <x:f>$B$9+A25</x:f>
        <x:v>3.021</x:v>
      </x:c>
      <x:c r="C25" s="32" t="n">
        <x:f>EXP(-B25)*(1+B25+(B25^2)/2+(B25^3)/6)</x:f>
        <x:v>0.6425271256866996</x:v>
      </x:c>
      <x:c r="D25" s="32" t="n">
        <x:f>$B$14*C25+(1-$B$14)*$B$13</x:f>
        <x:v>0.6258410276320822</x:v>
      </x:c>
      <x:c r="E25" s="32" t="n">
        <x:f>D25*$B$16-1</x:f>
        <x:v>0.01699166990213352</x:v>
      </x:c>
      <x:c r="F25" s="30" t="n">
        <x:f>1.03/D25</x:f>
        <x:v>1.6457853584592952</x:v>
      </x:c>
      <x:c r="G25" t="str">
        <x:v>Current provisional final estimate</x:v>
      </x:c>
      <x:c r="I25" s="283" t="str">
        <x:v>v0.1.7 VALIDATION</x:v>
      </x:c>
      <x:c r="J25" s="283" t="str">
        <x:v>Result</x:v>
      </x:c>
    </x:row>
    <x:row r="26">
      <x:c r="A26" s="30" t="n">
        <x:v>0.2</x:v>
      </x:c>
      <x:c r="B26" s="96" t="n">
        <x:f>$B$9+A26</x:f>
        <x:v>3.121</x:v>
      </x:c>
      <x:c r="C26" s="32" t="n">
        <x:f>EXP(-B26)*(1+B26+(B26^2)/2+(B26^3)/6)</x:f>
        <x:v>0.6201444306280074</x:v>
      </x:c>
      <x:c r="D26" s="32" t="n">
        <x:f>$B$14*C26+(1-$B$14)*$B$13</x:f>
        <x:v>0.6146496801027361</x:v>
      </x:c>
      <x:c r="E26" s="32" t="n">
        <x:f>D26*$B$16-1</x:f>
        <x:v>-0.0011942698330538182</x:v>
      </x:c>
      <x:c r="F26" s="30" t="n">
        <x:f>1.03/D26</x:f>
        <x:v>1.6757512992243644</x:v>
      </x:c>
      <x:c r="G26" t="str">
        <x:v>Moderate attack-risk scenario</x:v>
      </x:c>
      <x:c r="I26" s="284" t="str">
        <x:v>Tight sample</x:v>
      </x:c>
      <x:c r="J26" s="15" t="str">
        <x:v>5/5</x:v>
      </x:c>
    </x:row>
    <x:row r="27">
      <x:c r="A27" s="30" t="n">
        <x:v>0.3</x:v>
      </x:c>
      <x:c r="B27" s="96" t="n">
        <x:f>$B$9+A27</x:f>
        <x:v>3.2209999999999996</x:v>
      </x:c>
      <x:c r="C27" s="32" t="n">
        <x:f>EXP(-B27)*(1+B27+(B27^2)/2+(B27^3)/6)</x:f>
        <x:v>0.5978479555771207</x:v>
      </x:c>
      <x:c r="D27" s="32" t="n">
        <x:f>$B$14*C27+(1-$B$14)*$B$13</x:f>
        <x:v>0.6035014425772927</x:v>
      </x:c>
      <x:c r="E27" s="32" t="n">
        <x:f>D27*$B$16-1</x:f>
        <x:v>-0.019310155811899432</x:v>
      </x:c>
      <x:c r="F27" s="30" t="n">
        <x:f>1.03/D27</x:f>
        <x:v>1.7067067737258708</x:v>
      </x:c>
      <x:c r="G27" t="str">
        <x:v>High attack-risk scenario</x:v>
      </x:c>
      <x:c r="I27" s="284" t="str">
        <x:v>Near-neighbour</x:v>
      </x:c>
      <x:c r="J27" s="15" t="str">
        <x:v>6/10; ROI ~0%</x:v>
      </x:c>
    </x:row>
    <x:row r="28">
      <x:c r="I28" s="284" t="str">
        <x:v>Medium</x:v>
      </x:c>
      <x:c r="J28" s="15" t="str">
        <x:v>8/12; positive ROI</x:v>
      </x:c>
    </x:row>
    <x:row r="29">
      <x:c r="I29" s="284" t="str">
        <x:v>Broad</x:v>
      </x:c>
      <x:c r="J29" s="15" t="str">
        <x:v>10/14; positive ROI</x:v>
      </x:c>
    </x:row>
    <x:row r="30">
      <x:c r="A30" s="243" t="str">
        <x:v>Validation Layer</x:v>
      </x:c>
      <x:c r="B30" s="243" t="str">
        <x:v>Evidence</x:v>
      </x:c>
      <x:c r="C30" s="243" t="str">
        <x:v>N</x:v>
      </x:c>
      <x:c r="D30" s="243" t="str">
        <x:v>Observed Rate</x:v>
      </x:c>
      <x:c r="E30" s="243" t="str">
        <x:v>Use</x:v>
      </x:c>
      <x:c r="F30" s="243" t="str">
        <x:v>Status</x:v>
      </x:c>
      <x:c r="G30" s="243" t="str">
        <x:v>Source</x:v>
      </x:c>
      <x:c r="I30" s="284" t="str">
        <x:v>Stability</x:v>
      </x:c>
      <x:c r="J30" s="15" t="str">
        <x:v>FAIL / MIXED</x:v>
      </x:c>
    </x:row>
    <x:row r="31">
      <x:c r="A31" s="15" t="str">
        <x:v>League prior</x:v>
      </x:c>
      <x:c r="B31" s="15" t="str">
        <x:v>MLS 2026 Under 3.5</x:v>
      </x:c>
      <x:c r="C31" s="15" t="n">
        <x:v>284</x:v>
      </x:c>
      <x:c r="D31" s="125" t="n">
        <x:v>0.6091549295774648</x:v>
      </x:c>
      <x:c r="E31" s="15" t="str">
        <x:v>Shrinkage prior only</x:v>
      </x:c>
      <x:c r="F31" s="15" t="str">
        <x:v>AVAILABLE</x:v>
      </x:c>
      <x:c r="G31" s="15" t="str">
        <x:v>https://www.betstudy.com/soccer-stats/c/usa/mls/d/under-over/</x:v>
      </x:c>
      <x:c r="I31" s="284" t="str">
        <x:v>Pattern status</x:v>
      </x:c>
      <x:c r="J31" s="15" t="str">
        <x:v>NOT VALIDATED</x:v>
      </x:c>
    </x:row>
    <x:row r="32">
      <x:c r="A32" s="15" t="str">
        <x:v>Independent league cross-check</x:v>
      </x:c>
      <x:c r="B32" s="15" t="str">
        <x:v>FootyStats MLS Under 3.5</x:v>
      </x:c>
      <x:c r="C32" s="15"/>
      <x:c r="D32" s="125" t="n">
        <x:v>0.61</x:v>
      </x:c>
      <x:c r="E32" s="15" t="str">
        <x:v>Confirms league baseline</x:v>
      </x:c>
      <x:c r="F32" s="15" t="str">
        <x:v>AVAILABLE</x:v>
      </x:c>
      <x:c r="G32" s="15" t="str">
        <x:v>https://footystats.org/usa/mls</x:v>
      </x:c>
    </x:row>
    <x:row r="33">
      <x:c r="A33" s="15" t="str">
        <x:v>Historical closing-odds source</x:v>
      </x:c>
      <x:c r="B33" s="15" t="str">
        <x:v>Under 3.5 closing odds + outcomes available by league/team</x:v>
      </x:c>
      <x:c r="C33" s="15"/>
      <x:c r="D33" s="15"/>
      <x:c r="E33" s="15" t="str">
        <x:v>Build matched backtest sample</x:v>
      </x:c>
      <x:c r="F33" s="15" t="str">
        <x:v>SOURCE FOUND</x:v>
      </x:c>
      <x:c r="G33" s="15" t="str">
        <x:v>https://footiqo.com/database/</x:v>
      </x:c>
    </x:row>
    <x:row r="34">
      <x:c r="A34" s="15" t="str">
        <x:v>Pattern #002 matched sample</x:v>
      </x:c>
      <x:c r="B34" s="15" t="str">
        <x:v>λ 2.7–3.1 + short Over 2.5 + U3.5 price 1.55–1.75</x:v>
      </x:c>
      <x:c r="C34" s="15" t="n">
        <x:v>0</x:v>
      </x:c>
      <x:c r="D34" s="15"/>
      <x:c r="E34" s="15" t="str">
        <x:v>Required before real-money validation</x:v>
      </x:c>
      <x:c r="F34" s="15" t="str">
        <x:v>NOT YET VALIDATED</x:v>
      </x:c>
      <x:c r="G34" s="15" t="str">
        <x:v>Pending historical extraction</x:v>
      </x:c>
    </x:row>
  </x:sheetData>
  <x:mergeCells>
    <x:mergeCell ref="A1:J1"/>
  </x:mergeCells>
  <x:conditionalFormatting sqref="J14:J23">
    <x:cfRule type="expression" dxfId="20" priority="1">
      <x:formula>J14="PASS"</x:formula>
    </x:cfRule>
    <x:cfRule type="expression" dxfId="21" priority="2">
      <x:formula>J14="WATCH"</x:formula>
    </x:cfRule>
    <x:cfRule type="expression" dxfId="22" priority="3">
      <x:formula>J14="FAIL"</x:formula>
    </x:cfRule>
    <x:cfRule type="expression" dxfId="23" priority="4">
      <x:formula>J14="NO"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42" hidden="0" customWidth="1"/>
  </x:cols>
  <x:sheetData>
    <x:row r="1" ht="28" customHeight="1">
      <x:c r="A1" s="264" t="str">
        <x:v>BETTING INTELLIGENCE v0.1.7 — PATTERN #002 VALIDATION BATCH 1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64"/>
      <x:c r="L1" s="264"/>
      <x:c r="M1" s="264"/>
      <x:c r="N1" s="264"/>
    </x:row>
    <x:row r="3">
      <x:c r="A3" s="263" t="str">
        <x:v>Match_ID</x:v>
      </x:c>
      <x:c r="B3" s="263" t="str">
        <x:v>Date</x:v>
      </x:c>
      <x:c r="C3" s="263" t="str">
        <x:v>Home</x:v>
      </x:c>
      <x:c r="D3" s="263" t="str">
        <x:v>Away</x:v>
      </x:c>
      <x:c r="E3" s="263" t="str">
        <x:v>HG</x:v>
      </x:c>
      <x:c r="F3" s="263" t="str">
        <x:v>AG</x:v>
      </x:c>
      <x:c r="G3" s="263" t="str">
        <x:v>Total</x:v>
      </x:c>
      <x:c r="H3" s="263" t="str">
        <x:v>O2.5</x:v>
      </x:c>
      <x:c r="I3" s="263" t="str">
        <x:v>U2.5</x:v>
      </x:c>
      <x:c r="J3" s="263" t="str">
        <x:v>O3.5</x:v>
      </x:c>
      <x:c r="K3" s="263" t="str">
        <x:v>U3.5</x:v>
      </x:c>
      <x:c r="L3" s="263" t="str">
        <x:v>U3.5_Result</x:v>
      </x:c>
      <x:c r="M3" s="263" t="str">
        <x:v>U3.5_Profit</x:v>
      </x:c>
      <x:c r="N3" s="263" t="str">
        <x:v>Source</x:v>
      </x:c>
    </x:row>
    <x:row r="4">
      <x:c r="A4" t="str">
        <x:v>97190</x:v>
      </x:c>
      <x:c r="B4" s="28" t="str">
        <x:v>2026-02-21</x:v>
      </x:c>
      <x:c r="C4" t="str">
        <x:v>St. Louis City</x:v>
      </x:c>
      <x:c r="D4" t="str">
        <x:v>Charlotte</x:v>
      </x:c>
      <x:c r="E4" t="n">
        <x:v>1</x:v>
      </x:c>
      <x:c r="F4" t="n">
        <x:v>1</x:v>
      </x:c>
      <x:c r="G4" t="n">
        <x:f>E4+F4</x:f>
        <x:v>2</x:v>
      </x:c>
      <x:c r="H4" s="30" t="n">
        <x:v>1.75</x:v>
      </x:c>
      <x:c r="I4" s="30" t="n">
        <x:v>2.1</x:v>
      </x:c>
      <x:c r="J4" s="30" t="n">
        <x:v>2.82</x:v>
      </x:c>
      <x:c r="K4" s="30" t="n">
        <x:v>1.45</x:v>
      </x:c>
      <x:c r="L4" t="str">
        <x:f>IF(G4&lt;=3,"WIN","LOSS")</x:f>
        <x:v>WIN</x:v>
      </x:c>
      <x:c r="M4" s="30" t="n">
        <x:f>IF(L4="WIN",K4-1,-1)</x:f>
        <x:v>0.44999999999999996</x:v>
      </x:c>
      <x:c r="N4" t="str">
        <x:v>https://footiqo.com/database/leagues/usa-mls/</x:v>
      </x:c>
    </x:row>
    <x:row r="5">
      <x:c r="A5" t="str">
        <x:v>97189</x:v>
      </x:c>
      <x:c r="B5" s="28" t="str">
        <x:v>2026-02-21</x:v>
      </x:c>
      <x:c r="C5" t="str">
        <x:v>FC Cincinnati</x:v>
      </x:c>
      <x:c r="D5" t="str">
        <x:v>Atlanta Utd</x:v>
      </x:c>
      <x:c r="E5" t="n">
        <x:v>2</x:v>
      </x:c>
      <x:c r="F5" t="n">
        <x:v>0</x:v>
      </x:c>
      <x:c r="G5" t="n">
        <x:f>E5+F5</x:f>
        <x:v>2</x:v>
      </x:c>
      <x:c r="H5" s="30" t="n">
        <x:v>1.75</x:v>
      </x:c>
      <x:c r="I5" s="30" t="n">
        <x:v>2.17</x:v>
      </x:c>
      <x:c r="J5" s="30" t="n">
        <x:v>2.57</x:v>
      </x:c>
      <x:c r="K5" s="30" t="n">
        <x:v>1.4</x:v>
      </x:c>
      <x:c r="L5" t="str">
        <x:f>IF(G5&lt;=3,"WIN","LOSS")</x:f>
        <x:v>WIN</x:v>
      </x:c>
      <x:c r="M5" s="30" t="n">
        <x:f>IF(L5="WIN",K5-1,-1)</x:f>
        <x:v>0.3999999999999999</x:v>
      </x:c>
      <x:c r="N5" t="str">
        <x:v>https://footiqo.com/database/leagues/usa-mls/</x:v>
      </x:c>
    </x:row>
    <x:row r="6">
      <x:c r="A6" t="str">
        <x:v>97193</x:v>
      </x:c>
      <x:c r="B6" s="28" t="str">
        <x:v>2026-02-22</x:v>
      </x:c>
      <x:c r="C6" t="str">
        <x:v>DC United</x:v>
      </x:c>
      <x:c r="D6" t="str">
        <x:v>Philadelphia Union</x:v>
      </x:c>
      <x:c r="E6" t="n">
        <x:v>1</x:v>
      </x:c>
      <x:c r="F6" t="n">
        <x:v>0</x:v>
      </x:c>
      <x:c r="G6" t="n">
        <x:f>E6+F6</x:f>
        <x:v>1</x:v>
      </x:c>
      <x:c r="H6" s="30" t="n">
        <x:v>2.32</x:v>
      </x:c>
      <x:c r="I6" s="30" t="n">
        <x:v>1.67</x:v>
      </x:c>
      <x:c r="J6" s="30" t="n">
        <x:v>4.05</x:v>
      </x:c>
      <x:c r="K6" s="30" t="n">
        <x:v>1.25</x:v>
      </x:c>
      <x:c r="L6" t="str">
        <x:f>IF(G6&lt;=3,"WIN","LOSS")</x:f>
        <x:v>WIN</x:v>
      </x:c>
      <x:c r="M6" s="30" t="n">
        <x:f>IF(L6="WIN",K6-1,-1)</x:f>
        <x:v>0.25</x:v>
      </x:c>
      <x:c r="N6" t="str">
        <x:v>https://footiqo.com/database/leagues/usa-mls/</x:v>
      </x:c>
    </x:row>
    <x:row r="7">
      <x:c r="A7" t="str">
        <x:v>97194</x:v>
      </x:c>
      <x:c r="B7" s="28" t="str">
        <x:v>2026-02-22</x:v>
      </x:c>
      <x:c r="C7" t="str">
        <x:v>Orlando City</x:v>
      </x:c>
      <x:c r="D7" t="str">
        <x:v>New York Red Bulls</x:v>
      </x:c>
      <x:c r="E7" t="n">
        <x:v>1</x:v>
      </x:c>
      <x:c r="F7" t="n">
        <x:v>2</x:v>
      </x:c>
      <x:c r="G7" t="n">
        <x:f>E7+F7</x:f>
        <x:v>3</x:v>
      </x:c>
      <x:c r="H7" s="30" t="n">
        <x:v>1.66</x:v>
      </x:c>
      <x:c r="I7" s="30" t="n">
        <x:v>2.25</x:v>
      </x:c>
      <x:c r="J7" s="30" t="n">
        <x:v>2.53</x:v>
      </x:c>
      <x:c r="K7" s="30" t="n">
        <x:v>1.54</x:v>
      </x:c>
      <x:c r="L7" t="str">
        <x:f>IF(G7&lt;=3,"WIN","LOSS")</x:f>
        <x:v>WIN</x:v>
      </x:c>
      <x:c r="M7" s="30" t="n">
        <x:f>IF(L7="WIN",K7-1,-1)</x:f>
        <x:v>0.54</x:v>
      </x:c>
      <x:c r="N7" t="str">
        <x:v>https://footiqo.com/database/leagues/usa-mls/</x:v>
      </x:c>
    </x:row>
    <x:row r="8">
      <x:c r="A8" t="str">
        <x:v>97195</x:v>
      </x:c>
      <x:c r="B8" s="28" t="str">
        <x:v>2026-02-22</x:v>
      </x:c>
      <x:c r="C8" t="str">
        <x:v>Vancouver Whitecaps</x:v>
      </x:c>
      <x:c r="D8" t="str">
        <x:v>Real Salt Lake</x:v>
      </x:c>
      <x:c r="E8" t="n">
        <x:v>1</x:v>
      </x:c>
      <x:c r="F8" t="n">
        <x:v>0</x:v>
      </x:c>
      <x:c r="G8" t="n">
        <x:f>E8+F8</x:f>
        <x:v>1</x:v>
      </x:c>
      <x:c r="H8" s="30" t="n">
        <x:v>1.46</x:v>
      </x:c>
      <x:c r="I8" s="30" t="n">
        <x:v>2.75</x:v>
      </x:c>
      <x:c r="J8" s="30" t="n">
        <x:v>2.21</x:v>
      </x:c>
      <x:c r="K8" s="30" t="n">
        <x:v>1.73</x:v>
      </x:c>
      <x:c r="L8" t="str">
        <x:f>IF(G8&lt;=3,"WIN","LOSS")</x:f>
        <x:v>WIN</x:v>
      </x:c>
      <x:c r="M8" s="30" t="n">
        <x:f>IF(L8="WIN",K8-1,-1)</x:f>
        <x:v>0.73</x:v>
      </x:c>
      <x:c r="N8" t="str">
        <x:v>https://footiqo.com/database/leagues/usa-mls/</x:v>
      </x:c>
    </x:row>
    <x:row r="9">
      <x:c r="A9" t="str">
        <x:v>97197</x:v>
      </x:c>
      <x:c r="B9" s="28" t="str">
        <x:v>2026-02-22</x:v>
      </x:c>
      <x:c r="C9" t="str">
        <x:v>Austin FC</x:v>
      </x:c>
      <x:c r="D9" t="str">
        <x:v>Minnesota United</x:v>
      </x:c>
      <x:c r="E9" t="n">
        <x:v>2</x:v>
      </x:c>
      <x:c r="F9" t="n">
        <x:v>2</x:v>
      </x:c>
      <x:c r="G9" t="n">
        <x:f>E9+F9</x:f>
        <x:v>4</x:v>
      </x:c>
      <x:c r="H9" s="30" t="n">
        <x:v>2.06</x:v>
      </x:c>
      <x:c r="I9" s="30" t="n">
        <x:v>1.83</x:v>
      </x:c>
      <x:c r="J9" s="30" t="n">
        <x:v>3.37</x:v>
      </x:c>
      <x:c r="K9" s="30" t="n">
        <x:v>1.34</x:v>
      </x:c>
      <x:c r="L9" t="str">
        <x:f>IF(G9&lt;=3,"WIN","LOSS")</x:f>
        <x:v>LOSS</x:v>
      </x:c>
      <x:c r="M9" s="30" t="n">
        <x:f>IF(L9="WIN",K9-1,-1)</x:f>
        <x:v>-1</x:v>
      </x:c>
      <x:c r="N9" t="str">
        <x:v>https://footiqo.com/database/leagues/usa-mls/</x:v>
      </x:c>
    </x:row>
    <x:row r="10">
      <x:c r="A10" t="str">
        <x:v>97198</x:v>
      </x:c>
      <x:c r="B10" s="28" t="str">
        <x:v>2026-02-22</x:v>
      </x:c>
      <x:c r="C10" t="str">
        <x:v>FC Dallas</x:v>
      </x:c>
      <x:c r="D10" t="str">
        <x:v>Toronto FC</x:v>
      </x:c>
      <x:c r="E10" t="n">
        <x:v>3</x:v>
      </x:c>
      <x:c r="F10" t="n">
        <x:v>2</x:v>
      </x:c>
      <x:c r="G10" t="n">
        <x:f>E10+F10</x:f>
        <x:v>5</x:v>
      </x:c>
      <x:c r="H10" s="30" t="n">
        <x:v>1.89</x:v>
      </x:c>
      <x:c r="I10" s="30" t="n">
        <x:v>2</x:v>
      </x:c>
      <x:c r="J10" s="30" t="n">
        <x:v>3.01</x:v>
      </x:c>
      <x:c r="K10" s="30" t="n">
        <x:v>1.4</x:v>
      </x:c>
      <x:c r="L10" t="str">
        <x:f>IF(G10&lt;=3,"WIN","LOSS")</x:f>
        <x:v>LOSS</x:v>
      </x:c>
      <x:c r="M10" s="30" t="n">
        <x:f>IF(L10="WIN",K10-1,-1)</x:f>
        <x:v>-1</x:v>
      </x:c>
      <x:c r="N10" t="str">
        <x:v>https://footiqo.com/database/leagues/usa-mls/</x:v>
      </x:c>
    </x:row>
    <x:row r="11">
      <x:c r="A11" t="str">
        <x:v>97199</x:v>
      </x:c>
      <x:c r="B11" s="28" t="str">
        <x:v>2026-02-22</x:v>
      </x:c>
      <x:c r="C11" t="str">
        <x:v>Houston Dynamo</x:v>
      </x:c>
      <x:c r="D11" t="str">
        <x:v>Chicago Fire</x:v>
      </x:c>
      <x:c r="E11" t="n">
        <x:v>2</x:v>
      </x:c>
      <x:c r="F11" t="n">
        <x:v>1</x:v>
      </x:c>
      <x:c r="G11" t="n">
        <x:f>E11+F11</x:f>
        <x:v>3</x:v>
      </x:c>
      <x:c r="H11" s="30" t="n">
        <x:v>1.75</x:v>
      </x:c>
      <x:c r="I11" s="30" t="n">
        <x:v>2.1</x:v>
      </x:c>
      <x:c r="J11" s="30" t="n">
        <x:v>2.82</x:v>
      </x:c>
      <x:c r="K11" s="30" t="n">
        <x:v>1.45</x:v>
      </x:c>
      <x:c r="L11" t="str">
        <x:f>IF(G11&lt;=3,"WIN","LOSS")</x:f>
        <x:v>WIN</x:v>
      </x:c>
      <x:c r="M11" s="30" t="n">
        <x:f>IF(L11="WIN",K11-1,-1)</x:f>
        <x:v>0.44999999999999996</x:v>
      </x:c>
      <x:c r="N11" t="str">
        <x:v>https://footiqo.com/database/leagues/usa-mls/</x:v>
      </x:c>
    </x:row>
    <x:row r="12">
      <x:c r="A12" t="str">
        <x:v>97200</x:v>
      </x:c>
      <x:c r="B12" s="28" t="str">
        <x:v>2026-02-22</x:v>
      </x:c>
      <x:c r="C12" t="str">
        <x:v>Nashville SC</x:v>
      </x:c>
      <x:c r="D12" t="str">
        <x:v>New England Revolution</x:v>
      </x:c>
      <x:c r="E12" t="n">
        <x:v>4</x:v>
      </x:c>
      <x:c r="F12" t="n">
        <x:v>1</x:v>
      </x:c>
      <x:c r="G12" t="n">
        <x:f>E12+F12</x:f>
        <x:v>5</x:v>
      </x:c>
      <x:c r="H12" s="30" t="n">
        <x:v>1.6</x:v>
      </x:c>
      <x:c r="I12" s="30" t="n">
        <x:v>2.38</x:v>
      </x:c>
      <x:c r="J12" s="30" t="n">
        <x:v>2.53</x:v>
      </x:c>
      <x:c r="K12" s="30" t="n">
        <x:v>1.54</x:v>
      </x:c>
      <x:c r="L12" t="str">
        <x:f>IF(G12&lt;=3,"WIN","LOSS")</x:f>
        <x:v>LOSS</x:v>
      </x:c>
      <x:c r="M12" s="30" t="n">
        <x:f>IF(L12="WIN",K12-1,-1)</x:f>
        <x:v>-1</x:v>
      </x:c>
      <x:c r="N12" t="str">
        <x:v>https://footiqo.com/database/leagues/usa-mls/</x:v>
      </x:c>
    </x:row>
    <x:row r="13">
      <x:c r="A13" t="str">
        <x:v>97201</x:v>
      </x:c>
      <x:c r="B13" s="28" t="str">
        <x:v>2026-02-22</x:v>
      </x:c>
      <x:c r="C13" t="str">
        <x:v>Los Angeles FC</x:v>
      </x:c>
      <x:c r="D13" t="str">
        <x:v>Inter Miami</x:v>
      </x:c>
      <x:c r="E13" t="n">
        <x:v>3</x:v>
      </x:c>
      <x:c r="F13" t="n">
        <x:v>0</x:v>
      </x:c>
      <x:c r="G13" t="n">
        <x:f>E13+F13</x:f>
        <x:v>3</x:v>
      </x:c>
      <x:c r="H13" s="30" t="n">
        <x:v>1.46</x:v>
      </x:c>
      <x:c r="I13" s="30" t="n">
        <x:v>2.77</x:v>
      </x:c>
      <x:c r="J13" s="30" t="n">
        <x:v>2.21</x:v>
      </x:c>
      <x:c r="K13" s="30" t="n">
        <x:v>1.73</x:v>
      </x:c>
      <x:c r="L13" t="str">
        <x:f>IF(G13&lt;=3,"WIN","LOSS")</x:f>
        <x:v>WIN</x:v>
      </x:c>
      <x:c r="M13" s="30" t="n">
        <x:f>IF(L13="WIN",K13-1,-1)</x:f>
        <x:v>0.73</x:v>
      </x:c>
      <x:c r="N13" t="str">
        <x:v>https://footiqo.com/database/leagues/usa-mls/</x:v>
      </x:c>
    </x:row>
    <x:row r="14">
      <x:c r="A14" t="str">
        <x:v>97202</x:v>
      </x:c>
      <x:c r="B14" s="28" t="str">
        <x:v>2026-02-22</x:v>
      </x:c>
      <x:c r="C14" t="str">
        <x:v>Portland Timbers</x:v>
      </x:c>
      <x:c r="D14" t="str">
        <x:v>Columbus Crew</x:v>
      </x:c>
      <x:c r="E14" t="n">
        <x:v>3</x:v>
      </x:c>
      <x:c r="F14" t="n">
        <x:v>2</x:v>
      </x:c>
      <x:c r="G14" t="n">
        <x:f>E14+F14</x:f>
        <x:v>5</x:v>
      </x:c>
      <x:c r="H14" s="30" t="n">
        <x:v>1.6</x:v>
      </x:c>
      <x:c r="I14" s="30" t="n">
        <x:v>2.38</x:v>
      </x:c>
      <x:c r="J14" s="30" t="n">
        <x:v>2.53</x:v>
      </x:c>
      <x:c r="K14" s="30" t="n">
        <x:v>1.54</x:v>
      </x:c>
      <x:c r="L14" t="str">
        <x:f>IF(G14&lt;=3,"WIN","LOSS")</x:f>
        <x:v>LOSS</x:v>
      </x:c>
      <x:c r="M14" s="30" t="n">
        <x:f>IF(L14="WIN",K14-1,-1)</x:f>
        <x:v>-1</x:v>
      </x:c>
      <x:c r="N14" t="str">
        <x:v>https://footiqo.com/database/leagues/usa-mls/</x:v>
      </x:c>
    </x:row>
    <x:row r="15">
      <x:c r="A15" t="str">
        <x:v>97203</x:v>
      </x:c>
      <x:c r="B15" s="28" t="str">
        <x:v>2026-02-22</x:v>
      </x:c>
      <x:c r="C15" t="str">
        <x:v>San Diego FC</x:v>
      </x:c>
      <x:c r="D15" t="str">
        <x:v>CF Montreal</x:v>
      </x:c>
      <x:c r="E15" t="n">
        <x:v>5</x:v>
      </x:c>
      <x:c r="F15" t="n">
        <x:v>0</x:v>
      </x:c>
      <x:c r="G15" t="n">
        <x:f>E15+F15</x:f>
        <x:v>5</x:v>
      </x:c>
      <x:c r="H15" s="30" t="n">
        <x:v>1.6</x:v>
      </x:c>
      <x:c r="I15" s="30" t="n">
        <x:v>2.38</x:v>
      </x:c>
      <x:c r="J15" s="30" t="n">
        <x:v>2.53</x:v>
      </x:c>
      <x:c r="K15" s="30" t="n">
        <x:v>1.54</x:v>
      </x:c>
      <x:c r="L15" t="str">
        <x:f>IF(G15&lt;=3,"WIN","LOSS")</x:f>
        <x:v>LOSS</x:v>
      </x:c>
      <x:c r="M15" s="30" t="n">
        <x:f>IF(L15="WIN",K15-1,-1)</x:f>
        <x:v>-1</x:v>
      </x:c>
      <x:c r="N15" t="str">
        <x:v>https://footiqo.com/database/leagues/usa-mls/</x:v>
      </x:c>
    </x:row>
    <x:row r="16">
      <x:c r="A16" t="str">
        <x:v>97204</x:v>
      </x:c>
      <x:c r="B16" s="28" t="str">
        <x:v>2026-02-22</x:v>
      </x:c>
      <x:c r="C16" t="str">
        <x:v>San Jose Earthquakes</x:v>
      </x:c>
      <x:c r="D16" t="str">
        <x:v>Sporting Kansas City</x:v>
      </x:c>
      <x:c r="E16" t="n">
        <x:v>3</x:v>
      </x:c>
      <x:c r="F16" t="n">
        <x:v>0</x:v>
      </x:c>
      <x:c r="G16" t="n">
        <x:f>E16+F16</x:f>
        <x:v>3</x:v>
      </x:c>
      <x:c r="H16" s="30" t="n">
        <x:v>1.5</x:v>
      </x:c>
      <x:c r="I16" s="30" t="n">
        <x:v>2.63</x:v>
      </x:c>
      <x:c r="J16" s="30" t="n">
        <x:v>2.32</x:v>
      </x:c>
      <x:c r="K16" s="30" t="n">
        <x:v>1.67</x:v>
      </x:c>
      <x:c r="L16" t="str">
        <x:f>IF(G16&lt;=3,"WIN","LOSS")</x:f>
        <x:v>WIN</x:v>
      </x:c>
      <x:c r="M16" s="30" t="n">
        <x:f>IF(L16="WIN",K16-1,-1)</x:f>
        <x:v>0.6699999999999999</x:v>
      </x:c>
      <x:c r="N16" t="str">
        <x:v>https://footiqo.com/database/leagues/usa-mls/</x:v>
      </x:c>
    </x:row>
    <x:row r="17">
      <x:c r="A17" t="str">
        <x:v>97266</x:v>
      </x:c>
      <x:c r="B17" s="28" t="str">
        <x:v>2026-02-23</x:v>
      </x:c>
      <x:c r="C17" t="str">
        <x:v>Los Angeles Galaxy</x:v>
      </x:c>
      <x:c r="D17" t="str">
        <x:v>New York City</x:v>
      </x:c>
      <x:c r="E17" t="n">
        <x:v>1</x:v>
      </x:c>
      <x:c r="F17" t="n">
        <x:v>1</x:v>
      </x:c>
      <x:c r="G17" t="n">
        <x:f>E17+F17</x:f>
        <x:v>2</x:v>
      </x:c>
      <x:c r="H17" s="30" t="n">
        <x:v>1.8</x:v>
      </x:c>
      <x:c r="I17" s="30" t="n">
        <x:v>2.1</x:v>
      </x:c>
      <x:c r="J17" s="30" t="n">
        <x:v>3.01</x:v>
      </x:c>
      <x:c r="K17" s="30" t="n">
        <x:v>1.4</x:v>
      </x:c>
      <x:c r="L17" t="str">
        <x:f>IF(G17&lt;=3,"WIN","LOSS")</x:f>
        <x:v>WIN</x:v>
      </x:c>
      <x:c r="M17" s="30" t="n">
        <x:f>IF(L17="WIN",K17-1,-1)</x:f>
        <x:v>0.3999999999999999</x:v>
      </x:c>
      <x:c r="N17" t="str">
        <x:v>https://footiqo.com/database/leagues/usa-mls/</x:v>
      </x:c>
    </x:row>
    <x:row r="18">
      <x:c r="A18" t="str">
        <x:v>97269</x:v>
      </x:c>
      <x:c r="B18" s="28" t="str">
        <x:v>2026-02-23</x:v>
      </x:c>
      <x:c r="C18" t="str">
        <x:v>Seattle Sounders</x:v>
      </x:c>
      <x:c r="D18" t="str">
        <x:v>Colorado Rapids</x:v>
      </x:c>
      <x:c r="E18" t="n">
        <x:v>2</x:v>
      </x:c>
      <x:c r="F18" t="n">
        <x:v>0</x:v>
      </x:c>
      <x:c r="G18" t="n">
        <x:f>E18+F18</x:f>
        <x:v>2</x:v>
      </x:c>
      <x:c r="H18" s="30" t="n">
        <x:v>1.4</x:v>
      </x:c>
      <x:c r="I18" s="30" t="n">
        <x:v>2.57</x:v>
      </x:c>
      <x:c r="J18" s="30" t="n">
        <x:v>2.19</x:v>
      </x:c>
      <x:c r="K18" s="30" t="n">
        <x:v>1.74</x:v>
      </x:c>
      <x:c r="L18" t="str">
        <x:f>IF(G18&lt;=3,"WIN","LOSS")</x:f>
        <x:v>WIN</x:v>
      </x:c>
      <x:c r="M18" s="30" t="n">
        <x:f>IF(L18="WIN",K18-1,-1)</x:f>
        <x:v>0.74</x:v>
      </x:c>
      <x:c r="N18" t="str">
        <x:v>https://footiqo.com/database/leagues/usa-mls/</x:v>
      </x:c>
    </x:row>
    <x:row r="19">
      <x:c r="A19" t="str">
        <x:v>97481</x:v>
      </x:c>
      <x:c r="B19" s="28" t="str">
        <x:v>2026-02-28</x:v>
      </x:c>
      <x:c r="C19" t="str">
        <x:v>Chicago Fire</x:v>
      </x:c>
      <x:c r="D19" t="str">
        <x:v>CF Montreal</x:v>
      </x:c>
      <x:c r="E19" t="n">
        <x:v>3</x:v>
      </x:c>
      <x:c r="F19" t="n">
        <x:v>0</x:v>
      </x:c>
      <x:c r="G19" t="n">
        <x:f>E19+F19</x:f>
        <x:v>3</x:v>
      </x:c>
      <x:c r="H19" s="30" t="n">
        <x:v>1.66</x:v>
      </x:c>
      <x:c r="I19" s="30" t="n">
        <x:v>2.25</x:v>
      </x:c>
      <x:c r="J19" s="30" t="n">
        <x:v>2.53</x:v>
      </x:c>
      <x:c r="K19" s="30" t="n">
        <x:v>1.54</x:v>
      </x:c>
      <x:c r="L19" t="str">
        <x:f>IF(G19&lt;=3,"WIN","LOSS")</x:f>
        <x:v>WIN</x:v>
      </x:c>
      <x:c r="M19" s="30" t="n">
        <x:f>IF(L19="WIN",K19-1,-1)</x:f>
        <x:v>0.54</x:v>
      </x:c>
      <x:c r="N19" t="str">
        <x:v>https://footiqo.com/database/leagues/usa-mls/</x:v>
      </x:c>
    </x:row>
    <x:row r="20">
      <x:c r="A20" t="str">
        <x:v>97482</x:v>
      </x:c>
      <x:c r="B20" s="28" t="str">
        <x:v>2026-02-28</x:v>
      </x:c>
      <x:c r="C20" t="str">
        <x:v>New York Red Bulls</x:v>
      </x:c>
      <x:c r="D20" t="str">
        <x:v>New England Revolution</x:v>
      </x:c>
      <x:c r="E20" t="n">
        <x:v>1</x:v>
      </x:c>
      <x:c r="F20" t="n">
        <x:v>0</x:v>
      </x:c>
      <x:c r="G20" t="n">
        <x:f>E20+F20</x:f>
        <x:v>1</x:v>
      </x:c>
      <x:c r="H20" s="30" t="n">
        <x:v>1.69</x:v>
      </x:c>
      <x:c r="I20" s="30" t="n">
        <x:v>2.2</x:v>
      </x:c>
      <x:c r="J20" s="30" t="n">
        <x:v>2.63</x:v>
      </x:c>
      <x:c r="K20" s="30" t="n">
        <x:v>1.5</x:v>
      </x:c>
      <x:c r="L20" t="str">
        <x:f>IF(G20&lt;=3,"WIN","LOSS")</x:f>
        <x:v>WIN</x:v>
      </x:c>
      <x:c r="M20" s="30" t="n">
        <x:f>IF(L20="WIN",K20-1,-1)</x:f>
        <x:v>0.5</x:v>
      </x:c>
      <x:c r="N20" t="str">
        <x:v>https://footiqo.com/database/leagues/usa-mls/</x:v>
      </x:c>
    </x:row>
    <x:row r="21">
      <x:c r="A21" t="str">
        <x:v>97492</x:v>
      </x:c>
      <x:c r="B21" s="28" t="str">
        <x:v>2026-02-28</x:v>
      </x:c>
      <x:c r="C21" t="str">
        <x:v>Colorado Rapids</x:v>
      </x:c>
      <x:c r="D21" t="str">
        <x:v>Portland Timbers</x:v>
      </x:c>
      <x:c r="E21" t="n">
        <x:v>2</x:v>
      </x:c>
      <x:c r="F21" t="n">
        <x:v>0</x:v>
      </x:c>
      <x:c r="G21" t="n">
        <x:f>E21+F21</x:f>
        <x:v>2</x:v>
      </x:c>
      <x:c r="H21" s="30" t="n">
        <x:v>1.6</x:v>
      </x:c>
      <x:c r="I21" s="30" t="n">
        <x:v>2.37</x:v>
      </x:c>
      <x:c r="J21" s="30" t="n">
        <x:v>2.41</x:v>
      </x:c>
      <x:c r="K21" s="30" t="n">
        <x:v>1.58</x:v>
      </x:c>
      <x:c r="L21" t="str">
        <x:f>IF(G21&lt;=3,"WIN","LOSS")</x:f>
        <x:v>WIN</x:v>
      </x:c>
      <x:c r="M21" s="30" t="n">
        <x:f>IF(L21="WIN",K21-1,-1)</x:f>
        <x:v>0.5800000000000001</x:v>
      </x:c>
      <x:c r="N21" t="str">
        <x:v>https://footiqo.com/database/leagues/usa-mls/</x:v>
      </x:c>
    </x:row>
    <x:row r="22">
      <x:c r="A22" t="str">
        <x:v>97493</x:v>
      </x:c>
      <x:c r="B22" s="28" t="str">
        <x:v>2026-02-28</x:v>
      </x:c>
      <x:c r="C22" t="str">
        <x:v>Minnesota United</x:v>
      </x:c>
      <x:c r="D22" t="str">
        <x:v>FC Cincinnati</x:v>
      </x:c>
      <x:c r="E22" t="n">
        <x:v>1</x:v>
      </x:c>
      <x:c r="F22" t="n">
        <x:v>0</x:v>
      </x:c>
      <x:c r="G22" t="n">
        <x:f>E22+F22</x:f>
        <x:v>1</x:v>
      </x:c>
      <x:c r="H22" s="30" t="n">
        <x:v>1.86</x:v>
      </x:c>
      <x:c r="I22" s="30" t="n">
        <x:v>2.03</x:v>
      </x:c>
      <x:c r="J22" s="30" t="n">
        <x:v>3.01</x:v>
      </x:c>
      <x:c r="K22" s="30" t="n">
        <x:v>1.4</x:v>
      </x:c>
      <x:c r="L22" t="str">
        <x:f>IF(G22&lt;=3,"WIN","LOSS")</x:f>
        <x:v>WIN</x:v>
      </x:c>
      <x:c r="M22" s="30" t="n">
        <x:f>IF(L22="WIN",K22-1,-1)</x:f>
        <x:v>0.3999999999999999</x:v>
      </x:c>
      <x:c r="N22" t="str">
        <x:v>https://footiqo.com/database/leagues/usa-mls/</x:v>
      </x:c>
    </x:row>
    <x:row r="23">
      <x:c r="A23" t="str">
        <x:v>98696</x:v>
      </x:c>
      <x:c r="B23" s="28" t="str">
        <x:v>2026-03-01</x:v>
      </x:c>
      <x:c r="C23" t="str">
        <x:v>Real Salt Lake</x:v>
      </x:c>
      <x:c r="D23" t="str">
        <x:v>Seattle Sounders</x:v>
      </x:c>
      <x:c r="E23" t="n">
        <x:v>2</x:v>
      </x:c>
      <x:c r="F23" t="n">
        <x:v>1</x:v>
      </x:c>
      <x:c r="G23" t="n">
        <x:f>E23+F23</x:f>
        <x:v>3</x:v>
      </x:c>
      <x:c r="H23" s="30" t="n">
        <x:v>2.06</x:v>
      </x:c>
      <x:c r="I23" s="30" t="n">
        <x:v>1.83</x:v>
      </x:c>
      <x:c r="J23" s="30" t="n">
        <x:v>3.37</x:v>
      </x:c>
      <x:c r="K23" s="30" t="n">
        <x:v>1.34</x:v>
      </x:c>
      <x:c r="L23" t="str">
        <x:f>IF(G23&lt;=3,"WIN","LOSS")</x:f>
        <x:v>WIN</x:v>
      </x:c>
      <x:c r="M23" s="30" t="n">
        <x:f>IF(L23="WIN",K23-1,-1)</x:f>
        <x:v>0.3400000000000001</x:v>
      </x:c>
      <x:c r="N23" t="str">
        <x:v>https://footiqo.com/database/leagues/usa-mls/</x:v>
      </x:c>
    </x:row>
    <x:row r="24">
      <x:c r="A24" t="str">
        <x:v>98697</x:v>
      </x:c>
      <x:c r="B24" s="28" t="str">
        <x:v>2026-03-01</x:v>
      </x:c>
      <x:c r="C24" t="str">
        <x:v>San Jose Earthquakes</x:v>
      </x:c>
      <x:c r="D24" t="str">
        <x:v>Atlanta Utd</x:v>
      </x:c>
      <x:c r="E24" t="n">
        <x:v>2</x:v>
      </x:c>
      <x:c r="F24" t="n">
        <x:v>0</x:v>
      </x:c>
      <x:c r="G24" t="n">
        <x:f>E24+F24</x:f>
        <x:v>2</x:v>
      </x:c>
      <x:c r="H24" s="30" t="n">
        <x:v>1.8</x:v>
      </x:c>
      <x:c r="I24" s="30" t="n">
        <x:v>2.1</x:v>
      </x:c>
      <x:c r="J24" s="30" t="n">
        <x:v>2.82</x:v>
      </x:c>
      <x:c r="K24" s="30" t="n">
        <x:v>1.45</x:v>
      </x:c>
      <x:c r="L24" t="str">
        <x:f>IF(G24&lt;=3,"WIN","LOSS")</x:f>
        <x:v>WIN</x:v>
      </x:c>
      <x:c r="M24" s="30" t="n">
        <x:f>IF(L24="WIN",K24-1,-1)</x:f>
        <x:v>0.44999999999999996</x:v>
      </x:c>
      <x:c r="N24" t="str">
        <x:v>https://footiqo.com/database/leagues/usa-mls/</x:v>
      </x:c>
    </x:row>
    <x:row r="25">
      <x:c r="A25" t="str">
        <x:v>98700</x:v>
      </x:c>
      <x:c r="B25" s="28" t="str">
        <x:v>2026-03-01</x:v>
      </x:c>
      <x:c r="C25" t="str">
        <x:v>FC Dallas</x:v>
      </x:c>
      <x:c r="D25" t="str">
        <x:v>Nashville SC</x:v>
      </x:c>
      <x:c r="E25" t="n">
        <x:v>0</x:v>
      </x:c>
      <x:c r="F25" t="n">
        <x:v>0</x:v>
      </x:c>
      <x:c r="G25" t="n">
        <x:f>E25+F25</x:f>
        <x:v>0</x:v>
      </x:c>
      <x:c r="H25" s="30" t="n">
        <x:v>1.89</x:v>
      </x:c>
      <x:c r="I25" s="30" t="n">
        <x:v>2</x:v>
      </x:c>
      <x:c r="J25" s="30" t="n">
        <x:v>3.01</x:v>
      </x:c>
      <x:c r="K25" s="30" t="n">
        <x:v>1.4</x:v>
      </x:c>
      <x:c r="L25" t="str">
        <x:f>IF(G25&lt;=3,"WIN","LOSS")</x:f>
        <x:v>WIN</x:v>
      </x:c>
      <x:c r="M25" s="30" t="n">
        <x:f>IF(L25="WIN",K25-1,-1)</x:f>
        <x:v>0.3999999999999999</x:v>
      </x:c>
      <x:c r="N25" t="str">
        <x:v>https://footiqo.com/database/leagues/usa-mls/</x:v>
      </x:c>
    </x:row>
    <x:row r="26">
      <x:c r="A26" t="str">
        <x:v>98701</x:v>
      </x:c>
      <x:c r="B26" s="28" t="str">
        <x:v>2026-03-01</x:v>
      </x:c>
      <x:c r="C26" t="str">
        <x:v>Houston Dynamo</x:v>
      </x:c>
      <x:c r="D26" t="str">
        <x:v>Los Angeles FC</x:v>
      </x:c>
      <x:c r="E26" t="n">
        <x:v>0</x:v>
      </x:c>
      <x:c r="F26" t="n">
        <x:v>2</x:v>
      </x:c>
      <x:c r="G26" t="n">
        <x:f>E26+F26</x:f>
        <x:v>2</x:v>
      </x:c>
      <x:c r="H26" s="30" t="n">
        <x:v>1.7</x:v>
      </x:c>
      <x:c r="I26" s="30" t="n">
        <x:v>2.18</x:v>
      </x:c>
      <x:c r="J26" s="30" t="n">
        <x:v>2.69</x:v>
      </x:c>
      <x:c r="K26" s="30" t="n">
        <x:v>1.48</x:v>
      </x:c>
      <x:c r="L26" t="str">
        <x:f>IF(G26&lt;=3,"WIN","LOSS")</x:f>
        <x:v>WIN</x:v>
      </x:c>
      <x:c r="M26" s="30" t="n">
        <x:f>IF(L26="WIN",K26-1,-1)</x:f>
        <x:v>0.48</x:v>
      </x:c>
      <x:c r="N26" t="str">
        <x:v>https://footiqo.com/database/leagues/usa-mls/</x:v>
      </x:c>
    </x:row>
    <x:row r="27">
      <x:c r="A27" t="str">
        <x:v>98702</x:v>
      </x:c>
      <x:c r="B27" s="28" t="str">
        <x:v>2026-03-01</x:v>
      </x:c>
      <x:c r="C27" t="str">
        <x:v>Sporting Kansas City</x:v>
      </x:c>
      <x:c r="D27" t="str">
        <x:v>Columbus Crew</x:v>
      </x:c>
      <x:c r="E27" t="n">
        <x:v>2</x:v>
      </x:c>
      <x:c r="F27" t="n">
        <x:v>2</x:v>
      </x:c>
      <x:c r="G27" t="n">
        <x:f>E27+F27</x:f>
        <x:v>4</x:v>
      </x:c>
      <x:c r="H27" s="30" t="n">
        <x:v>1.49</x:v>
      </x:c>
      <x:c r="I27" s="30" t="n">
        <x:v>2.67</x:v>
      </x:c>
      <x:c r="J27" s="30" t="n">
        <x:v>2.16</x:v>
      </x:c>
      <x:c r="K27" s="30" t="n">
        <x:v>1.77</x:v>
      </x:c>
      <x:c r="L27" t="str">
        <x:f>IF(G27&lt;=3,"WIN","LOSS")</x:f>
        <x:v>LOSS</x:v>
      </x:c>
      <x:c r="M27" s="30" t="n">
        <x:f>IF(L27="WIN",K27-1,-1)</x:f>
        <x:v>-1</x:v>
      </x:c>
      <x:c r="N27" t="str">
        <x:v>https://footiqo.com/database/leagues/usa-mls/</x:v>
      </x:c>
    </x:row>
    <x:row r="28">
      <x:c r="A28" t="str">
        <x:v>98704</x:v>
      </x:c>
      <x:c r="B28" s="28" t="str">
        <x:v>2026-03-01</x:v>
      </x:c>
      <x:c r="C28" t="str">
        <x:v>Vancouver Whitecaps</x:v>
      </x:c>
      <x:c r="D28" t="str">
        <x:v>Toronto FC</x:v>
      </x:c>
      <x:c r="E28" t="n">
        <x:v>3</x:v>
      </x:c>
      <x:c r="F28" t="n">
        <x:v>0</x:v>
      </x:c>
      <x:c r="G28" t="n">
        <x:f>E28+F28</x:f>
        <x:v>3</x:v>
      </x:c>
      <x:c r="H28" s="30" t="n">
        <x:v>1.6</x:v>
      </x:c>
      <x:c r="I28" s="30" t="n">
        <x:v>2.38</x:v>
      </x:c>
      <x:c r="J28" s="30" t="n">
        <x:v>2.53</x:v>
      </x:c>
      <x:c r="K28" s="30" t="n">
        <x:v>1.54</x:v>
      </x:c>
      <x:c r="L28" t="str">
        <x:f>IF(G28&lt;=3,"WIN","LOSS")</x:f>
        <x:v>WIN</x:v>
      </x:c>
      <x:c r="M28" s="30" t="n">
        <x:f>IF(L28="WIN",K28-1,-1)</x:f>
        <x:v>0.54</x:v>
      </x:c>
      <x:c r="N28" t="str">
        <x:v>https://footiqo.com/database/leagues/usa-mls/</x:v>
      </x:c>
    </x:row>
    <x:row r="31">
      <x:c r="A31" s="269" t="str">
        <x:v>Test</x:v>
      </x:c>
      <x:c r="B31" s="269" t="str">
        <x:v>U3.5 Min</x:v>
      </x:c>
      <x:c r="C31" s="269" t="str">
        <x:v>U3.5 Max</x:v>
      </x:c>
      <x:c r="D31" s="269" t="str">
        <x:v>O2.5 Max</x:v>
      </x:c>
      <x:c r="E31" s="269" t="str">
        <x:v>N</x:v>
      </x:c>
      <x:c r="F31" s="269" t="str">
        <x:v>Wins</x:v>
      </x:c>
      <x:c r="G31" s="269" t="str">
        <x:v>Hit Rate</x:v>
      </x:c>
      <x:c r="H31" s="269" t="str">
        <x:v>Profit</x:v>
      </x:c>
      <x:c r="I31" s="269" t="str">
        <x:v>ROI</x:v>
      </x:c>
      <x:c r="K31" s="272" t="str">
        <x:v>PATTERN #002 GATE</x:v>
      </x:c>
      <x:c r="L31" s="272" t="str">
        <x:v>Value</x:v>
      </x:c>
      <x:c r="M31" s="272" t="str">
        <x:v>Rule</x:v>
      </x:c>
      <x:c r="N31" s="272" t="str">
        <x:v>Status</x:v>
      </x:c>
    </x:row>
    <x:row r="32">
      <x:c r="A32" t="str">
        <x:v>Tight (original)</x:v>
      </x:c>
      <x:c r="B32" s="30" t="n">
        <x:v>1.55</x:v>
      </x:c>
      <x:c r="C32" s="30" t="n">
        <x:v>1.75</x:v>
      </x:c>
      <x:c r="D32" s="30" t="n">
        <x:v>1.6</x:v>
      </x:c>
      <x:c r="E32" t="n">
        <x:f>COUNTIFS($K$4:$K$28,"&gt;="&amp;B32,$K$4:$K$28,"&lt;="&amp;C32,$H$4:$H$28,"&lt;="&amp;D32)</x:f>
        <x:v>5</x:v>
      </x:c>
      <x:c r="F32" t="n">
        <x:f>COUNTIFS($K$4:$K$28,"&gt;="&amp;B32,$K$4:$K$28,"&lt;="&amp;C32,$H$4:$H$28,"&lt;="&amp;D32,$L$4:$L$28,"WIN")</x:f>
        <x:v>5</x:v>
      </x:c>
      <x:c r="G32" s="32" t="n">
        <x:f>IF(E32=0,"",F32/E32)</x:f>
        <x:v>1</x:v>
      </x:c>
      <x:c r="H32" s="30" t="n">
        <x:f>SUMPRODUCT(($K$4:$K$28&gt;=B32)*($K$4:$K$28&lt;=C32)*($H$4:$H$28&lt;=D32)*$M$4:$M$28)</x:f>
        <x:v>3.45</x:v>
      </x:c>
      <x:c r="I32" s="32" t="n">
        <x:f>IF(E32=0,"",H32/E32)</x:f>
        <x:v>0.6900000000000001</x:v>
      </x:c>
      <x:c r="K32" s="274" t="str">
        <x:v>Original sample N</x:v>
      </x:c>
      <x:c r="L32" t="n">
        <x:f>E32</x:f>
        <x:v>5</x:v>
      </x:c>
      <x:c r="M32" t="str">
        <x:v>&gt;=30 preferred</x:v>
      </x:c>
      <x:c r="N32" t="str">
        <x:f>IF(L32&gt;=30,"PASS","FAIL")</x:f>
        <x:v>FAIL</x:v>
      </x:c>
    </x:row>
    <x:row r="33">
      <x:c r="A33" t="str">
        <x:v>Near-neighbour</x:v>
      </x:c>
      <x:c r="B33" s="30" t="n">
        <x:v>1.54</x:v>
      </x:c>
      <x:c r="C33" s="30" t="n">
        <x:v>1.77</x:v>
      </x:c>
      <x:c r="D33" s="30" t="n">
        <x:v>1.6</x:v>
      </x:c>
      <x:c r="E33" t="n">
        <x:f>COUNTIFS($K$4:$K$28,"&gt;="&amp;B33,$K$4:$K$28,"&lt;="&amp;C33,$H$4:$H$28,"&lt;="&amp;D33)</x:f>
        <x:v>10</x:v>
      </x:c>
      <x:c r="F33" t="n">
        <x:f>COUNTIFS($K$4:$K$28,"&gt;="&amp;B33,$K$4:$K$28,"&lt;="&amp;C33,$H$4:$H$28,"&lt;="&amp;D33,$L$4:$L$28,"WIN")</x:f>
        <x:v>6</x:v>
      </x:c>
      <x:c r="G33" s="32" t="n">
        <x:f>IF(E33=0,"",F33/E33)</x:f>
        <x:v>0.6</x:v>
      </x:c>
      <x:c r="H33" s="30" t="n">
        <x:f>SUMPRODUCT(($K$4:$K$28&gt;=B33)*($K$4:$K$28&lt;=C33)*($H$4:$H$28&lt;=D33)*$M$4:$M$28)</x:f>
        <x:v>-0.010000000000000009</x:v>
      </x:c>
      <x:c r="I33" s="32" t="n">
        <x:f>IF(E33=0,"",H33/E33)</x:f>
        <x:v>-0.0010000000000000009</x:v>
      </x:c>
      <x:c r="K33" s="274" t="str">
        <x:v>Original hit rate</x:v>
      </x:c>
      <x:c r="L33" s="32" t="n">
        <x:f>G32</x:f>
        <x:v>1</x:v>
      </x:c>
      <x:c r="M33" t="str">
        <x:v>&gt; market break-even + cushion</x:v>
      </x:c>
      <x:c r="N33" t="str">
        <x:f>IF(L33&gt;=0.65,"WATCH","FAIL")</x:f>
        <x:v>WATCH</x:v>
      </x:c>
    </x:row>
    <x:row r="34">
      <x:c r="A34" t="str">
        <x:v>Medium</x:v>
      </x:c>
      <x:c r="B34" s="30" t="n">
        <x:v>1.5</x:v>
      </x:c>
      <x:c r="C34" s="30" t="n">
        <x:v>1.8</x:v>
      </x:c>
      <x:c r="D34" s="30" t="n">
        <x:v>1.66</x:v>
      </x:c>
      <x:c r="E34" t="n">
        <x:f>COUNTIFS($K$4:$K$28,"&gt;="&amp;B34,$K$4:$K$28,"&lt;="&amp;C34,$H$4:$H$28,"&lt;="&amp;D34)</x:f>
        <x:v>12</x:v>
      </x:c>
      <x:c r="F34" t="n">
        <x:f>COUNTIFS($K$4:$K$28,"&gt;="&amp;B34,$K$4:$K$28,"&lt;="&amp;C34,$H$4:$H$28,"&lt;="&amp;D34,$L$4:$L$28,"WIN")</x:f>
        <x:v>8</x:v>
      </x:c>
      <x:c r="G34" s="32" t="n">
        <x:f>IF(E34=0,"",F34/E34)</x:f>
        <x:v>0.6666666666666666</x:v>
      </x:c>
      <x:c r="H34" s="30" t="n">
        <x:f>SUMPRODUCT(($K$4:$K$28&gt;=B34)*($K$4:$K$28&lt;=C34)*($H$4:$H$28&lt;=D34)*$M$4:$M$28)</x:f>
        <x:v>1.07</x:v>
      </x:c>
      <x:c r="I34" s="32" t="n">
        <x:f>IF(E34=0,"",H34/E34)</x:f>
        <x:v>0.08916666666666667</x:v>
      </x:c>
      <x:c r="K34" s="274" t="str">
        <x:v>Neighbour ROI</x:v>
      </x:c>
      <x:c r="L34" s="32" t="n">
        <x:f>I33</x:f>
        <x:v>-0.0010000000000000009</x:v>
      </x:c>
      <x:c r="M34" t="str">
        <x:v>&gt;0% minimum</x:v>
      </x:c>
      <x:c r="N34" t="str">
        <x:f>IF(L34&gt;0,"PASS","FAIL")</x:f>
        <x:v>FAIL</x:v>
      </x:c>
    </x:row>
    <x:row r="35">
      <x:c r="A35" t="str">
        <x:v>Broad</x:v>
      </x:c>
      <x:c r="B35" s="30" t="n">
        <x:v>1.45</x:v>
      </x:c>
      <x:c r="C35" s="30" t="n">
        <x:v>1.8</x:v>
      </x:c>
      <x:c r="D35" s="30" t="n">
        <x:v>1.7</x:v>
      </x:c>
      <x:c r="E35" t="n">
        <x:f>COUNTIFS($K$4:$K$28,"&gt;="&amp;B35,$K$4:$K$28,"&lt;="&amp;C35,$H$4:$H$28,"&lt;="&amp;D35)</x:f>
        <x:v>14</x:v>
      </x:c>
      <x:c r="F35" t="n">
        <x:f>COUNTIFS($K$4:$K$28,"&gt;="&amp;B35,$K$4:$K$28,"&lt;="&amp;C35,$H$4:$H$28,"&lt;="&amp;D35,$L$4:$L$28,"WIN")</x:f>
        <x:v>10</x:v>
      </x:c>
      <x:c r="G35" s="32" t="n">
        <x:f>IF(E35=0,"",F35/E35)</x:f>
        <x:v>0.7142857142857143</x:v>
      </x:c>
      <x:c r="H35" s="30" t="n">
        <x:f>SUMPRODUCT(($K$4:$K$28&gt;=B35)*($K$4:$K$28&lt;=C35)*($H$4:$H$28&lt;=D35)*$M$4:$M$28)</x:f>
        <x:v>2.0500000000000003</x:v>
      </x:c>
      <x:c r="I35" s="32" t="n">
        <x:f>IF(E35=0,"",H35/E35)</x:f>
        <x:v>0.14642857142857144</x:v>
      </x:c>
      <x:c r="K35" s="274" t="str">
        <x:v>Medium ROI</x:v>
      </x:c>
      <x:c r="L35" s="32" t="n">
        <x:f>I34</x:f>
        <x:v>0.08916666666666667</x:v>
      </x:c>
      <x:c r="M35" t="str">
        <x:v>&gt;0% minimum</x:v>
      </x:c>
      <x:c r="N35" t="str">
        <x:f>IF(L35&gt;0,"PASS","FAIL")</x:f>
        <x:v>PASS</x:v>
      </x:c>
    </x:row>
    <x:row r="36">
      <x:c r="K36" s="274" t="str">
        <x:v>Broad ROI</x:v>
      </x:c>
      <x:c r="L36" s="32" t="n">
        <x:f>I35</x:f>
        <x:v>0.14642857142857144</x:v>
      </x:c>
      <x:c r="M36" t="str">
        <x:v>&gt;0% minimum</x:v>
      </x:c>
      <x:c r="N36" t="str">
        <x:f>IF(L36&gt;0,"PASS","FAIL")</x:f>
        <x:v>PASS</x:v>
      </x:c>
    </x:row>
    <x:row r="37">
      <x:c r="K37" s="274" t="str">
        <x:v>Threshold stability</x:v>
      </x:c>
      <x:c r="L37" t="str">
        <x:f>IF(AND(I33&gt;0,I34&gt;0,I35&gt;0),"STABLE","UNSTABLE")</x:f>
        <x:v>UNSTABLE</x:v>
      </x:c>
      <x:c r="M37" t="str">
        <x:v>Adjacent thresholds should not collapse</x:v>
      </x:c>
      <x:c r="N37" t="str">
        <x:f>IF(L37="STABLE","PASS","FAIL")</x:f>
        <x:v>FAIL</x:v>
      </x:c>
    </x:row>
    <x:row r="38">
      <x:c r="K38" s="274" t="str">
        <x:v>Validation verdict</x:v>
      </x:c>
      <x:c r="L38" t="str">
        <x:f>IF(AND(E32&gt;=30,L37="STABLE"),"VALIDATED","NOT VALIDATED")</x:f>
        <x:v>NOT VALIDATED</x:v>
      </x:c>
      <x:c r="M38" t="str">
        <x:v>Promote only with stable + adequate N</x:v>
      </x:c>
      <x:c r="N38" t="str">
        <x:f>IF(L38="VALIDATED","PASS","FAIL")</x:f>
        <x:v>FAIL</x:v>
      </x:c>
    </x:row>
    <x:row r="39">
      <x:c r="A39" s="277" t="str">
        <x:v>Methodology Note</x:v>
      </x:c>
      <x:c r="B39" s="15" t="str"/>
      <x:c r="C39" s="15"/>
      <x:c r="D39" s="15"/>
      <x:c r="E39" s="15"/>
      <x:c r="F39" s="15"/>
      <x:c r="G39" s="15"/>
      <x:c r="H39" s="15"/>
      <x:c r="I39" s="15"/>
    </x:row>
    <x:row r="40">
      <x:c r="A40" s="277" t="str">
        <x:v>Data batch</x:v>
      </x:c>
      <x:c r="B40" s="15" t="str">
        <x:v>First 25 completed 2026 MLS matches shown in Footiqo current-season table with matching closing O/U odds.</x:v>
      </x:c>
      <x:c r="C40" s="15"/>
      <x:c r="D40" s="15"/>
      <x:c r="E40" s="15"/>
      <x:c r="F40" s="15"/>
      <x:c r="G40" s="15"/>
      <x:c r="H40" s="15"/>
      <x:c r="I40" s="15"/>
    </x:row>
    <x:row r="41">
      <x:c r="A41" s="277" t="str">
        <x:v>Why threshold tests</x:v>
      </x:c>
      <x:c r="B41" s="15" t="str">
        <x:v>A real pattern should not disappear when a cutoff changes by only 0.01–0.05. Collapse suggests overfitting/cherry-picking.</x:v>
      </x:c>
      <x:c r="C41" s="15"/>
      <x:c r="D41" s="15"/>
      <x:c r="E41" s="15"/>
      <x:c r="F41" s="15"/>
      <x:c r="G41" s="15"/>
      <x:c r="H41" s="15"/>
      <x:c r="I41" s="15"/>
    </x:row>
    <x:row r="42">
      <x:c r="A42" s="277" t="str">
        <x:v>Odds methodology</x:v>
      </x:c>
      <x:c r="B42" s="15" t="str">
        <x:v>Footiqo states historical odds are closing odds sourced from 1xBet.</x:v>
      </x:c>
      <x:c r="C42" s="15"/>
      <x:c r="D42" s="15"/>
      <x:c r="E42" s="15"/>
      <x:c r="F42" s="15"/>
      <x:c r="G42" s="15"/>
      <x:c r="H42" s="15"/>
      <x:c r="I42" s="15"/>
    </x:row>
    <x:row r="43">
      <x:c r="A43" s="277" t="str">
        <x:v>Source</x:v>
      </x:c>
      <x:c r="B43" s="15" t="str">
        <x:v>https://footiqo.com/database/leagues/usa-mls/</x:v>
      </x:c>
      <x:c r="C43" s="15"/>
      <x:c r="D43" s="15"/>
      <x:c r="E43" s="15"/>
      <x:c r="F43" s="15"/>
      <x:c r="G43" s="15"/>
      <x:c r="H43" s="15"/>
      <x:c r="I43" s="15"/>
    </x:row>
  </x:sheetData>
  <x:mergeCells>
    <x:mergeCell ref="A1:N1"/>
  </x:mergeCells>
  <x:conditionalFormatting sqref="L4:L28">
    <x:cfRule type="expression" dxfId="24" priority="1">
      <x:formula>L4="WIN"</x:formula>
    </x:cfRule>
    <x:cfRule type="expression" dxfId="25" priority="2">
      <x:formula>L4="LOSS"</x:formula>
    </x:cfRule>
  </x:conditionalFormatting>
  <x:conditionalFormatting sqref="N32:N38">
    <x:cfRule type="expression" dxfId="26" priority="3">
      <x:formula>N32="PASS"</x:formula>
    </x:cfRule>
    <x:cfRule type="expression" dxfId="27" priority="4">
      <x:formula>N32="WATCH"</x:formula>
    </x:cfRule>
    <x:cfRule type="expression" dxfId="28" priority="5">
      <x:formula>N32="FAIL"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2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32" hidden="0" customWidth="1"/>
  </x:cols>
  <x:sheetData>
    <x:row r="1">
      <x:c r="A1" s="298" t="str">
        <x:v>BETTING INTELLIGENCE v0.1.8 — ANTI-OVERFIT GATE</x:v>
      </x:c>
      <x:c r="B1" s="298"/>
      <x:c r="C1" s="298"/>
      <x:c r="D1" s="298"/>
      <x:c r="E1" s="298"/>
      <x:c r="F1" s="298"/>
      <x:c r="G1" s="298"/>
      <x:c r="H1" s="298"/>
      <x:c r="I1" s="298"/>
      <x:c r="J1" s="298"/>
    </x:row>
    <x:row r="3">
      <x:c r="A3" s="293" t="str">
        <x:v>Test</x:v>
      </x:c>
      <x:c r="B3" s="293" t="str">
        <x:v>N</x:v>
      </x:c>
      <x:c r="C3" s="293" t="str">
        <x:v>Wins</x:v>
      </x:c>
      <x:c r="D3" s="293" t="str">
        <x:v>Hit Rate</x:v>
      </x:c>
      <x:c r="E3" s="293" t="str">
        <x:v>Avg U3.5 Odds</x:v>
      </x:c>
      <x:c r="F3" s="293" t="str">
        <x:v>Break-even</x:v>
      </x:c>
      <x:c r="G3" s="293" t="str">
        <x:v>Wilson 95% Low</x:v>
      </x:c>
      <x:c r="H3" s="293" t="str">
        <x:v>Wilson 95% High</x:v>
      </x:c>
      <x:c r="I3" s="293" t="str">
        <x:v>ROI</x:v>
      </x:c>
      <x:c r="J3" s="293" t="str">
        <x:v>Decision</x:v>
      </x:c>
    </x:row>
    <x:row r="4">
      <x:c r="A4" t="str">
        <x:v>Tight: U3.5 1.55–1.75 / O2.5≤1.60</x:v>
      </x:c>
      <x:c r="B4" t="n">
        <x:v>5</x:v>
      </x:c>
      <x:c r="C4" t="n">
        <x:v>5</x:v>
      </x:c>
      <x:c r="D4" s="32" t="n">
        <x:v>1</x:v>
      </x:c>
      <x:c r="E4" s="30" t="n">
        <x:v>1.69</x:v>
      </x:c>
      <x:c r="F4" s="30" t="n">
        <x:f>1/E4</x:f>
        <x:v>0.591715976331361</x:v>
      </x:c>
      <x:c r="G4" s="32" t="n">
        <x:f>(D4+1.96^2/(2*B4)-1.96*SQRT((D4*(1-D4)+1.96^2/(4*B4))/B4))/(1+1.96^2/B4)</x:f>
        <x:v>0.565508505247919</x:v>
      </x:c>
      <x:c r="H4" s="32" t="n">
        <x:f>(D4+1.96^2/(2*B4)+1.96*SQRT((D4*(1-D4)+1.96^2/(4*B4))/B4))/(1+1.96^2/B4)</x:f>
        <x:v>1.0000000000000002</x:v>
      </x:c>
      <x:c r="I4" s="32" t="n">
        <x:v>0.69</x:v>
      </x:c>
      <x:c r="J4" t="str">
        <x:v>FAIL — N too small</x:v>
      </x:c>
    </x:row>
    <x:row r="5">
      <x:c r="A5" t="str">
        <x:v>Near: U3.5 1.54–1.77 / O2.5≤1.60</x:v>
      </x:c>
      <x:c r="B5" t="n">
        <x:v>10</x:v>
      </x:c>
      <x:c r="C5" t="n">
        <x:v>6</x:v>
      </x:c>
      <x:c r="D5" s="32" t="n">
        <x:v>0.6</x:v>
      </x:c>
      <x:c r="E5" s="30" t="n">
        <x:v>1.666</x:v>
      </x:c>
      <x:c r="F5" s="30" t="n">
        <x:f>1/E5</x:f>
        <x:v>0.6002400960384154</x:v>
      </x:c>
      <x:c r="G5" s="32" t="n">
        <x:f>(D5+1.96^2/(2*B5)-1.96*SQRT((D5*(1-D5)+1.96^2/(4*B5))/B5))/(1+1.96^2/B5)</x:f>
        <x:v>0.3126695474501863</x:v>
      </x:c>
      <x:c r="H5" s="32" t="n">
        <x:f>(D5+1.96^2/(2*B5)+1.96*SQRT((D5*(1-D5)+1.96^2/(4*B5))/B5))/(1+1.96^2/B5)</x:f>
        <x:v>0.8318224187964901</x:v>
      </x:c>
      <x:c r="I5" s="32" t="n">
        <x:v>-0.001</x:v>
      </x:c>
      <x:c r="J5" t="str">
        <x:v>FAIL — threshold collapse</x:v>
      </x:c>
    </x:row>
    <x:row r="6">
      <x:c r="A6" t="str">
        <x:v>Medium: U3.5 1.50–1.80 / O2.5≤1.66</x:v>
      </x:c>
      <x:c r="B6" t="n">
        <x:v>12</x:v>
      </x:c>
      <x:c r="C6" t="n">
        <x:v>8</x:v>
      </x:c>
      <x:c r="D6" s="32" t="n">
        <x:v>0.6666666666666666</x:v>
      </x:c>
      <x:c r="E6" s="30" t="n">
        <x:v>1.654</x:v>
      </x:c>
      <x:c r="F6" s="30" t="n">
        <x:f>1/E6</x:f>
        <x:v>0.6045949214026602</x:v>
      </x:c>
      <x:c r="G6" s="32" t="n">
        <x:f>(D6+1.96^2/(2*B6)-1.96*SQRT((D6*(1-D6)+1.96^2/(4*B6))/B6))/(1+1.96^2/B6)</x:f>
        <x:v>0.3906175873976139</x:v>
      </x:c>
      <x:c r="H6" s="32" t="n">
        <x:f>(D6+1.96^2/(2*B6)+1.96*SQRT((D6*(1-D6)+1.96^2/(4*B6))/B6))/(1+1.96^2/B6)</x:f>
        <x:v>0.8618821601026386</x:v>
      </x:c>
      <x:c r="I6" s="32" t="n">
        <x:v>0.0891666667</x:v>
      </x:c>
      <x:c r="J6" t="str">
        <x:v>WATCH — positive, N small</x:v>
      </x:c>
    </x:row>
    <x:row r="7">
      <x:c r="A7" t="str">
        <x:v>Broad: U3.5 1.45–1.80 / O2.5≤1.70</x:v>
      </x:c>
      <x:c r="B7" t="n">
        <x:v>14</x:v>
      </x:c>
      <x:c r="C7" t="n">
        <x:v>10</x:v>
      </x:c>
      <x:c r="D7" s="32" t="n">
        <x:v>0.7142857142857143</x:v>
      </x:c>
      <x:c r="E7" s="30" t="n">
        <x:v>1.657</x:v>
      </x:c>
      <x:c r="F7" s="30" t="n">
        <x:f>1/E7</x:f>
        <x:v>0.6035003017501509</x:v>
      </x:c>
      <x:c r="G7" s="32" t="n">
        <x:f>(D7+1.96^2/(2*B7)-1.96*SQRT((D7*(1-D7)+1.96^2/(4*B7))/B7))/(1+1.96^2/B7)</x:f>
        <x:v>0.4535045882751561</x:v>
      </x:c>
      <x:c r="H7" s="32" t="n">
        <x:f>(D7+1.96^2/(2*B7)+1.96*SQRT((D7*(1-D7)+1.96^2/(4*B7))/B7))/(1+1.96^2/B7)</x:f>
        <x:v>0.882788120898909</x:v>
      </x:c>
      <x:c r="I7" s="32" t="n">
        <x:v>0.1464285714</x:v>
      </x:c>
      <x:c r="J7" t="str">
        <x:v>WATCH — positive, N small</x:v>
      </x:c>
    </x:row>
    <x:row r="10">
      <x:c r="A10" s="297" t="str">
        <x:v>Promotion Gate</x:v>
      </x:c>
      <x:c r="B10" s="297" t="str">
        <x:v>Requirement</x:v>
      </x:c>
      <x:c r="C10" s="297" t="str">
        <x:v>Current</x:v>
      </x:c>
      <x:c r="D10" s="297" t="str">
        <x:v>Status</x:v>
      </x:c>
      <x:c r="E10" s="297" t="str">
        <x:v>Why</x:v>
      </x:c>
      <x:c r="F10" s="297" t="str">
        <x:v>Next system rule</x:v>
      </x:c>
      <x:c r="H10" t="str">
        <x:v>CURRENT PRICE CHECK</x:v>
      </x:c>
      <x:c r="I10" t="str">
        <x:v>Value</x:v>
      </x:c>
      <x:c r="J10" t="str">
        <x:v>Meaning</x:v>
      </x:c>
    </x:row>
    <x:row r="11">
      <x:c r="A11" t="str">
        <x:v>Discovery N</x:v>
      </x:c>
      <x:c r="B11" t="str">
        <x:v>&gt;=30</x:v>
      </x:c>
      <x:c r="C11" t="str">
        <x:v>5 tight / 14 broad</x:v>
      </x:c>
      <x:c r="D11" t="str">
        <x:v>FAIL</x:v>
      </x:c>
      <x:c r="E11" t="str">
        <x:v>Tiny samples can create fake 90–100% rates</x:v>
      </x:c>
      <x:c r="F11" t="str">
        <x:v>Keep collecting</x:v>
      </x:c>
      <x:c r="H11" t="str">
        <x:v>Best U3.5 seen</x:v>
      </x:c>
      <x:c r="I11" t="n">
        <x:v>1.6493506494</x:v>
      </x:c>
      <x:c r="J11" t="str">
        <x:v>Oddschecker -154 (~1.649)</x:v>
      </x:c>
    </x:row>
    <x:row r="12">
      <x:c r="A12" t="str">
        <x:v>Independent validation N</x:v>
      </x:c>
      <x:c r="B12" t="str">
        <x:v>&gt;=30</x:v>
      </x:c>
      <x:c r="C12" t="str">
        <x:v>0</x:v>
      </x:c>
      <x:c r="D12" t="str">
        <x:v>FAIL</x:v>
      </x:c>
      <x:c r="E12" t="str">
        <x:v>Must test unseen matches</x:v>
      </x:c>
      <x:c r="F12" t="str">
        <x:v>Use separate season/batch</x:v>
      </x:c>
      <x:c r="H12" t="str">
        <x:v>Common U3.5</x:v>
      </x:c>
      <x:c r="I12" t="n">
        <x:v>1.6060606061</x:v>
      </x:c>
      <x:c r="J12" t="str">
        <x:v>Oddschecker -165 / Midnite 1.61</x:v>
      </x:c>
    </x:row>
    <x:row r="13">
      <x:c r="A13" t="str">
        <x:v>Threshold stability</x:v>
      </x:c>
      <x:c r="B13" t="str">
        <x:v>Nearby cutoffs stay profitable</x:v>
      </x:c>
      <x:c r="C13" t="str">
        <x:v>Mixed / unstable</x:v>
      </x:c>
      <x:c r="D13" t="str">
        <x:v>FAIL</x:v>
      </x:c>
      <x:c r="E13" t="str">
        <x:v>Small cutoff changes must not destroy edge</x:v>
      </x:c>
      <x:c r="F13" t="str">
        <x:v>Freeze P002 rules</x:v>
      </x:c>
      <x:c r="H13" t="str">
        <x:v>Conservative P</x:v>
      </x:c>
      <x:c r="I13" s="32" t="n">
        <x:v>0.6258410276</x:v>
      </x:c>
      <x:c r="J13" t="str">
        <x:v>Shrunk probability from v0.1.6</x:v>
      </x:c>
    </x:row>
    <x:row r="14">
      <x:c r="A14" t="str">
        <x:v>95% confidence floor</x:v>
      </x:c>
      <x:c r="B14" t="str">
        <x:v>Above break-even</x:v>
      </x:c>
      <x:c r="C14" t="str">
        <x:v>Tight lower bound ~56.6%</x:v>
      </x:c>
      <x:c r="D14" t="str">
        <x:v>FAIL</x:v>
      </x:c>
      <x:c r="E14" t="str">
        <x:v>Point estimate alone is misleading</x:v>
      </x:c>
      <x:c r="F14" t="str">
        <x:v>Require larger N</x:v>
      </x:c>
      <x:c r="H14" t="str">
        <x:v>Break-even @1.649</x:v>
      </x:c>
      <x:c r="I14" s="32" t="n">
        <x:f>1/I11</x:f>
        <x:v>0.606299212580284</x:v>
      </x:c>
      <x:c r="J14" t="str">
        <x:v>1 / price</x:v>
      </x:c>
    </x:row>
    <x:row r="15">
      <x:c r="A15" t="str">
        <x:v>Out-of-season test</x:v>
      </x:c>
      <x:c r="B15" t="str">
        <x:v>Positive ROI</x:v>
      </x:c>
      <x:c r="C15" t="str">
        <x:v>Not tested</x:v>
      </x:c>
      <x:c r="D15" t="str">
        <x:v>FAIL</x:v>
      </x:c>
      <x:c r="E15" t="str">
        <x:v>One season can be regime-specific</x:v>
      </x:c>
      <x:c r="F15" t="str">
        <x:v>2025 becomes validation set</x:v>
      </x:c>
      <x:c r="H15" t="str">
        <x:v>EV @1.649</x:v>
      </x:c>
      <x:c r="I15" s="32" t="n">
        <x:f>I13*I11-1</x:f>
        <x:v>0.03223130529322349</x:v>
      </x:c>
      <x:c r="J15" t="str">
        <x:v>P × price − 1</x:v>
      </x:c>
    </x:row>
    <x:row r="16">
      <x:c r="A16" t="str">
        <x:v>No hindsight</x:v>
      </x:c>
      <x:c r="B16" t="str">
        <x:v>Rules frozen before next batch</x:v>
      </x:c>
      <x:c r="C16" t="str">
        <x:v>YES</x:v>
      </x:c>
      <x:c r="D16" t="str">
        <x:v>PASS</x:v>
      </x:c>
      <x:c r="E16" t="str">
        <x:v>Prevents cherry-picking</x:v>
      </x:c>
      <x:c r="F16" t="str">
        <x:v>Do not tune after results</x:v>
      </x:c>
      <x:c r="H16" t="str">
        <x:v>Price gate</x:v>
      </x:c>
      <x:c r="I16" t="str">
        <x:v>WATCH</x:v>
      </x:c>
      <x:c r="J16" t="str">
        <x:v>Near +3% model-EV threshold</x:v>
      </x:c>
    </x:row>
    <x:row r="17">
      <x:c r="A17" t="str">
        <x:v>Pattern #002</x:v>
      </x:c>
      <x:c r="B17" t="str">
        <x:v>Validated</x:v>
      </x:c>
      <x:c r="C17" t="str">
        <x:v>CANDIDATE</x:v>
      </x:c>
      <x:c r="D17" t="str">
        <x:v>FAIL</x:v>
      </x:c>
      <x:c r="E17" t="str">
        <x:v>Promising but insufficient</x:v>
      </x:c>
      <x:c r="F17" t="str">
        <x:v>Paper only</x:v>
      </x:c>
      <x:c r="H17" t="str">
        <x:v>Real-money gate</x:v>
      </x:c>
      <x:c r="I17" t="str">
        <x:v>NO</x:v>
      </x:c>
      <x:c r="J17" t="str">
        <x:v>Historical validation still fails</x:v>
      </x:c>
    </x:row>
  </x:sheetData>
  <x:mergeCells>
    <x:mergeCell ref="A1:J1"/>
  </x:mergeCells>
  <x:conditionalFormatting sqref="D11:D17">
    <x:cfRule type="expression" dxfId="29" priority="1">
      <x:formula>D11="PASS"</x:formula>
    </x:cfRule>
    <x:cfRule type="expression" dxfId="30" priority="2">
      <x:formula>D11="FAIL"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20" hidden="0" customWidth="1"/>
    <x:col min="4" max="4" width="34" hidden="0" customWidth="1"/>
    <x:col min="5" max="5" width="20" hidden="0" customWidth="1"/>
    <x:col min="6" max="6" width="12" hidden="0" customWidth="1"/>
    <x:col min="7" max="7" width="44" hidden="0" customWidth="1"/>
    <x:col min="8" max="8" width="34" hidden="0" customWidth="1"/>
    <x:col min="10" max="10" width="27" hidden="0" customWidth="1"/>
    <x:col min="11" max="11" width="20" hidden="0" customWidth="1"/>
    <x:col min="12" max="12" width="38" hidden="0" customWidth="1"/>
    <x:col min="13" max="13" width="34" hidden="0" customWidth="1"/>
  </x:cols>
  <x:sheetData>
    <x:row r="1" ht="28" customHeight="1">
      <x:c r="A1" s="309" t="str">
        <x:v>BETTING INTELLIGENCE v0.1.9 — PATTERN #002 FREEZE &amp; INDEPENDENT VALIDATION</x:v>
      </x:c>
      <x:c r="B1" s="309"/>
      <x:c r="C1" s="309"/>
      <x:c r="D1" s="309"/>
      <x:c r="E1" s="309"/>
      <x:c r="F1" s="309"/>
      <x:c r="G1" s="309"/>
      <x:c r="H1" s="309"/>
    </x:row>
    <x:row r="3">
      <x:c r="A3" s="314" t="str">
        <x:v>Frozen Field</x:v>
      </x:c>
      <x:c r="B3" s="314" t="str">
        <x:v>Pattern #002 Rule</x:v>
      </x:c>
      <x:c r="C3" s="314" t="str">
        <x:v>Change During 2025 Test?</x:v>
      </x:c>
      <x:c r="D3" s="314" t="str">
        <x:v>Reason</x:v>
      </x:c>
      <x:c r="E3" s="314" t="str">
        <x:v>Current Match Value</x:v>
      </x:c>
      <x:c r="F3" s="314" t="str">
        <x:v>Pass?</x:v>
      </x:c>
      <x:c r="G3" s="314" t="str">
        <x:v>Source</x:v>
      </x:c>
      <x:c r="H3" s="314" t="str">
        <x:v>Notes</x:v>
      </x:c>
      <x:c r="J3" s="323" t="str">
        <x:v>LIVE SNAPSHOT</x:v>
      </x:c>
      <x:c r="K3" s="323" t="str">
        <x:v>Value</x:v>
      </x:c>
      <x:c r="L3" s="323" t="str">
        <x:v>Interpretation</x:v>
      </x:c>
      <x:c r="M3" s="323" t="str">
        <x:v>Source</x:v>
      </x:c>
    </x:row>
    <x:row r="4">
      <x:c r="A4" s="15" t="str">
        <x:v>Market</x:v>
      </x:c>
      <x:c r="B4" s="15" t="str">
        <x:v>Under 3.5 Goals</x:v>
      </x:c>
      <x:c r="C4" s="15" t="str">
        <x:v>NO</x:v>
      </x:c>
      <x:c r="D4" s="15" t="str">
        <x:v>Outcome being tested</x:v>
      </x:c>
      <x:c r="E4" s="15" t="str">
        <x:v>Under 3.5</x:v>
      </x:c>
      <x:c r="F4" s="15" t="str">
        <x:v>YES</x:v>
      </x:c>
      <x:c r="G4" s="15" t="str"/>
      <x:c r="H4" s="15" t="str"/>
      <x:c r="J4" s="15" t="str">
        <x:v>Snapshot time EAT</x:v>
      </x:c>
      <x:c r="K4" s="15" t="str">
        <x:v>2026-08-20 02:52</x:v>
      </x:c>
      <x:c r="L4" s="15" t="str">
        <x:v>Pre-kickoff lock point</x:v>
      </x:c>
      <x:c r="M4" s="15" t="str">
        <x:v>Conversation local time</x:v>
      </x:c>
    </x:row>
    <x:row r="5">
      <x:c r="A5" s="15" t="str">
        <x:v>U3.5 odds range</x:v>
      </x:c>
      <x:c r="B5" s="15" t="str">
        <x:v>1.55–1.75</x:v>
      </x:c>
      <x:c r="C5" s="15" t="str">
        <x:v>NO</x:v>
      </x:c>
      <x:c r="D5" s="15" t="str">
        <x:v>Prevents price cherry-picking</x:v>
      </x:c>
      <x:c r="E5" s="15" t="str">
        <x:v>~1.61–1.65</x:v>
      </x:c>
      <x:c r="F5" s="15" t="str">
        <x:v>YES</x:v>
      </x:c>
      <x:c r="G5" s="15" t="str">
        <x:v>https://www.oddschecker.com/us/soccer/mls/sporting-kansas-city-v-st.-louis-city</x:v>
      </x:c>
      <x:c r="H5" s="15" t="str">
        <x:v>Best displayed ~-154; common around -165/1.61</x:v>
      </x:c>
      <x:c r="J5" s="15" t="str">
        <x:v>Kickoff EAT</x:v>
      </x:c>
      <x:c r="K5" s="15" t="str">
        <x:v>2026-08-20 03:25</x:v>
      </x:c>
      <x:c r="L5" s="15" t="str">
        <x:v>Pre-kick snapshot</x:v>
      </x:c>
      <x:c r="M5" s="15" t="str">
        <x:v>Official Sporting KC preview</x:v>
      </x:c>
    </x:row>
    <x:row r="6">
      <x:c r="A6" s="15" t="str">
        <x:v>O2.5 upper bound</x:v>
      </x:c>
      <x:c r="B6" s="15" t="str">
        <x:v>≤1.60</x:v>
      </x:c>
      <x:c r="C6" s="15" t="str">
        <x:v>NO</x:v>
      </x:c>
      <x:c r="D6" s="15" t="str">
        <x:v>Defines Over-heavy market environment</x:v>
      </x:c>
      <x:c r="E6" s="15" t="str">
        <x:v>~1.47</x:v>
      </x:c>
      <x:c r="F6" s="15" t="str">
        <x:v>YES</x:v>
      </x:c>
      <x:c r="G6" s="15" t="str">
        <x:v>https://www.sportsgambler.com/betting-tips/football/sporting-kansas-city-vs-st-louis-city-prediction-lineups-odds-2026-08-19/</x:v>
      </x:c>
      <x:c r="H6" s="15" t="str"/>
      <x:c r="J6" s="15" t="str">
        <x:v>Best seen U3.5</x:v>
      </x:c>
      <x:c r="K6" s="15" t="str">
        <x:v>~1.65</x:v>
      </x:c>
      <x:c r="L6" s="15" t="str">
        <x:v>Near paper-test threshold</x:v>
      </x:c>
      <x:c r="M6" s="15" t="str">
        <x:v>Oddschecker</x:v>
      </x:c>
    </x:row>
    <x:row r="7">
      <x:c r="A7" s="15" t="str">
        <x:v>Model total λ band</x:v>
      </x:c>
      <x:c r="B7" s="15" t="str">
        <x:v>2.70–3.10</x:v>
      </x:c>
      <x:c r="C7" s="15" t="str">
        <x:v>NO</x:v>
      </x:c>
      <x:c r="D7" s="15" t="str">
        <x:v>Keeps matchup profile comparable</x:v>
      </x:c>
      <x:c r="E7" s="15" t="str">
        <x:v>3.021</x:v>
      </x:c>
      <x:c r="F7" s="15" t="str">
        <x:v>YES</x:v>
      </x:c>
      <x:c r="G7" s="15" t="str">
        <x:v>Internal v0.1.6 model</x:v>
      </x:c>
      <x:c r="H7" s="15" t="str">
        <x:v>After provisional lineup adjustment</x:v>
      </x:c>
      <x:c r="J7" s="15" t="str">
        <x:v>Common U3.5</x:v>
      </x:c>
      <x:c r="K7" s="15" t="str">
        <x:v>~1.61</x:v>
      </x:c>
      <x:c r="L7" s="15" t="str">
        <x:v>Less attractive price</x:v>
      </x:c>
      <x:c r="M7" s="15" t="str">
        <x:v>Midnite / Oddschecker</x:v>
      </x:c>
    </x:row>
    <x:row r="8">
      <x:c r="A8" s="15" t="str">
        <x:v>Model edge threshold</x:v>
      </x:c>
      <x:c r="B8" s="15" t="str">
        <x:v>&gt;= +5 pp raw</x:v>
      </x:c>
      <x:c r="C8" s="15" t="str">
        <x:v>NO</x:v>
      </x:c>
      <x:c r="D8" s="15" t="str">
        <x:v>Requires material model-vs-market gap</x:v>
      </x:c>
      <x:c r="E8" s="15" t="str">
        <x:v>~+6.7 pp</x:v>
      </x:c>
      <x:c r="F8" s="15" t="str">
        <x:v>YES</x:v>
      </x:c>
      <x:c r="G8" s="15" t="str">
        <x:v>Internal v0.1.6 gate</x:v>
      </x:c>
      <x:c r="H8" s="15" t="str">
        <x:v>Raw edge only</x:v>
      </x:c>
      <x:c r="J8" s="15" t="str">
        <x:v>FOX U3.5</x:v>
      </x:c>
      <x:c r="K8" s="15" t="str">
        <x:v>-161 (~1.62)</x:v>
      </x:c>
      <x:c r="L8" s="15" t="str">
        <x:v>Reference price</x:v>
      </x:c>
      <x:c r="M8" s="15" t="str">
        <x:v>FOX Sports</x:v>
      </x:c>
    </x:row>
    <x:row r="9">
      <x:c r="A9" s="15" t="str">
        <x:v>Shrinkage</x:v>
      </x:c>
      <x:c r="B9" s="15" t="str">
        <x:v>50% model / 50% MLS prior</x:v>
      </x:c>
      <x:c r="C9" s="15" t="str">
        <x:v>NO</x:v>
      </x:c>
      <x:c r="D9" s="15" t="str">
        <x:v>Protects against unvalidated-model overconfidence</x:v>
      </x:c>
      <x:c r="E9" s="15" t="str">
        <x:v>Active</x:v>
      </x:c>
      <x:c r="F9" s="15" t="str">
        <x:v>YES</x:v>
      </x:c>
      <x:c r="G9" s="15" t="str">
        <x:v>Internal v0.1.6 rule</x:v>
      </x:c>
      <x:c r="H9" s="15" t="str"/>
      <x:c r="J9" s="15" t="str">
        <x:v>FOX bets on Over 3.5</x:v>
      </x:c>
      <x:c r="K9" s="15" t="str">
        <x:v>92%</x:v>
      </x:c>
      <x:c r="L9" s="15" t="str">
        <x:v>Record-only crowding feature</x:v>
      </x:c>
      <x:c r="M9" s="15" t="str">
        <x:v>FOX Sports</x:v>
      </x:c>
    </x:row>
    <x:row r="10">
      <x:c r="A10" s="15" t="str">
        <x:v>Discovery minimum N</x:v>
      </x:c>
      <x:c r="B10" s="15" t="str">
        <x:v>30</x:v>
      </x:c>
      <x:c r="C10" s="15" t="str">
        <x:v>NO</x:v>
      </x:c>
      <x:c r="D10" s="15" t="str">
        <x:v>Reduces tiny-sample illusion</x:v>
      </x:c>
      <x:c r="E10" s="15" t="str">
        <x:v>5 tight / 14 broad</x:v>
      </x:c>
      <x:c r="F10" s="15" t="str">
        <x:v>NO</x:v>
      </x:c>
      <x:c r="G10" s="15" t="str">
        <x:v>Internal v0.1.7 batch</x:v>
      </x:c>
      <x:c r="H10" s="15" t="str"/>
      <x:c r="J10" s="15" t="str">
        <x:v>FOX money on Over 3.5</x:v>
      </x:c>
      <x:c r="K10" s="15" t="str">
        <x:v>92%</x:v>
      </x:c>
      <x:c r="L10" s="15" t="str">
        <x:v>Record-only crowding feature</x:v>
      </x:c>
      <x:c r="M10" s="15" t="str">
        <x:v>FOX Sports</x:v>
      </x:c>
    </x:row>
    <x:row r="11">
      <x:c r="A11" s="15" t="str">
        <x:v>Independent validation N</x:v>
      </x:c>
      <x:c r="B11" s="15" t="str">
        <x:v>30</x:v>
      </x:c>
      <x:c r="C11" s="15" t="str">
        <x:v>NO</x:v>
      </x:c>
      <x:c r="D11" s="15" t="str">
        <x:v>Requires unseen season/batch</x:v>
      </x:c>
      <x:c r="E11" s="15" t="str">
        <x:v>0 complete</x:v>
      </x:c>
      <x:c r="F11" s="15" t="str">
        <x:v>NO</x:v>
      </x:c>
      <x:c r="G11" s="15" t="str">
        <x:v>2025 validation queue</x:v>
      </x:c>
      <x:c r="H11" s="15" t="str"/>
      <x:c r="J11" s="15" t="str">
        <x:v>Pattern #002</x:v>
      </x:c>
      <x:c r="K11" s="15" t="str">
        <x:v>CANDIDATE</x:v>
      </x:c>
      <x:c r="L11" s="15" t="str">
        <x:v>Frozen; no retuning</x:v>
      </x:c>
      <x:c r="M11" s="15" t="str">
        <x:v>System</x:v>
      </x:c>
    </x:row>
    <x:row r="12">
      <x:c r="A12" s="15" t="str">
        <x:v>Threshold stability</x:v>
      </x:c>
      <x:c r="B12" s="15" t="str">
        <x:v>Nearby cutoffs remain profitable</x:v>
      </x:c>
      <x:c r="C12" s="15" t="str">
        <x:v>NO</x:v>
      </x:c>
      <x:c r="D12" s="15" t="str">
        <x:v>Detects overfit cutoffs</x:v>
      </x:c>
      <x:c r="E12" s="15" t="str">
        <x:v>Mixed / unstable</x:v>
      </x:c>
      <x:c r="F12" s="15" t="str">
        <x:v>NO</x:v>
      </x:c>
      <x:c r="G12" s="15" t="str">
        <x:v>Internal v0.1.7</x:v>
      </x:c>
      <x:c r="H12" s="15" t="str"/>
      <x:c r="J12" s="15" t="str">
        <x:v>Paper-test</x:v>
      </x:c>
      <x:c r="K12" s="15" t="str">
        <x:v>YES</x:v>
      </x:c>
      <x:c r="L12" s="15" t="str">
        <x:v>Observation allowed</x:v>
      </x:c>
      <x:c r="M12" s="15" t="str">
        <x:v>System</x:v>
      </x:c>
    </x:row>
    <x:row r="13">
      <x:c r="A13" s="15" t="str">
        <x:v>Real-money promotion</x:v>
      </x:c>
      <x:c r="B13" s="15" t="str">
        <x:v>All critical gates PASS</x:v>
      </x:c>
      <x:c r="C13" s="15" t="str">
        <x:v>NO</x:v>
      </x:c>
      <x:c r="D13" s="15" t="str">
        <x:v>Capital protection</x:v>
      </x:c>
      <x:c r="E13" s="15" t="str">
        <x:v>NO</x:v>
      </x:c>
      <x:c r="F13" s="15" t="str">
        <x:v>NO</x:v>
      </x:c>
      <x:c r="G13" s="15" t="str">
        <x:v>System rule</x:v>
      </x:c>
      <x:c r="H13" s="15" t="str"/>
      <x:c r="J13" s="15" t="str">
        <x:v>Real-money gate</x:v>
      </x:c>
      <x:c r="K13" s="15" t="str">
        <x:v>NO</x:v>
      </x:c>
      <x:c r="L13" s="15" t="str">
        <x:v>Independent validation incomplete</x:v>
      </x:c>
      <x:c r="M13" s="15" t="str">
        <x:v>System</x:v>
      </x:c>
    </x:row>
    <x:row r="16">
      <x:c r="A16" s="319" t="str">
        <x:v>Validation Step</x:v>
      </x:c>
      <x:c r="B16" s="319" t="str">
        <x:v>Dataset</x:v>
      </x:c>
      <x:c r="C16" s="319" t="str">
        <x:v>Required N</x:v>
      </x:c>
      <x:c r="D16" s="319" t="str">
        <x:v>Completed N</x:v>
      </x:c>
      <x:c r="E16" s="319" t="str">
        <x:v>Status</x:v>
      </x:c>
      <x:c r="F16" s="319" t="str">
        <x:v>Frozen Rule</x:v>
      </x:c>
      <x:c r="G16" s="319" t="str">
        <x:v>Source</x:v>
      </x:c>
      <x:c r="H16" s="319" t="str">
        <x:v>Comment</x:v>
      </x:c>
      <x:c r="J16" s="327" t="str">
        <x:v>NO-HINDSIGHT LOCK</x:v>
      </x:c>
      <x:c r="K16" s="327" t="str">
        <x:v>Status</x:v>
      </x:c>
      <x:c r="L16" s="327" t="str">
        <x:v>Rule</x:v>
      </x:c>
      <x:c r="M16" s="327" t="str">
        <x:v>Reason</x:v>
      </x:c>
    </x:row>
    <x:row r="17">
      <x:c r="A17" s="15" t="str">
        <x:v>V1</x:v>
      </x:c>
      <x:c r="B17" s="15" t="str">
        <x:v>MLS 2025 regular season match-level O/U archive</x:v>
      </x:c>
      <x:c r="C17" s="15" t="n">
        <x:v>30</x:v>
      </x:c>
      <x:c r="D17" s="15" t="n">
        <x:v>0</x:v>
      </x:c>
      <x:c r="E17" s="15" t="str">
        <x:v>IN PROGRESS</x:v>
      </x:c>
      <x:c r="F17" s="15" t="str">
        <x:v>P002 unchanged</x:v>
      </x:c>
      <x:c r="G17" s="15" t="str">
        <x:v>https://www.betexplorer.com/football/usa/mls-2025/results/?stage=pWoI0GcC</x:v>
      </x:c>
      <x:c r="H17" s="15" t="str">
        <x:v>Archive confirmed; extract qualifying closing O/U rows without retuning</x:v>
      </x:c>
      <x:c r="J17" s="330" t="str">
        <x:v>Pattern definition</x:v>
      </x:c>
      <x:c r="K17" s="15" t="str">
        <x:v>LOCKED</x:v>
      </x:c>
      <x:c r="L17" s="15" t="str">
        <x:v>Do not edit P002 after 02:52 EAT</x:v>
      </x:c>
      <x:c r="M17" s="15" t="str">
        <x:v>Avoid fitting to today's result</x:v>
      </x:c>
    </x:row>
    <x:row r="18">
      <x:c r="A18" s="15" t="str">
        <x:v>V2</x:v>
      </x:c>
      <x:c r="B18" s="15" t="str">
        <x:v>Independent closing-odds methodology cross-check</x:v>
      </x:c>
      <x:c r="C18" s="15" t="n">
        <x:v>30</x:v>
      </x:c>
      <x:c r="D18" s="15" t="n">
        <x:v>0</x:v>
      </x:c>
      <x:c r="E18" s="15" t="str">
        <x:v>QUEUED</x:v>
      </x:c>
      <x:c r="F18" s="15" t="str">
        <x:v>P002 unchanged</x:v>
      </x:c>
      <x:c r="G18" s="15" t="str">
        <x:v>https://footiqo.com/betting-results/teams/goals/under35/</x:v>
      </x:c>
      <x:c r="H18" s="15" t="str">
        <x:v>Footiqo uses closing odds and 1-unit settlement for U3.5 analysis</x:v>
      </x:c>
      <x:c r="J18" s="330" t="str">
        <x:v>Today's result</x:v>
      </x:c>
      <x:c r="K18" s="15" t="str">
        <x:v>UNKNOWN</x:v>
      </x:c>
      <x:c r="L18" s="15" t="str">
        <x:v>Use only after settlement</x:v>
      </x:c>
      <x:c r="M18" s="15" t="str">
        <x:v>Preserve pre-match integrity</x:v>
      </x:c>
    </x:row>
    <x:row r="19">
      <x:c r="A19" s="15" t="str">
        <x:v>V3</x:v>
      </x:c>
      <x:c r="B19" s="15" t="str">
        <x:v>MLS 2026 future unseen batch</x:v>
      </x:c>
      <x:c r="C19" s="15" t="n">
        <x:v>30</x:v>
      </x:c>
      <x:c r="D19" s="15" t="n">
        <x:v>0</x:v>
      </x:c>
      <x:c r="E19" s="15" t="str">
        <x:v>QUEUED</x:v>
      </x:c>
      <x:c r="F19" s="15" t="str">
        <x:v>P002 unchanged</x:v>
      </x:c>
      <x:c r="G19" s="15" t="str">
        <x:v>https://footiqo.com/database/leagues/usa-mls/</x:v>
      </x:c>
      <x:c r="H19" s="15" t="str">
        <x:v>Forward validation; no changes after results</x:v>
      </x:c>
      <x:c r="J19" s="330" t="str">
        <x:v>2025 filters</x:v>
      </x:c>
      <x:c r="K19" s="15" t="str">
        <x:v>FROZEN</x:v>
      </x:c>
      <x:c r="L19" s="15" t="str">
        <x:v>Apply exact rule to archive</x:v>
      </x:c>
      <x:c r="M19" s="15" t="str">
        <x:v>True independent test</x:v>
      </x:c>
    </x:row>
    <x:row r="20">
      <x:c r="J20" s="330" t="str">
        <x:v>Crowding feature</x:v>
      </x:c>
      <x:c r="K20" s="15" t="str">
        <x:v>RECORD ONLY</x:v>
      </x:c>
      <x:c r="L20" s="15" t="str">
        <x:v>Zero model weight in v0.1.x</x:v>
      </x:c>
      <x:c r="M20" s="15" t="str">
        <x:v>Needs separate validation</x:v>
      </x:c>
    </x:row>
    <x:row r="21">
      <x:c r="J21" s="330" t="str">
        <x:v>Lineup adjustment</x:v>
      </x:c>
      <x:c r="K21" s="15" t="str">
        <x:v>+0.10 λ</x:v>
      </x:c>
      <x:c r="L21" s="15" t="str">
        <x:v>Already frozen</x:v>
      </x:c>
      <x:c r="M21" s="15" t="str">
        <x:v>Do not revise after result</x:v>
      </x:c>
    </x:row>
    <x:row r="22">
      <x:c r="J22" s="330" t="str">
        <x:v>Promotion decision</x:v>
      </x:c>
      <x:c r="K22" s="15" t="str">
        <x:v>NO</x:v>
      </x:c>
      <x:c r="L22" s="15" t="str">
        <x:v>Requires &gt;=30 independent qualifiers</x:v>
      </x:c>
      <x:c r="M22" s="15" t="str">
        <x:v>Capital gate</x:v>
      </x:c>
    </x:row>
  </x:sheetData>
  <x:mergeCells>
    <x:mergeCell ref="A1:H1"/>
  </x:mergeCells>
  <x:conditionalFormatting sqref="F4:F13">
    <x:cfRule type="expression" dxfId="31" priority="1">
      <x:formula>F4="YES"</x:formula>
    </x:cfRule>
    <x:cfRule type="expression" dxfId="32" priority="2">
      <x:formula>F4="NO"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4" hidden="0" customWidth="1"/>
    <x:col min="5" max="5" width="22" hidden="0" customWidth="1"/>
    <x:col min="6" max="6" width="20" hidden="0" customWidth="1"/>
    <x:col min="7" max="7" width="44" hidden="0" customWidth="1"/>
    <x:col min="8" max="8" width="36" hidden="0" customWidth="1"/>
    <x:col min="9" max="9" width="34" hidden="0" customWidth="1"/>
    <x:col min="10" max="10" width="44" hidden="0" customWidth="1"/>
    <x:col min="11" max="11" width="26" hidden="0" customWidth="1"/>
  </x:cols>
  <x:sheetData>
    <x:row r="1" ht="28" customHeight="1">
      <x:c r="A1" s="370" t="str">
        <x:v>BETTING INTELLIGENCE v0.2.0 — DATA INTEGRITY &amp; ODDS NORMALIZATION</x:v>
      </x:c>
      <x:c r="B1" s="370"/>
      <x:c r="C1" s="370"/>
      <x:c r="D1" s="370"/>
      <x:c r="E1" s="370"/>
      <x:c r="F1" s="370"/>
      <x:c r="G1" s="370"/>
      <x:c r="H1" s="370"/>
      <x:c r="I1" s="370"/>
      <x:c r="J1" s="370"/>
      <x:c r="K1" s="15"/>
    </x:row>
    <x:row r="3">
      <x:c r="A3" s="345" t="str">
        <x:v>Control</x:v>
      </x:c>
      <x:c r="B3" s="345" t="str">
        <x:v>Historical Rule</x:v>
      </x:c>
      <x:c r="C3" s="345" t="str">
        <x:v>Live Rule</x:v>
      </x:c>
      <x:c r="D3" s="345" t="str">
        <x:v>Why</x:v>
      </x:c>
      <x:c r="E3" s="345" t="str">
        <x:v>Current Status</x:v>
      </x:c>
      <x:c r="F3" s="345" t="str">
        <x:v>Can Promote P002?</x:v>
      </x:c>
      <x:c r="G3" s="345" t="str">
        <x:v>Source / Evidence</x:v>
      </x:c>
      <x:c r="H3" s="345" t="str">
        <x:v>Failure Mode</x:v>
      </x:c>
      <x:c r="I3" s="345" t="str">
        <x:v>Next Action</x:v>
      </x:c>
      <x:c r="J3" s="345" t="str">
        <x:v>Locked?</x:v>
      </x:c>
    </x:row>
    <x:row r="4">
      <x:c r="A4" s="15" t="str">
        <x:v>Odds source</x:v>
      </x:c>
      <x:c r="B4" s="15" t="str">
        <x:v>1xBet closing odds (Footiqo historical methodology)</x:v>
      </x:c>
      <x:c r="C4" s="15" t="str">
        <x:v>Record market consensus separately from actual execution price</x:v>
      </x:c>
      <x:c r="D4" s="15" t="str">
        <x:v>Prevents comparing one bookmaker's close with another bookmaker's best price</x:v>
      </x:c>
      <x:c r="E4" s="15" t="str">
        <x:v>MISMATCH FOUND</x:v>
      </x:c>
      <x:c r="F4" s="15" t="str">
        <x:v>NO</x:v>
      </x:c>
      <x:c r="G4" s="15" t="str">
        <x:v>https://footiqo.com/betting-results/teams/goals/under35/</x:v>
      </x:c>
      <x:c r="H4" s="15" t="str">
        <x:v>False ROI / false edge</x:v>
      </x:c>
      <x:c r="I4" s="15" t="str">
        <x:v>Separate reference odds from execution odds</x:v>
      </x:c>
      <x:c r="J4" s="15" t="str">
        <x:v>YES</x:v>
      </x:c>
    </x:row>
    <x:row r="5">
      <x:c r="A5" s="15" t="str">
        <x:v>Odds timestamp</x:v>
      </x:c>
      <x:c r="B5" s="15" t="str">
        <x:v>Closing price</x:v>
      </x:c>
      <x:c r="C5" s="15" t="str">
        <x:v>T-30, T-10 and execution timestamp</x:v>
      </x:c>
      <x:c r="D5" s="15" t="str">
        <x:v>A line can move materially before kickoff</x:v>
      </x:c>
      <x:c r="E5" s="15" t="str">
        <x:v>PARTIAL</x:v>
      </x:c>
      <x:c r="F5" s="15" t="str">
        <x:v>NO</x:v>
      </x:c>
      <x:c r="G5" s="15" t="str">
        <x:v>Internal live snapshots</x:v>
      </x:c>
      <x:c r="H5" s="15" t="str">
        <x:v>Backtest uses information not available at decision time</x:v>
      </x:c>
      <x:c r="I5" s="15" t="str">
        <x:v>Add timestamped consensus snapshots</x:v>
      </x:c>
      <x:c r="J5" s="15" t="str">
        <x:v>YES</x:v>
      </x:c>
    </x:row>
    <x:row r="6">
      <x:c r="A6" s="15" t="str">
        <x:v>Eligibility price</x:v>
      </x:c>
      <x:c r="B6" s="15" t="str">
        <x:v>Reference historical price only</x:v>
      </x:c>
      <x:c r="C6" s="15" t="str">
        <x:v>Consensus median/reference line</x:v>
      </x:c>
      <x:c r="D6" s="15" t="str">
        <x:v>Pattern qualification must not depend on cherry-picked best book</x:v>
      </x:c>
      <x:c r="E6" s="15" t="str">
        <x:v>NEEDS NORMALIZATION</x:v>
      </x:c>
      <x:c r="F6" s="15" t="str">
        <x:v>NO</x:v>
      </x:c>
      <x:c r="G6" s="15" t="str">
        <x:v>FootyStats multi-book pages show material price dispersion</x:v>
      </x:c>
      <x:c r="H6" s="15" t="str">
        <x:v>Same match qualifies at one book but fails at another</x:v>
      </x:c>
      <x:c r="I6" s="15" t="str">
        <x:v>Freeze reference-price convention</x:v>
      </x:c>
      <x:c r="J6" s="15" t="str">
        <x:v>YES</x:v>
      </x:c>
    </x:row>
    <x:row r="7">
      <x:c r="A7" s="15" t="str">
        <x:v>Execution price</x:v>
      </x:c>
      <x:c r="B7" s="15" t="str">
        <x:v>Not applicable to pattern discovery</x:v>
      </x:c>
      <x:c r="C7" s="15" t="str">
        <x:v>User's actual bookmaker odds</x:v>
      </x:c>
      <x:c r="D7" s="15" t="str">
        <x:v>Real profit depends on price actually obtainable by the bettor</x:v>
      </x:c>
      <x:c r="E7" s="15" t="str">
        <x:v>MISSING</x:v>
      </x:c>
      <x:c r="F7" s="15" t="str">
        <x:v>NO</x:v>
      </x:c>
      <x:c r="G7" s="15" t="str">
        <x:v>System rule</x:v>
      </x:c>
      <x:c r="H7" s="15" t="str">
        <x:v>Paper edge mistaken for executable edge</x:v>
      </x:c>
      <x:c r="I7" s="15" t="str">
        <x:v>Record bookmaker + actual offered odds before real-money gate</x:v>
      </x:c>
      <x:c r="J7" s="15" t="str">
        <x:v>YES</x:v>
      </x:c>
    </x:row>
    <x:row r="8">
      <x:c r="A8" s="15" t="str">
        <x:v>Market probability</x:v>
      </x:c>
      <x:c r="B8" s="15" t="str">
        <x:v>De-vig a paired O/U line from same source</x:v>
      </x:c>
      <x:c r="C8" s="15" t="str">
        <x:v>Use paired line from same book/snapshot</x:v>
      </x:c>
      <x:c r="D8" s="15" t="str">
        <x:v>Avoids mixing Over from one book with Under from another</x:v>
      </x:c>
      <x:c r="E8" s="15" t="str">
        <x:v>LOCKED</x:v>
      </x:c>
      <x:c r="F8" s="15" t="str">
        <x:v>NO</x:v>
      </x:c>
      <x:c r="G8" s="15" t="str">
        <x:v>Internal methodology</x:v>
      </x:c>
      <x:c r="H8" s="15" t="str">
        <x:v>Incorrect fair probability</x:v>
      </x:c>
      <x:c r="I8" s="15" t="str">
        <x:v>Keep paired prices together</x:v>
      </x:c>
      <x:c r="J8" s="15" t="str">
        <x:v>YES</x:v>
      </x:c>
    </x:row>
    <x:row r="9">
      <x:c r="A9" s="15" t="str">
        <x:v>CLV</x:v>
      </x:c>
      <x:c r="B9" s="15" t="str">
        <x:v>Historical closing reference</x:v>
      </x:c>
      <x:c r="C9" s="15" t="str">
        <x:v>Execution odds vs closing reference</x:v>
      </x:c>
      <x:c r="D9" s="15" t="str">
        <x:v>Shows whether entries beat the market even when result loses</x:v>
      </x:c>
      <x:c r="E9" s="15" t="str">
        <x:v>NOT YET MEASURED</x:v>
      </x:c>
      <x:c r="F9" s="15" t="str">
        <x:v>NO</x:v>
      </x:c>
      <x:c r="G9" s="15" t="str">
        <x:v>System rule</x:v>
      </x:c>
      <x:c r="H9" s="15" t="str">
        <x:v>Judging skill only by W/L</x:v>
      </x:c>
      <x:c r="I9" s="15" t="str">
        <x:v>Add post-kick closing line field</x:v>
      </x:c>
      <x:c r="J9" s="15" t="str">
        <x:v>YES</x:v>
      </x:c>
    </x:row>
    <x:row r="12">
      <x:c r="A12" s="350" t="str">
        <x:v>Field</x:v>
      </x:c>
      <x:c r="B12" s="350" t="str">
        <x:v>Purpose</x:v>
      </x:c>
      <x:c r="C12" s="350" t="str">
        <x:v>Historical Backtest</x:v>
      </x:c>
      <x:c r="D12" s="350" t="str">
        <x:v>Live Decision</x:v>
      </x:c>
      <x:c r="E12" s="350" t="str">
        <x:v>Example Current Match</x:v>
      </x:c>
      <x:c r="F12" s="350" t="str">
        <x:v>Mandatory?</x:v>
      </x:c>
      <x:c r="G12" s="350" t="str">
        <x:v>Status</x:v>
      </x:c>
      <x:c r="H12" s="350" t="str">
        <x:v>Formula / Rule</x:v>
      </x:c>
      <x:c r="I12" s="350" t="str">
        <x:v>Source</x:v>
      </x:c>
      <x:c r="J12" s="350" t="str">
        <x:v>Notes</x:v>
      </x:c>
    </x:row>
    <x:row r="13">
      <x:c r="A13" s="15" t="str">
        <x:v>Reference_O2.5</x:v>
      </x:c>
      <x:c r="B13" s="15" t="str">
        <x:v>Pattern qualification</x:v>
      </x:c>
      <x:c r="C13" s="15" t="str">
        <x:v>1xBet closing O2.5</x:v>
      </x:c>
      <x:c r="D13" s="15" t="str">
        <x:v>Consensus/reference O2.5 at snapshot</x:v>
      </x:c>
      <x:c r="E13" s="15" t="str">
        <x:v>~1.47 observed across sources</x:v>
      </x:c>
      <x:c r="F13" s="15" t="str">
        <x:v>YES</x:v>
      </x:c>
      <x:c r="G13" s="15" t="str">
        <x:v>AVAILABLE</x:v>
      </x:c>
      <x:c r="H13" s="15" t="str">
        <x:v>Never use best-price cherry pick</x:v>
      </x:c>
      <x:c r="I13" s="15" t="str">
        <x:v>Footiqo / current odds sources</x:v>
      </x:c>
      <x:c r="J13" s="15" t="str"/>
    </x:row>
    <x:row r="14">
      <x:c r="A14" s="15" t="str">
        <x:v>Reference_U3.5</x:v>
      </x:c>
      <x:c r="B14" s="15" t="str">
        <x:v>Pattern qualification</x:v>
      </x:c>
      <x:c r="C14" s="15" t="str">
        <x:v>1xBet closing U3.5</x:v>
      </x:c>
      <x:c r="D14" s="15" t="str">
        <x:v>Consensus/reference U3.5 at snapshot</x:v>
      </x:c>
      <x:c r="E14" s="15" t="str">
        <x:v>~1.61–1.65</x:v>
      </x:c>
      <x:c r="F14" s="15" t="str">
        <x:v>YES</x:v>
      </x:c>
      <x:c r="G14" s="15" t="str">
        <x:v>AVAILABLE</x:v>
      </x:c>
      <x:c r="H14" s="15" t="str">
        <x:v>Use same reference convention as O2.5</x:v>
      </x:c>
      <x:c r="I14" s="15" t="str">
        <x:v>Footiqo / current odds sources</x:v>
      </x:c>
      <x:c r="J14" s="15" t="str"/>
    </x:row>
    <x:row r="15">
      <x:c r="A15" s="15" t="str">
        <x:v>Execution_U3.5</x:v>
      </x:c>
      <x:c r="B15" s="15" t="str">
        <x:v>Actual paper/real return</x:v>
      </x:c>
      <x:c r="C15" s="15" t="str">
        <x:v>Historical reference price</x:v>
      </x:c>
      <x:c r="D15" s="15" t="str">
        <x:v>Actual bookmaker price user can place</x:v>
      </x:c>
      <x:c r="E15" s="15" t="str">
        <x:v>NOT RECORDED</x:v>
      </x:c>
      <x:c r="F15" s="15" t="str">
        <x:v>YES for real bet</x:v>
      </x:c>
      <x:c r="G15" s="15" t="str">
        <x:v>MISSING</x:v>
      </x:c>
      <x:c r="H15" s="15" t="str">
        <x:v>EV = model_P × execution_odds − 1</x:v>
      </x:c>
      <x:c r="I15" s="15" t="str">
        <x:v>User execution source</x:v>
      </x:c>
      <x:c r="J15" s="15" t="str">
        <x:v>Critical</x:v>
      </x:c>
    </x:row>
    <x:row r="16">
      <x:c r="A16" s="15" t="str">
        <x:v>Execution_Book</x:v>
      </x:c>
      <x:c r="B16" s="15" t="str">
        <x:v>Audit trail</x:v>
      </x:c>
      <x:c r="C16" s="15" t="str">
        <x:v>1xBet in historical dataset</x:v>
      </x:c>
      <x:c r="D16" s="15" t="str">
        <x:v>Actual bookmaker used</x:v>
      </x:c>
      <x:c r="E16" s="15" t="str">
        <x:v>NOT RECORDED</x:v>
      </x:c>
      <x:c r="F16" s="15" t="str">
        <x:v>YES for real bet</x:v>
      </x:c>
      <x:c r="G16" s="15" t="str">
        <x:v>MISSING</x:v>
      </x:c>
      <x:c r="H16" s="15" t="str">
        <x:v>Exact book name</x:v>
      </x:c>
      <x:c r="I16" s="15" t="str">
        <x:v>User execution source</x:v>
      </x:c>
      <x:c r="J16" s="15" t="str">
        <x:v>Critical</x:v>
      </x:c>
    </x:row>
    <x:row r="17">
      <x:c r="A17" s="15" t="str">
        <x:v>Snapshot_Time</x:v>
      </x:c>
      <x:c r="B17" s="15" t="str">
        <x:v>No hindsight</x:v>
      </x:c>
      <x:c r="C17" s="15" t="str">
        <x:v>Close timestamp</x:v>
      </x:c>
      <x:c r="D17" s="15" t="str">
        <x:v>T-30/T-10/execution</x:v>
      </x:c>
      <x:c r="E17" s="15" t="str">
        <x:v>Pre-kick snapshots exist</x:v>
      </x:c>
      <x:c r="F17" s="15" t="str">
        <x:v>YES</x:v>
      </x:c>
      <x:c r="G17" s="15" t="str">
        <x:v>PASS</x:v>
      </x:c>
      <x:c r="H17" s="15" t="str">
        <x:v>Must be before kickoff</x:v>
      </x:c>
      <x:c r="I17" s="15" t="str">
        <x:v>Internal</x:v>
      </x:c>
      <x:c r="J17" s="15" t="str"/>
    </x:row>
    <x:row r="18">
      <x:c r="A18" s="15" t="str">
        <x:v>Closing_U3.5</x:v>
      </x:c>
      <x:c r="B18" s="15" t="str">
        <x:v>CLV benchmark</x:v>
      </x:c>
      <x:c r="C18" s="15" t="str">
        <x:v>Historical close</x:v>
      </x:c>
      <x:c r="D18" s="15" t="str">
        <x:v>Captured after decision / before kick</x:v>
      </x:c>
      <x:c r="E18" s="15" t="str">
        <x:v>Pending</x:v>
      </x:c>
      <x:c r="F18" s="15" t="str">
        <x:v>YES later</x:v>
      </x:c>
      <x:c r="G18" s="15" t="str">
        <x:v>PENDING</x:v>
      </x:c>
      <x:c r="H18" s="15" t="str">
        <x:v>CLV = execution/close - 1 (price-ratio convention)</x:v>
      </x:c>
      <x:c r="I18" s="15" t="str">
        <x:v>Closing market source</x:v>
      </x:c>
      <x:c r="J18" s="15" t="str"/>
    </x:row>
    <x:row r="19">
      <x:c r="A19" s="15" t="str">
        <x:v>Consensus_Books_N</x:v>
      </x:c>
      <x:c r="B19" s="15" t="str">
        <x:v>Market quality</x:v>
      </x:c>
      <x:c r="C19" s="15" t="str">
        <x:v>N/A</x:v>
      </x:c>
      <x:c r="D19" s="15" t="str">
        <x:v>At least 3 preferred</x:v>
      </x:c>
      <x:c r="E19" s="15" t="str">
        <x:v>Several sources observed but not normalized</x:v>
      </x:c>
      <x:c r="F19" s="15" t="str">
        <x:v>YES</x:v>
      </x:c>
      <x:c r="G19" s="15" t="str">
        <x:v>PARTIAL</x:v>
      </x:c>
      <x:c r="H19" s="15" t="str">
        <x:v>Do not label consensus with N&lt;3</x:v>
      </x:c>
      <x:c r="I19" s="15" t="str">
        <x:v>System rule</x:v>
      </x:c>
      <x:c r="J19" s="15" t="str"/>
    </x:row>
    <x:row r="22">
      <x:c r="A22" s="355" t="str">
        <x:v>2025 Audit Example</x:v>
      </x:c>
      <x:c r="B22" s="355" t="str">
        <x:v>Date</x:v>
      </x:c>
      <x:c r="C22" s="355" t="str">
        <x:v>O2.5 Price Evidence</x:v>
      </x:c>
      <x:c r="D22" s="355" t="str">
        <x:v>U3.5 Price Evidence</x:v>
      </x:c>
      <x:c r="E22" s="355" t="str">
        <x:v>Frozen Price Rule</x:v>
      </x:c>
      <x:c r="F22" s="355" t="str">
        <x:v>Would Qualify?</x:v>
      </x:c>
      <x:c r="G22" s="355" t="str">
        <x:v>90-min Result</x:v>
      </x:c>
      <x:c r="H22" s="355" t="str">
        <x:v>U3.5 Outcome</x:v>
      </x:c>
      <x:c r="I22" s="355" t="str">
        <x:v>Validation Use</x:v>
      </x:c>
      <x:c r="J22" s="355" t="str">
        <x:v>Sources</x:v>
      </x:c>
    </x:row>
    <x:row r="23">
      <x:c r="A23" s="15" t="str">
        <x:v>Inter Miami vs Seattle Sounders</x:v>
      </x:c>
      <x:c r="B23" s="15" t="str">
        <x:v>2025-09-17</x:v>
      </x:c>
      <x:c r="C23" s="15" t="str">
        <x:v>Multi-book O2.5 roughly 1.47–1.65</x:v>
      </x:c>
      <x:c r="D23" s="15" t="str">
        <x:v>Multi-book U3.5 roughly 1.47–1.70</x:v>
      </x:c>
      <x:c r="E23" s="15" t="str">
        <x:v>O2.5≤1.60; U3.5 1.55–1.75</x:v>
      </x:c>
      <x:c r="F23" s="15" t="str">
        <x:v>AMBIGUOUS BY BOOK</x:v>
      </x:c>
      <x:c r="G23" s="15" t="str">
        <x:v>3-1</x:v>
      </x:c>
      <x:c r="H23" s="15" t="str">
        <x:v>LOSS</x:v>
      </x:c>
      <x:c r="I23" s="15" t="str">
        <x:v>AUDIT ONLY</x:v>
      </x:c>
      <x:c r="J23" s="15" t="str">
        <x:v>https://footystats.org/usa/seattle-sounders-fc-vs-club-internacional-de-futbol-miami-h2h-stats/predictions ; https://www.betexplorer.com/football/usa/mls-2025/results/?stage=pWoI0GcC</x:v>
      </x:c>
    </x:row>
    <x:row r="24">
      <x:c r="A24" s="15" t="str">
        <x:v>LA Galaxy vs FC Cincinnati</x:v>
      </x:c>
      <x:c r="B24" s="15" t="str">
        <x:v>2025-09-21</x:v>
      </x:c>
      <x:c r="C24" s="15" t="str">
        <x:v>O2.5 summary price 1.57</x:v>
      </x:c>
      <x:c r="D24" s="15" t="str">
        <x:v>U3.5 summary price 1.80</x:v>
      </x:c>
      <x:c r="E24" s="15" t="str">
        <x:v>O2.5≤1.60; U3.5 1.55–1.75</x:v>
      </x:c>
      <x:c r="F24" s="15" t="str">
        <x:v>NO — U3.5 TOO HIGH</x:v>
      </x:c>
      <x:c r="G24" s="15" t="str">
        <x:v>2-3</x:v>
      </x:c>
      <x:c r="H24" s="15" t="str">
        <x:v>LOSS</x:v>
      </x:c>
      <x:c r="I24" s="15" t="str">
        <x:v>BOUNDARY TEST</x:v>
      </x:c>
      <x:c r="J24" s="15" t="str">
        <x:v>https://footystats.org/usa/la-galaxy-vs-fc-cincinnati-h2h-stats/predictions ; https://www.betexplorer.com/football/usa/mls-2025/results/?stage=pWoI0GcC</x:v>
      </x:c>
    </x:row>
    <x:row r="25">
      <x:c r="A25" s="15" t="str">
        <x:v>Vancouver Whitecaps vs Philadelphia Union</x:v>
      </x:c>
      <x:c r="B25" s="15" t="str">
        <x:v>2025-09-14</x:v>
      </x:c>
      <x:c r="C25" s="15" t="str">
        <x:v>O2.5 summary price 1.63</x:v>
      </x:c>
      <x:c r="D25" s="15" t="str">
        <x:v>U3.5 summary price 1.62</x:v>
      </x:c>
      <x:c r="E25" s="15" t="str">
        <x:v>O2.5≤1.60; U3.5 1.55–1.75</x:v>
      </x:c>
      <x:c r="F25" s="15" t="str">
        <x:v>NO — O2.5 TOO HIGH</x:v>
      </x:c>
      <x:c r="G25" s="15" t="str">
        <x:v>7-0</x:v>
      </x:c>
      <x:c r="H25" s="15" t="str">
        <x:v>LOSS</x:v>
      </x:c>
      <x:c r="I25" s="15" t="str">
        <x:v>BOUNDARY TEST</x:v>
      </x:c>
      <x:c r="J25" s="15" t="str">
        <x:v>https://footystats.org/hu/usa/vancouver-whitecaps-fc-vs-philadelphia-union-h2h-stats/predictions ; https://www.betexplorer.com/football/usa/mls-2025/results/?stage=pWoI0GcC</x:v>
      </x:c>
    </x:row>
    <x:row r="28">
      <x:c r="A28" s="360" t="str">
        <x:v>League Snapshot</x:v>
      </x:c>
      <x:c r="B28" s="360" t="str">
        <x:v>Season / Date Context</x:v>
      </x:c>
      <x:c r="C28" s="360" t="str">
        <x:v>Over 2.5</x:v>
      </x:c>
      <x:c r="D28" s="360" t="str">
        <x:v>Over 3.5</x:v>
      </x:c>
      <x:c r="E28" s="360" t="str">
        <x:v>Under 3.5</x:v>
      </x:c>
      <x:c r="F28" s="360" t="str">
        <x:v>Interpretation</x:v>
      </x:c>
      <x:c r="G28" s="360" t="str">
        <x:v>Use in Model?</x:v>
      </x:c>
      <x:c r="H28" s="360" t="str">
        <x:v>Source</x:v>
      </x:c>
      <x:c r="J28" s="363" t="str">
        <x:v>REGIME CHECK</x:v>
      </x:c>
      <x:c r="K28" s="363" t="str">
        <x:v>Value</x:v>
      </x:c>
    </x:row>
    <x:row r="29">
      <x:c r="A29" s="15" t="str">
        <x:v>Early-season 2025</x:v>
      </x:c>
      <x:c r="B29" s="15" t="str">
        <x:v>FootyStats page for 3 Mar 2025</x:v>
      </x:c>
      <x:c r="C29" s="125" t="n">
        <x:v>0.53</x:v>
      </x:c>
      <x:c r="D29" s="125" t="n">
        <x:v>0.43</x:v>
      </x:c>
      <x:c r="E29" s="125" t="n">
        <x:v>0.57</x:v>
      </x:c>
      <x:c r="F29" s="15" t="str">
        <x:v>High-scoring early regime</x:v>
      </x:c>
      <x:c r="G29" s="15" t="str">
        <x:v>PRIOR AUDIT</x:v>
      </x:c>
      <x:c r="H29" s="15" t="str">
        <x:v>https://footystats.org/usa/houston-dynamo-vs-club-internacional-de-futbol-miami-h2h-stats/predictions</x:v>
      </x:c>
      <x:c r="J29" s="365" t="str">
        <x:v>2025 U3.5 early</x:v>
      </x:c>
      <x:c r="K29" s="32" t="n">
        <x:v>0.57</x:v>
      </x:c>
    </x:row>
    <x:row r="30">
      <x:c r="A30" s="15" t="str">
        <x:v>Late-season 2025</x:v>
      </x:c>
      <x:c r="B30" s="15" t="str">
        <x:v>FootyStats page for 21 Sep 2025</x:v>
      </x:c>
      <x:c r="C30" s="125" t="n">
        <x:v>0.56</x:v>
      </x:c>
      <x:c r="D30" s="125" t="n">
        <x:v>0.33</x:v>
      </x:c>
      <x:c r="E30" s="125" t="n">
        <x:v>0.67</x:v>
      </x:c>
      <x:c r="F30" s="15" t="str">
        <x:v>Under 3.5 frequency rose materially</x:v>
      </x:c>
      <x:c r="G30" s="15" t="str">
        <x:v>PRIOR AUDIT</x:v>
      </x:c>
      <x:c r="H30" s="15" t="str">
        <x:v>https://footystats.org/usa/la-galaxy-vs-fc-cincinnati-h2h-stats/predictions</x:v>
      </x:c>
      <x:c r="J30" s="365" t="str">
        <x:v>2025 U3.5 late</x:v>
      </x:c>
      <x:c r="K30" s="32" t="n">
        <x:v>0.67</x:v>
      </x:c>
    </x:row>
    <x:row r="31">
      <x:c r="A31" s="15" t="str">
        <x:v>Current 2026</x:v>
      </x:c>
      <x:c r="B31" s="15" t="str">
        <x:v>284 matches at current snapshot</x:v>
      </x:c>
      <x:c r="C31" s="125" t="n">
        <x:v>0.61</x:v>
      </x:c>
      <x:c r="D31" s="125" t="n">
        <x:v>0.39</x:v>
      </x:c>
      <x:c r="E31" s="125" t="n">
        <x:v>0.61</x:v>
      </x:c>
      <x:c r="F31" s="15" t="str">
        <x:v>Different regime again</x:v>
      </x:c>
      <x:c r="G31" s="15" t="str">
        <x:v>ACTIVE LEAGUE PRIOR</x:v>
      </x:c>
      <x:c r="H31" s="15" t="str">
        <x:v>https://footystats.org/usa/mls</x:v>
      </x:c>
      <x:c r="J31" s="365" t="str">
        <x:v>Early→late shift</x:v>
      </x:c>
      <x:c r="K31" s="32" t="n">
        <x:f>K30-K29</x:f>
        <x:v>0.10000000000000009</x:v>
      </x:c>
    </x:row>
    <x:row r="32">
      <x:c r="J32" s="365" t="str">
        <x:v>2026 current U3.5</x:v>
      </x:c>
      <x:c r="K32" s="32" t="n">
        <x:v>0.61</x:v>
      </x:c>
    </x:row>
    <x:row r="33">
      <x:c r="J33" s="365" t="str">
        <x:v>Late2025→2026 shift</x:v>
      </x:c>
      <x:c r="K33" s="32" t="n">
        <x:f>K32-K30</x:f>
        <x:v>-0.06000000000000005</x:v>
      </x:c>
    </x:row>
    <x:row r="34">
      <x:c r="A34" s="369" t="str">
        <x:v>P002 v0.2.0 Gate</x:v>
      </x:c>
      <x:c r="B34" s="369" t="str">
        <x:v>Requirement</x:v>
      </x:c>
      <x:c r="C34" s="369" t="str">
        <x:v>Current</x:v>
      </x:c>
      <x:c r="D34" s="369" t="str">
        <x:v>Status</x:v>
      </x:c>
      <x:c r="E34" s="369" t="str">
        <x:v>Why</x:v>
      </x:c>
      <x:c r="F34" s="369" t="str">
        <x:v>Next Step</x:v>
      </x:c>
      <x:c r="G34" s="369" t="str">
        <x:v>Locked</x:v>
      </x:c>
      <x:c r="J34" s="365" t="str">
        <x:v>Rule</x:v>
      </x:c>
      <x:c r="K34" t="str">
        <x:v>Use rolling/time-split priors, not one season-wide constant</x:v>
      </x:c>
    </x:row>
    <x:row r="35">
      <x:c r="A35" s="15" t="str">
        <x:v>Reference odds convention</x:v>
      </x:c>
      <x:c r="B35" s="15" t="str">
        <x:v>Explicit + consistent</x:v>
      </x:c>
      <x:c r="C35" s="15" t="str">
        <x:v>DEFINED NOW</x:v>
      </x:c>
      <x:c r="D35" s="15" t="str">
        <x:v>PASS</x:v>
      </x:c>
      <x:c r="E35" s="15" t="str">
        <x:v>Historical/live odds must be comparable</x:v>
      </x:c>
      <x:c r="F35" s="15" t="str">
        <x:v>Use reference vs execution fields separately</x:v>
      </x:c>
      <x:c r="G35" s="15" t="str">
        <x:v>YES</x:v>
      </x:c>
    </x:row>
    <x:row r="36">
      <x:c r="A36" s="15" t="str">
        <x:v>Execution price captured</x:v>
      </x:c>
      <x:c r="B36" s="15" t="str">
        <x:v>Book + actual odds</x:v>
      </x:c>
      <x:c r="C36" s="15" t="str">
        <x:v>MISSING</x:v>
      </x:c>
      <x:c r="D36" s="15" t="str">
        <x:v>FAIL</x:v>
      </x:c>
      <x:c r="E36" s="15" t="str">
        <x:v>Cannot calculate executable EV</x:v>
      </x:c>
      <x:c r="F36" s="15" t="str">
        <x:v>Record actual offered odds before any real-money decision</x:v>
      </x:c>
      <x:c r="G36" s="15" t="str">
        <x:v>YES</x:v>
      </x:c>
    </x:row>
    <x:row r="37">
      <x:c r="A37" s="15" t="str">
        <x:v>Historical exact qualifiers</x:v>
      </x:c>
      <x:c r="B37" s="15" t="str">
        <x:v>&gt;=30</x:v>
      </x:c>
      <x:c r="C37" s="15" t="str">
        <x:v>0 normalized</x:v>
      </x:c>
      <x:c r="D37" s="15" t="str">
        <x:v>FAIL</x:v>
      </x:c>
      <x:c r="E37" s="15" t="str">
        <x:v>Previous batch mixed conventions</x:v>
      </x:c>
      <x:c r="F37" s="15" t="str">
        <x:v>Rebuild from one historical source convention</x:v>
      </x:c>
      <x:c r="G37" s="15" t="str">
        <x:v>YES</x:v>
      </x:c>
    </x:row>
    <x:row r="38">
      <x:c r="A38" s="15" t="str">
        <x:v>Independent season validation</x:v>
      </x:c>
      <x:c r="B38" s="15" t="str">
        <x:v>&gt;=30 exact qualifiers</x:v>
      </x:c>
      <x:c r="C38" s="15" t="str">
        <x:v>0</x:v>
      </x:c>
      <x:c r="D38" s="15" t="str">
        <x:v>FAIL</x:v>
      </x:c>
      <x:c r="E38" s="15" t="str">
        <x:v>No full exact match-level sample yet</x:v>
      </x:c>
      <x:c r="F38" s="15" t="str">
        <x:v>Extract without retuning</x:v>
      </x:c>
      <x:c r="G38" s="15" t="str">
        <x:v>YES</x:v>
      </x:c>
    </x:row>
    <x:row r="39">
      <x:c r="A39" s="15" t="str">
        <x:v>Threshold stability</x:v>
      </x:c>
      <x:c r="B39" s="15" t="str">
        <x:v>Nearby bands positive</x:v>
      </x:c>
      <x:c r="C39" s="15" t="str">
        <x:v>Mixed</x:v>
      </x:c>
      <x:c r="D39" s="15" t="str">
        <x:v>FAIL</x:v>
      </x:c>
      <x:c r="E39" s="15" t="str">
        <x:v>Possible overfit remains</x:v>
      </x:c>
      <x:c r="F39" s="15" t="str">
        <x:v>Re-test after normalized sample</x:v>
      </x:c>
      <x:c r="G39" s="15" t="str">
        <x:v>YES</x:v>
      </x:c>
    </x:row>
    <x:row r="40">
      <x:c r="A40" s="15" t="str">
        <x:v>Time/regime robustness</x:v>
      </x:c>
      <x:c r="B40" s="15" t="str">
        <x:v>Stable across time blocks</x:v>
      </x:c>
      <x:c r="C40" s="15" t="str">
        <x:v>NOT TESTED</x:v>
      </x:c>
      <x:c r="D40" s="15" t="str">
        <x:v>FAIL</x:v>
      </x:c>
      <x:c r="E40" s="15" t="str">
        <x:v>2025 itself changed by ~10pp</x:v>
      </x:c>
      <x:c r="F40" s="15" t="str">
        <x:v>Use early/mid/late time splits</x:v>
      </x:c>
      <x:c r="G40" s="15" t="str">
        <x:v>YES</x:v>
      </x:c>
    </x:row>
    <x:row r="41">
      <x:c r="A41" s="15" t="str">
        <x:v>Real-money promotion</x:v>
      </x:c>
      <x:c r="B41" s="15" t="str">
        <x:v>All critical gates PASS</x:v>
      </x:c>
      <x:c r="C41" s="15" t="str">
        <x:v>NO</x:v>
      </x:c>
      <x:c r="D41" s="15" t="str">
        <x:v>FAIL</x:v>
      </x:c>
      <x:c r="E41" s="15" t="str">
        <x:v>System is not ready</x:v>
      </x:c>
      <x:c r="F41" s="15" t="str">
        <x:v>PAPER ONLY</x:v>
      </x:c>
      <x:c r="G41" s="15" t="str">
        <x:v>YES</x:v>
      </x:c>
    </x:row>
  </x:sheetData>
  <x:mergeCells>
    <x:mergeCell ref="A1:J1"/>
  </x:mergeCells>
  <x:conditionalFormatting sqref="D35:D41">
    <x:cfRule type="expression" dxfId="33" priority="1">
      <x:formula>D35="PASS"</x:formula>
    </x:cfRule>
    <x:cfRule type="expression" dxfId="34" priority="2">
      <x:formula>D35="FAIL"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20" hidden="0" customWidth="1"/>
    <x:col min="5" max="5" width="20" hidden="0" customWidth="1"/>
    <x:col min="6" max="6" width="9" hidden="0" customWidth="1"/>
    <x:col min="7" max="7" width="9" hidden="0" customWidth="1"/>
    <x:col min="8" max="8" width="9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20" max="20" width="28" hidden="0" customWidth="1"/>
    <x:col min="21" max="21" width="18" hidden="0" customWidth="1"/>
    <x:col min="22" max="22" width="34" hidden="0" customWidth="1"/>
    <x:col min="23" max="23" width="34" hidden="0" customWidth="1"/>
  </x:cols>
  <x:sheetData>
    <x:row r="1" ht="28" customHeight="1">
      <x:c r="A1" s="400" t="str">
        <x:v>BETTING INTELLIGENCE v0.2.1 — NORMALIZED HISTORICAL EXTRACTOR (1xBet Closing)</x:v>
      </x:c>
      <x:c r="B1" s="400"/>
      <x:c r="C1" s="400"/>
      <x:c r="D1" s="400"/>
      <x:c r="E1" s="400"/>
      <x:c r="F1" s="400"/>
      <x:c r="G1" s="400"/>
      <x:c r="H1" s="400"/>
      <x:c r="I1" s="400"/>
      <x:c r="J1" s="400"/>
      <x:c r="K1" s="400"/>
      <x:c r="L1" s="400"/>
      <x:c r="M1" s="400"/>
      <x:c r="N1" s="400"/>
      <x:c r="O1" s="400"/>
      <x:c r="P1" s="400"/>
      <x:c r="Q1" s="400"/>
      <x:c r="R1" s="400"/>
    </x:row>
    <x:row r="3">
      <x:c r="A3" s="386" t="str">
        <x:v>Match_ID</x:v>
      </x:c>
      <x:c r="B3" s="386" t="str">
        <x:v>Date</x:v>
      </x:c>
      <x:c r="C3" s="386" t="str">
        <x:v>Season</x:v>
      </x:c>
      <x:c r="D3" s="386" t="str">
        <x:v>Home</x:v>
      </x:c>
      <x:c r="E3" s="386" t="str">
        <x:v>Away</x:v>
      </x:c>
      <x:c r="F3" s="386" t="str">
        <x:v>HG</x:v>
      </x:c>
      <x:c r="G3" s="386" t="str">
        <x:v>AG</x:v>
      </x:c>
      <x:c r="H3" s="386" t="str">
        <x:v>Total</x:v>
      </x:c>
      <x:c r="I3" s="386" t="str">
        <x:v>O2.5_1xBet_Close</x:v>
      </x:c>
      <x:c r="J3" s="386" t="str">
        <x:v>U2.5_1xBet_Close</x:v>
      </x:c>
      <x:c r="K3" s="386" t="str">
        <x:v>O3.5_1xBet_Close</x:v>
      </x:c>
      <x:c r="L3" s="386" t="str">
        <x:v>U3.5_1xBet_Close</x:v>
      </x:c>
      <x:c r="M3" s="386" t="str">
        <x:v>Price_Filter</x:v>
      </x:c>
      <x:c r="N3" s="386" t="str">
        <x:v>U3.5_Result</x:v>
      </x:c>
      <x:c r="O3" s="386" t="str">
        <x:v>Profit_1u</x:v>
      </x:c>
      <x:c r="P3" s="386" t="str">
        <x:v>Cum_Profit</x:v>
      </x:c>
      <x:c r="Q3" s="386" t="str">
        <x:v>Peak_Profit</x:v>
      </x:c>
      <x:c r="R3" s="386" t="str">
        <x:v>Drawdown</x:v>
      </x:c>
      <x:c r="T3" s="390" t="str">
        <x:v>PRICE-ONLY PROXY SUMMARY</x:v>
      </x:c>
      <x:c r="U3" s="390" t="str">
        <x:v>Value</x:v>
      </x:c>
      <x:c r="V3" s="390" t="str">
        <x:v>Rule</x:v>
      </x:c>
      <x:c r="W3" s="390" t="str">
        <x:v>Interpretation</x:v>
      </x:c>
    </x:row>
    <x:row r="4">
      <x:c r="A4" t="str">
        <x:v>97190</x:v>
      </x:c>
      <x:c r="B4" s="28" t="str">
        <x:v>2026-02-21</x:v>
      </x:c>
      <x:c r="C4" t="n">
        <x:v>2026</x:v>
      </x:c>
      <x:c r="D4" t="str">
        <x:v>St. Louis City</x:v>
      </x:c>
      <x:c r="E4" t="str">
        <x:v>Charlotte</x:v>
      </x:c>
      <x:c r="F4" t="n">
        <x:v>1</x:v>
      </x:c>
      <x:c r="G4" t="n">
        <x:v>1</x:v>
      </x:c>
      <x:c r="H4" t="n">
        <x:f>F4+G4</x:f>
        <x:v>2</x:v>
      </x:c>
      <x:c r="I4" s="30" t="n">
        <x:v>1.75</x:v>
      </x:c>
      <x:c r="J4" s="30" t="n">
        <x:v>2.1</x:v>
      </x:c>
      <x:c r="K4" s="30" t="n">
        <x:v>2.82</x:v>
      </x:c>
      <x:c r="L4" s="30" t="n">
        <x:v>1.45</x:v>
      </x:c>
      <x:c r="M4" t="str">
        <x:f>IF(AND(I4&lt;=1.60,L4&gt;=1.55,L4&lt;=1.75),"YES","NO")</x:f>
        <x:v>NO</x:v>
      </x:c>
      <x:c r="N4" t="str">
        <x:f>IF(H4&lt;=3,"WIN","LOSS")</x:f>
        <x:v>WIN</x:v>
      </x:c>
      <x:c r="O4" s="30" t="str">
        <x:f>IF(M4&lt;&gt;"YES","",IF(N4="WIN",L4-1,-1))</x:f>
      </x:c>
      <x:c r="P4" s="30" t="str">
        <x:f>IF(O4="","",SUM($O$4:O4))</x:f>
      </x:c>
      <x:c r="Q4" s="30" t="str">
        <x:f>IF(P4="","",MAX(0,MAX($P$4:P4)))</x:f>
      </x:c>
      <x:c r="R4" s="30" t="str">
        <x:f>IF(P4="","",P4-Q4)</x:f>
      </x:c>
      <x:c r="T4" s="392" t="str">
        <x:v>Rows normalized</x:v>
      </x:c>
      <x:c r="U4" t="n">
        <x:v>25</x:v>
      </x:c>
      <x:c r="V4" t="str">
        <x:v>Same 1xBet closing convention</x:v>
      </x:c>
      <x:c r="W4" t="str">
        <x:v>Complete seed batch</x:v>
      </x:c>
    </x:row>
    <x:row r="5">
      <x:c r="A5" t="str">
        <x:v>97189</x:v>
      </x:c>
      <x:c r="B5" s="28" t="str">
        <x:v>2026-02-21</x:v>
      </x:c>
      <x:c r="C5" t="n">
        <x:v>2026</x:v>
      </x:c>
      <x:c r="D5" t="str">
        <x:v>FC Cincinnati</x:v>
      </x:c>
      <x:c r="E5" t="str">
        <x:v>Atlanta Utd</x:v>
      </x:c>
      <x:c r="F5" t="n">
        <x:v>2</x:v>
      </x:c>
      <x:c r="G5" t="n">
        <x:v>0</x:v>
      </x:c>
      <x:c r="H5" t="n">
        <x:f>F5+G5</x:f>
        <x:v>2</x:v>
      </x:c>
      <x:c r="I5" s="30" t="n">
        <x:v>1.75</x:v>
      </x:c>
      <x:c r="J5" s="30" t="n">
        <x:v>2.17</x:v>
      </x:c>
      <x:c r="K5" s="30" t="n">
        <x:v>2.57</x:v>
      </x:c>
      <x:c r="L5" s="30" t="n">
        <x:v>1.4</x:v>
      </x:c>
      <x:c r="M5" t="str">
        <x:f>IF(AND(I5&lt;=1.60,L5&gt;=1.55,L5&lt;=1.75),"YES","NO")</x:f>
        <x:v>NO</x:v>
      </x:c>
      <x:c r="N5" t="str">
        <x:f>IF(H5&lt;=3,"WIN","LOSS")</x:f>
        <x:v>WIN</x:v>
      </x:c>
      <x:c r="O5" s="30" t="str">
        <x:f>IF(M5&lt;&gt;"YES","",IF(N5="WIN",L5-1,-1))</x:f>
      </x:c>
      <x:c r="P5" s="30" t="str">
        <x:f>IF(O5="","",SUM($O$4:O5))</x:f>
      </x:c>
      <x:c r="Q5" s="30" t="str">
        <x:f>IF(P5="","",MAX(0,MAX($P$4:P5)))</x:f>
      </x:c>
      <x:c r="R5" s="30" t="str">
        <x:f>IF(P5="","",P5-Q5)</x:f>
      </x:c>
      <x:c r="T5" s="392" t="str">
        <x:v>Price-filter qualifiers</x:v>
      </x:c>
      <x:c r="U5" t="n">
        <x:f>COUNTIF(M4:M28,"YES")</x:f>
        <x:v>5</x:v>
      </x:c>
      <x:c r="V5" t="str">
        <x:v>O2.5≤1.60 &amp; U3.5 1.55–1.75</x:v>
      </x:c>
      <x:c r="W5" t="str">
        <x:v>NOT full P002</x:v>
      </x:c>
    </x:row>
    <x:row r="6">
      <x:c r="A6" t="str">
        <x:v>97193</x:v>
      </x:c>
      <x:c r="B6" s="28" t="str">
        <x:v>2026-02-22</x:v>
      </x:c>
      <x:c r="C6" t="n">
        <x:v>2026</x:v>
      </x:c>
      <x:c r="D6" t="str">
        <x:v>DC United</x:v>
      </x:c>
      <x:c r="E6" t="str">
        <x:v>Philadelphia Union</x:v>
      </x:c>
      <x:c r="F6" t="n">
        <x:v>1</x:v>
      </x:c>
      <x:c r="G6" t="n">
        <x:v>0</x:v>
      </x:c>
      <x:c r="H6" t="n">
        <x:f>F6+G6</x:f>
        <x:v>1</x:v>
      </x:c>
      <x:c r="I6" s="30" t="n">
        <x:v>2.32</x:v>
      </x:c>
      <x:c r="J6" s="30" t="n">
        <x:v>1.67</x:v>
      </x:c>
      <x:c r="K6" s="30" t="n">
        <x:v>4.05</x:v>
      </x:c>
      <x:c r="L6" s="30" t="n">
        <x:v>1.25</x:v>
      </x:c>
      <x:c r="M6" t="str">
        <x:f>IF(AND(I6&lt;=1.60,L6&gt;=1.55,L6&lt;=1.75),"YES","NO")</x:f>
        <x:v>NO</x:v>
      </x:c>
      <x:c r="N6" t="str">
        <x:f>IF(H6&lt;=3,"WIN","LOSS")</x:f>
        <x:v>WIN</x:v>
      </x:c>
      <x:c r="O6" s="30" t="str">
        <x:f>IF(M6&lt;&gt;"YES","",IF(N6="WIN",L6-1,-1))</x:f>
      </x:c>
      <x:c r="P6" s="30" t="str">
        <x:f>IF(O6="","",SUM($O$4:O6))</x:f>
      </x:c>
      <x:c r="Q6" s="30" t="str">
        <x:f>IF(P6="","",MAX(0,MAX($P$4:P6)))</x:f>
      </x:c>
      <x:c r="R6" s="30" t="str">
        <x:f>IF(P6="","",P6-Q6)</x:f>
      </x:c>
      <x:c r="T6" s="392" t="str">
        <x:v>Wins</x:v>
      </x:c>
      <x:c r="U6" t="n">
        <x:f>COUNTIFS(M4:M28,"YES",N4:N28,"WIN")</x:f>
        <x:v>5</x:v>
      </x:c>
      <x:c r="V6" t="str">
        <x:v>Total goals ≤3</x:v>
      </x:c>
      <x:c r="W6" t="str"/>
    </x:row>
    <x:row r="7">
      <x:c r="A7" t="str">
        <x:v>97194</x:v>
      </x:c>
      <x:c r="B7" s="28" t="str">
        <x:v>2026-02-22</x:v>
      </x:c>
      <x:c r="C7" t="n">
        <x:v>2026</x:v>
      </x:c>
      <x:c r="D7" t="str">
        <x:v>Orlando City</x:v>
      </x:c>
      <x:c r="E7" t="str">
        <x:v>New York Red Bulls</x:v>
      </x:c>
      <x:c r="F7" t="n">
        <x:v>1</x:v>
      </x:c>
      <x:c r="G7" t="n">
        <x:v>2</x:v>
      </x:c>
      <x:c r="H7" t="n">
        <x:f>F7+G7</x:f>
        <x:v>3</x:v>
      </x:c>
      <x:c r="I7" s="30" t="n">
        <x:v>1.66</x:v>
      </x:c>
      <x:c r="J7" s="30" t="n">
        <x:v>2.25</x:v>
      </x:c>
      <x:c r="K7" s="30" t="n">
        <x:v>2.53</x:v>
      </x:c>
      <x:c r="L7" s="30" t="n">
        <x:v>1.54</x:v>
      </x:c>
      <x:c r="M7" t="str">
        <x:f>IF(AND(I7&lt;=1.60,L7&gt;=1.55,L7&lt;=1.75),"YES","NO")</x:f>
        <x:v>NO</x:v>
      </x:c>
      <x:c r="N7" t="str">
        <x:f>IF(H7&lt;=3,"WIN","LOSS")</x:f>
        <x:v>WIN</x:v>
      </x:c>
      <x:c r="O7" s="30" t="str">
        <x:f>IF(M7&lt;&gt;"YES","",IF(N7="WIN",L7-1,-1))</x:f>
      </x:c>
      <x:c r="P7" s="30" t="str">
        <x:f>IF(O7="","",SUM($O$4:O7))</x:f>
      </x:c>
      <x:c r="Q7" s="30" t="str">
        <x:f>IF(P7="","",MAX(0,MAX($P$4:P7)))</x:f>
      </x:c>
      <x:c r="R7" s="30" t="str">
        <x:f>IF(P7="","",P7-Q7)</x:f>
      </x:c>
      <x:c r="T7" s="392" t="str">
        <x:v>Hit rate</x:v>
      </x:c>
      <x:c r="U7" s="32" t="n">
        <x:f>IF(U5=0,"",U6/U5)</x:f>
        <x:v>1</x:v>
      </x:c>
      <x:c r="V7" t="str">
        <x:v>Wins / qualifiers</x:v>
      </x:c>
      <x:c r="W7" t="str"/>
    </x:row>
    <x:row r="8">
      <x:c r="A8" t="str">
        <x:v>97195</x:v>
      </x:c>
      <x:c r="B8" s="28" t="str">
        <x:v>2026-02-22</x:v>
      </x:c>
      <x:c r="C8" t="n">
        <x:v>2026</x:v>
      </x:c>
      <x:c r="D8" t="str">
        <x:v>Vancouver Whitecaps</x:v>
      </x:c>
      <x:c r="E8" t="str">
        <x:v>Real Salt Lake</x:v>
      </x:c>
      <x:c r="F8" t="n">
        <x:v>1</x:v>
      </x:c>
      <x:c r="G8" t="n">
        <x:v>0</x:v>
      </x:c>
      <x:c r="H8" t="n">
        <x:f>F8+G8</x:f>
        <x:v>1</x:v>
      </x:c>
      <x:c r="I8" s="30" t="n">
        <x:v>1.46</x:v>
      </x:c>
      <x:c r="J8" s="30" t="n">
        <x:v>2.75</x:v>
      </x:c>
      <x:c r="K8" s="30" t="n">
        <x:v>2.21</x:v>
      </x:c>
      <x:c r="L8" s="30" t="n">
        <x:v>1.73</x:v>
      </x:c>
      <x:c r="M8" t="str">
        <x:f>IF(AND(I8&lt;=1.60,L8&gt;=1.55,L8&lt;=1.75),"YES","NO")</x:f>
        <x:v>YES</x:v>
      </x:c>
      <x:c r="N8" t="str">
        <x:f>IF(H8&lt;=3,"WIN","LOSS")</x:f>
        <x:v>WIN</x:v>
      </x:c>
      <x:c r="O8" s="30" t="n">
        <x:f>IF(M8&lt;&gt;"YES","",IF(N8="WIN",L8-1,-1))</x:f>
        <x:v>0.73</x:v>
      </x:c>
      <x:c r="P8" s="30" t="n">
        <x:f>IF(O8="","",SUM($O$4:O8))</x:f>
        <x:v>0.73</x:v>
      </x:c>
      <x:c r="Q8" s="30" t="n">
        <x:f>IF(P8="","",MAX(0,MAX($P$4:P8)))</x:f>
        <x:v>0.73</x:v>
      </x:c>
      <x:c r="R8" s="30" t="n">
        <x:f>IF(P8="","",P8-Q8)</x:f>
        <x:v>0</x:v>
      </x:c>
      <x:c r="T8" s="392" t="str">
        <x:v>Profit (1u flat)</x:v>
      </x:c>
      <x:c r="U8" t="n">
        <x:f>SUM(O4:O28)</x:f>
        <x:v>3.45</x:v>
      </x:c>
      <x:c r="V8" t="str">
        <x:v>Use U3.5 closing price</x:v>
      </x:c>
      <x:c r="W8" t="str"/>
    </x:row>
    <x:row r="9">
      <x:c r="A9" t="str">
        <x:v>97197</x:v>
      </x:c>
      <x:c r="B9" s="28" t="str">
        <x:v>2026-02-22</x:v>
      </x:c>
      <x:c r="C9" t="n">
        <x:v>2026</x:v>
      </x:c>
      <x:c r="D9" t="str">
        <x:v>Austin FC</x:v>
      </x:c>
      <x:c r="E9" t="str">
        <x:v>Minnesota United</x:v>
      </x:c>
      <x:c r="F9" t="n">
        <x:v>2</x:v>
      </x:c>
      <x:c r="G9" t="n">
        <x:v>2</x:v>
      </x:c>
      <x:c r="H9" t="n">
        <x:f>F9+G9</x:f>
        <x:v>4</x:v>
      </x:c>
      <x:c r="I9" s="30" t="n">
        <x:v>2.06</x:v>
      </x:c>
      <x:c r="J9" s="30" t="n">
        <x:v>1.83</x:v>
      </x:c>
      <x:c r="K9" s="30" t="n">
        <x:v>3.37</x:v>
      </x:c>
      <x:c r="L9" s="30" t="n">
        <x:v>1.34</x:v>
      </x:c>
      <x:c r="M9" t="str">
        <x:f>IF(AND(I9&lt;=1.60,L9&gt;=1.55,L9&lt;=1.75),"YES","NO")</x:f>
        <x:v>NO</x:v>
      </x:c>
      <x:c r="N9" t="str">
        <x:f>IF(H9&lt;=3,"WIN","LOSS")</x:f>
        <x:v>LOSS</x:v>
      </x:c>
      <x:c r="O9" s="30" t="str">
        <x:f>IF(M9&lt;&gt;"YES","",IF(N9="WIN",L9-1,-1))</x:f>
      </x:c>
      <x:c r="P9" s="30" t="str">
        <x:f>IF(O9="","",SUM($O$4:O9))</x:f>
      </x:c>
      <x:c r="Q9" s="30" t="str">
        <x:f>IF(P9="","",MAX(0,MAX($P$4:P9)))</x:f>
      </x:c>
      <x:c r="R9" s="30" t="str">
        <x:f>IF(P9="","",P9-Q9)</x:f>
      </x:c>
      <x:c r="T9" s="392" t="str">
        <x:v>ROI</x:v>
      </x:c>
      <x:c r="U9" s="32" t="n">
        <x:f>IF(U5=0,"",U8/U5)</x:f>
        <x:v>0.6900000000000001</x:v>
      </x:c>
      <x:c r="V9" t="str">
        <x:v>Profit / qualifiers</x:v>
      </x:c>
      <x:c r="W9" t="str"/>
    </x:row>
    <x:row r="10">
      <x:c r="A10" t="str">
        <x:v>97198</x:v>
      </x:c>
      <x:c r="B10" s="28" t="str">
        <x:v>2026-02-22</x:v>
      </x:c>
      <x:c r="C10" t="n">
        <x:v>2026</x:v>
      </x:c>
      <x:c r="D10" t="str">
        <x:v>FC Dallas</x:v>
      </x:c>
      <x:c r="E10" t="str">
        <x:v>Toronto FC</x:v>
      </x:c>
      <x:c r="F10" t="n">
        <x:v>3</x:v>
      </x:c>
      <x:c r="G10" t="n">
        <x:v>2</x:v>
      </x:c>
      <x:c r="H10" t="n">
        <x:f>F10+G10</x:f>
        <x:v>5</x:v>
      </x:c>
      <x:c r="I10" s="30" t="n">
        <x:v>1.89</x:v>
      </x:c>
      <x:c r="J10" s="30" t="n">
        <x:v>2</x:v>
      </x:c>
      <x:c r="K10" s="30" t="n">
        <x:v>3.01</x:v>
      </x:c>
      <x:c r="L10" s="30" t="n">
        <x:v>1.4</x:v>
      </x:c>
      <x:c r="M10" t="str">
        <x:f>IF(AND(I10&lt;=1.60,L10&gt;=1.55,L10&lt;=1.75),"YES","NO")</x:f>
        <x:v>NO</x:v>
      </x:c>
      <x:c r="N10" t="str">
        <x:f>IF(H10&lt;=3,"WIN","LOSS")</x:f>
        <x:v>LOSS</x:v>
      </x:c>
      <x:c r="O10" s="30" t="str">
        <x:f>IF(M10&lt;&gt;"YES","",IF(N10="WIN",L10-1,-1))</x:f>
      </x:c>
      <x:c r="P10" s="30" t="str">
        <x:f>IF(O10="","",SUM($O$4:O10))</x:f>
      </x:c>
      <x:c r="Q10" s="30" t="str">
        <x:f>IF(P10="","",MAX(0,MAX($P$4:P10)))</x:f>
      </x:c>
      <x:c r="R10" s="30" t="str">
        <x:f>IF(P10="","",P10-Q10)</x:f>
      </x:c>
      <x:c r="T10" s="392" t="str">
        <x:v>Average U3.5 odds</x:v>
      </x:c>
      <x:c r="U10" s="30" t="n">
        <x:f>IF(U5=0,"",SUMPRODUCT((M4:M28="YES")*L4:L28)/U5)</x:f>
        <x:v>1.69</x:v>
      </x:c>
      <x:c r="V10" t="str">
        <x:v>Qualifiers only</x:v>
      </x:c>
      <x:c r="W10" t="str"/>
    </x:row>
    <x:row r="11">
      <x:c r="A11" t="str">
        <x:v>97199</x:v>
      </x:c>
      <x:c r="B11" s="28" t="str">
        <x:v>2026-02-22</x:v>
      </x:c>
      <x:c r="C11" t="n">
        <x:v>2026</x:v>
      </x:c>
      <x:c r="D11" t="str">
        <x:v>Houston Dynamo</x:v>
      </x:c>
      <x:c r="E11" t="str">
        <x:v>Chicago Fire</x:v>
      </x:c>
      <x:c r="F11" t="n">
        <x:v>2</x:v>
      </x:c>
      <x:c r="G11" t="n">
        <x:v>1</x:v>
      </x:c>
      <x:c r="H11" t="n">
        <x:f>F11+G11</x:f>
        <x:v>3</x:v>
      </x:c>
      <x:c r="I11" s="30" t="n">
        <x:v>1.75</x:v>
      </x:c>
      <x:c r="J11" s="30" t="n">
        <x:v>2.1</x:v>
      </x:c>
      <x:c r="K11" s="30" t="n">
        <x:v>2.82</x:v>
      </x:c>
      <x:c r="L11" s="30" t="n">
        <x:v>1.45</x:v>
      </x:c>
      <x:c r="M11" t="str">
        <x:f>IF(AND(I11&lt;=1.60,L11&gt;=1.55,L11&lt;=1.75),"YES","NO")</x:f>
        <x:v>NO</x:v>
      </x:c>
      <x:c r="N11" t="str">
        <x:f>IF(H11&lt;=3,"WIN","LOSS")</x:f>
        <x:v>WIN</x:v>
      </x:c>
      <x:c r="O11" s="30" t="str">
        <x:f>IF(M11&lt;&gt;"YES","",IF(N11="WIN",L11-1,-1))</x:f>
      </x:c>
      <x:c r="P11" s="30" t="str">
        <x:f>IF(O11="","",SUM($O$4:O11))</x:f>
      </x:c>
      <x:c r="Q11" s="30" t="str">
        <x:f>IF(P11="","",MAX(0,MAX($P$4:P11)))</x:f>
      </x:c>
      <x:c r="R11" s="30" t="str">
        <x:f>IF(P11="","",P11-Q11)</x:f>
      </x:c>
      <x:c r="T11" s="392" t="str">
        <x:v>Max drawdown</x:v>
      </x:c>
      <x:c r="U11" s="30" t="n">
        <x:f>-MIN(R4:R28)</x:f>
        <x:v>0</x:v>
      </x:c>
      <x:c r="V11" t="str">
        <x:v>From qualifying sequence</x:v>
      </x:c>
      <x:c r="W11" t="str"/>
    </x:row>
    <x:row r="12">
      <x:c r="A12" t="str">
        <x:v>97200</x:v>
      </x:c>
      <x:c r="B12" s="28" t="str">
        <x:v>2026-02-22</x:v>
      </x:c>
      <x:c r="C12" t="n">
        <x:v>2026</x:v>
      </x:c>
      <x:c r="D12" t="str">
        <x:v>Nashville SC</x:v>
      </x:c>
      <x:c r="E12" t="str">
        <x:v>New England Revolution</x:v>
      </x:c>
      <x:c r="F12" t="n">
        <x:v>4</x:v>
      </x:c>
      <x:c r="G12" t="n">
        <x:v>1</x:v>
      </x:c>
      <x:c r="H12" t="n">
        <x:f>F12+G12</x:f>
        <x:v>5</x:v>
      </x:c>
      <x:c r="I12" s="30" t="n">
        <x:v>1.6</x:v>
      </x:c>
      <x:c r="J12" s="30" t="n">
        <x:v>2.38</x:v>
      </x:c>
      <x:c r="K12" s="30" t="n">
        <x:v>2.53</x:v>
      </x:c>
      <x:c r="L12" s="30" t="n">
        <x:v>1.54</x:v>
      </x:c>
      <x:c r="M12" t="str">
        <x:f>IF(AND(I12&lt;=1.60,L12&gt;=1.55,L12&lt;=1.75),"YES","NO")</x:f>
        <x:v>NO</x:v>
      </x:c>
      <x:c r="N12" t="str">
        <x:f>IF(H12&lt;=3,"WIN","LOSS")</x:f>
        <x:v>LOSS</x:v>
      </x:c>
      <x:c r="O12" s="30" t="str">
        <x:f>IF(M12&lt;&gt;"YES","",IF(N12="WIN",L12-1,-1))</x:f>
      </x:c>
      <x:c r="P12" s="30" t="str">
        <x:f>IF(O12="","",SUM($O$4:O12))</x:f>
      </x:c>
      <x:c r="Q12" s="30" t="str">
        <x:f>IF(P12="","",MAX(0,MAX($P$4:P12)))</x:f>
      </x:c>
      <x:c r="R12" s="30" t="str">
        <x:f>IF(P12="","",P12-Q12)</x:f>
      </x:c>
      <x:c r="T12" s="392" t="str">
        <x:v>Validation status</x:v>
      </x:c>
      <x:c r="U12" t="str">
        <x:v>PRICE-ONLY PROXY</x:v>
      </x:c>
      <x:c r="V12" t="str">
        <x:v>λ band not reconstructed</x:v>
      </x:c>
      <x:c r="W12" t="str">
        <x:v>Do not promote P002</x:v>
      </x:c>
    </x:row>
    <x:row r="13">
      <x:c r="A13" t="str">
        <x:v>97201</x:v>
      </x:c>
      <x:c r="B13" s="28" t="str">
        <x:v>2026-02-22</x:v>
      </x:c>
      <x:c r="C13" t="n">
        <x:v>2026</x:v>
      </x:c>
      <x:c r="D13" t="str">
        <x:v>Los Angeles FC</x:v>
      </x:c>
      <x:c r="E13" t="str">
        <x:v>Inter Miami</x:v>
      </x:c>
      <x:c r="F13" t="n">
        <x:v>3</x:v>
      </x:c>
      <x:c r="G13" t="n">
        <x:v>0</x:v>
      </x:c>
      <x:c r="H13" t="n">
        <x:f>F13+G13</x:f>
        <x:v>3</x:v>
      </x:c>
      <x:c r="I13" s="30" t="n">
        <x:v>1.46</x:v>
      </x:c>
      <x:c r="J13" s="30" t="n">
        <x:v>2.77</x:v>
      </x:c>
      <x:c r="K13" s="30" t="n">
        <x:v>2.21</x:v>
      </x:c>
      <x:c r="L13" s="30" t="n">
        <x:v>1.73</x:v>
      </x:c>
      <x:c r="M13" t="str">
        <x:f>IF(AND(I13&lt;=1.60,L13&gt;=1.55,L13&lt;=1.75),"YES","NO")</x:f>
        <x:v>YES</x:v>
      </x:c>
      <x:c r="N13" t="str">
        <x:f>IF(H13&lt;=3,"WIN","LOSS")</x:f>
        <x:v>WIN</x:v>
      </x:c>
      <x:c r="O13" s="30" t="n">
        <x:f>IF(M13&lt;&gt;"YES","",IF(N13="WIN",L13-1,-1))</x:f>
        <x:v>0.73</x:v>
      </x:c>
      <x:c r="P13" s="30" t="n">
        <x:f>IF(O13="","",SUM($O$4:O13))</x:f>
        <x:v>1.46</x:v>
      </x:c>
      <x:c r="Q13" s="30" t="n">
        <x:f>IF(P13="","",MAX(0,MAX($P$4:P13)))</x:f>
        <x:v>1.46</x:v>
      </x:c>
      <x:c r="R13" s="30" t="n">
        <x:f>IF(P13="","",P13-Q13)</x:f>
        <x:v>0</x:v>
      </x:c>
    </x:row>
    <x:row r="14">
      <x:c r="A14" t="str">
        <x:v>97202</x:v>
      </x:c>
      <x:c r="B14" s="28" t="str">
        <x:v>2026-02-22</x:v>
      </x:c>
      <x:c r="C14" t="n">
        <x:v>2026</x:v>
      </x:c>
      <x:c r="D14" t="str">
        <x:v>Portland Timbers</x:v>
      </x:c>
      <x:c r="E14" t="str">
        <x:v>Columbus Crew</x:v>
      </x:c>
      <x:c r="F14" t="n">
        <x:v>3</x:v>
      </x:c>
      <x:c r="G14" t="n">
        <x:v>2</x:v>
      </x:c>
      <x:c r="H14" t="n">
        <x:f>F14+G14</x:f>
        <x:v>5</x:v>
      </x:c>
      <x:c r="I14" s="30" t="n">
        <x:v>1.6</x:v>
      </x:c>
      <x:c r="J14" s="30" t="n">
        <x:v>2.38</x:v>
      </x:c>
      <x:c r="K14" s="30" t="n">
        <x:v>2.53</x:v>
      </x:c>
      <x:c r="L14" s="30" t="n">
        <x:v>1.54</x:v>
      </x:c>
      <x:c r="M14" t="str">
        <x:f>IF(AND(I14&lt;=1.60,L14&gt;=1.55,L14&lt;=1.75),"YES","NO")</x:f>
        <x:v>NO</x:v>
      </x:c>
      <x:c r="N14" t="str">
        <x:f>IF(H14&lt;=3,"WIN","LOSS")</x:f>
        <x:v>LOSS</x:v>
      </x:c>
      <x:c r="O14" s="30" t="str">
        <x:f>IF(M14&lt;&gt;"YES","",IF(N14="WIN",L14-1,-1))</x:f>
      </x:c>
      <x:c r="P14" s="30" t="str">
        <x:f>IF(O14="","",SUM($O$4:O14))</x:f>
      </x:c>
      <x:c r="Q14" s="30" t="str">
        <x:f>IF(P14="","",MAX(0,MAX($P$4:P14)))</x:f>
      </x:c>
      <x:c r="R14" s="30" t="str">
        <x:f>IF(P14="","",P14-Q14)</x:f>
      </x:c>
      <x:c r="T14" s="396" t="str">
        <x:v>FULL P002 MISSING FEATURE</x:v>
      </x:c>
      <x:c r="U14" s="396" t="str">
        <x:v>Status</x:v>
      </x:c>
      <x:c r="V14" s="396" t="str">
        <x:v>Why</x:v>
      </x:c>
      <x:c r="W14" s="396" t="str">
        <x:v>Action</x:v>
      </x:c>
    </x:row>
    <x:row r="15">
      <x:c r="A15" t="str">
        <x:v>97203</x:v>
      </x:c>
      <x:c r="B15" s="28" t="str">
        <x:v>2026-02-22</x:v>
      </x:c>
      <x:c r="C15" t="n">
        <x:v>2026</x:v>
      </x:c>
      <x:c r="D15" t="str">
        <x:v>San Diego FC</x:v>
      </x:c>
      <x:c r="E15" t="str">
        <x:v>CF Montreal</x:v>
      </x:c>
      <x:c r="F15" t="n">
        <x:v>5</x:v>
      </x:c>
      <x:c r="G15" t="n">
        <x:v>0</x:v>
      </x:c>
      <x:c r="H15" t="n">
        <x:f>F15+G15</x:f>
        <x:v>5</x:v>
      </x:c>
      <x:c r="I15" s="30" t="n">
        <x:v>1.6</x:v>
      </x:c>
      <x:c r="J15" s="30" t="n">
        <x:v>2.38</x:v>
      </x:c>
      <x:c r="K15" s="30" t="n">
        <x:v>2.53</x:v>
      </x:c>
      <x:c r="L15" s="30" t="n">
        <x:v>1.54</x:v>
      </x:c>
      <x:c r="M15" t="str">
        <x:f>IF(AND(I15&lt;=1.60,L15&gt;=1.55,L15&lt;=1.75),"YES","NO")</x:f>
        <x:v>NO</x:v>
      </x:c>
      <x:c r="N15" t="str">
        <x:f>IF(H15&lt;=3,"WIN","LOSS")</x:f>
        <x:v>LOSS</x:v>
      </x:c>
      <x:c r="O15" s="30" t="str">
        <x:f>IF(M15&lt;&gt;"YES","",IF(N15="WIN",L15-1,-1))</x:f>
      </x:c>
      <x:c r="P15" s="30" t="str">
        <x:f>IF(O15="","",SUM($O$4:O15))</x:f>
      </x:c>
      <x:c r="Q15" s="30" t="str">
        <x:f>IF(P15="","",MAX(0,MAX($P$4:P15)))</x:f>
      </x:c>
      <x:c r="R15" s="30" t="str">
        <x:f>IF(P15="","",P15-Q15)</x:f>
      </x:c>
      <x:c r="T15" s="399" t="str">
        <x:v>Pre-match λ 2.70–3.10</x:v>
      </x:c>
      <x:c r="U15" s="15" t="str">
        <x:v>NOT RECONSTRUCTED</x:v>
      </x:c>
      <x:c r="V15" s="15" t="str">
        <x:v>Requires rolling pre-match team/xG features</x:v>
      </x:c>
      <x:c r="W15" s="15" t="str">
        <x:v>Build feature backfill before independent validation</x:v>
      </x:c>
    </x:row>
    <x:row r="16">
      <x:c r="A16" t="str">
        <x:v>97204</x:v>
      </x:c>
      <x:c r="B16" s="28" t="str">
        <x:v>2026-02-22</x:v>
      </x:c>
      <x:c r="C16" t="n">
        <x:v>2026</x:v>
      </x:c>
      <x:c r="D16" t="str">
        <x:v>San Jose Earthquakes</x:v>
      </x:c>
      <x:c r="E16" t="str">
        <x:v>Sporting Kansas City</x:v>
      </x:c>
      <x:c r="F16" t="n">
        <x:v>3</x:v>
      </x:c>
      <x:c r="G16" t="n">
        <x:v>0</x:v>
      </x:c>
      <x:c r="H16" t="n">
        <x:f>F16+G16</x:f>
        <x:v>3</x:v>
      </x:c>
      <x:c r="I16" s="30" t="n">
        <x:v>1.5</x:v>
      </x:c>
      <x:c r="J16" s="30" t="n">
        <x:v>2.63</x:v>
      </x:c>
      <x:c r="K16" s="30" t="n">
        <x:v>2.32</x:v>
      </x:c>
      <x:c r="L16" s="30" t="n">
        <x:v>1.67</x:v>
      </x:c>
      <x:c r="M16" t="str">
        <x:f>IF(AND(I16&lt;=1.60,L16&gt;=1.55,L16&lt;=1.75),"YES","NO")</x:f>
        <x:v>YES</x:v>
      </x:c>
      <x:c r="N16" t="str">
        <x:f>IF(H16&lt;=3,"WIN","LOSS")</x:f>
        <x:v>WIN</x:v>
      </x:c>
      <x:c r="O16" s="30" t="n">
        <x:f>IF(M16&lt;&gt;"YES","",IF(N16="WIN",L16-1,-1))</x:f>
        <x:v>0.6699999999999999</x:v>
      </x:c>
      <x:c r="P16" s="30" t="n">
        <x:f>IF(O16="","",SUM($O$4:O16))</x:f>
        <x:v>2.13</x:v>
      </x:c>
      <x:c r="Q16" s="30" t="n">
        <x:f>IF(P16="","",MAX(0,MAX($P$4:P16)))</x:f>
        <x:v>2.13</x:v>
      </x:c>
      <x:c r="R16" s="30" t="n">
        <x:f>IF(P16="","",P16-Q16)</x:f>
        <x:v>0</x:v>
      </x:c>
      <x:c r="T16" s="399" t="str">
        <x:v>Raw model edge ≥+5pp</x:v>
      </x:c>
      <x:c r="U16" s="15" t="str">
        <x:v>NOT RECONSTRUCTED</x:v>
      </x:c>
      <x:c r="V16" s="15" t="str">
        <x:v>Requires the same pre-match model for each historical match</x:v>
      </x:c>
      <x:c r="W16" s="15" t="str">
        <x:v>No hindsight</x:v>
      </x:c>
    </x:row>
    <x:row r="17">
      <x:c r="A17" t="str">
        <x:v>97266</x:v>
      </x:c>
      <x:c r="B17" s="28" t="str">
        <x:v>2026-02-23</x:v>
      </x:c>
      <x:c r="C17" t="n">
        <x:v>2026</x:v>
      </x:c>
      <x:c r="D17" t="str">
        <x:v>Los Angeles Galaxy</x:v>
      </x:c>
      <x:c r="E17" t="str">
        <x:v>New York City</x:v>
      </x:c>
      <x:c r="F17" t="n">
        <x:v>1</x:v>
      </x:c>
      <x:c r="G17" t="n">
        <x:v>1</x:v>
      </x:c>
      <x:c r="H17" t="n">
        <x:f>F17+G17</x:f>
        <x:v>2</x:v>
      </x:c>
      <x:c r="I17" s="30" t="n">
        <x:v>1.8</x:v>
      </x:c>
      <x:c r="J17" s="30" t="n">
        <x:v>2.1</x:v>
      </x:c>
      <x:c r="K17" s="30" t="n">
        <x:v>3.01</x:v>
      </x:c>
      <x:c r="L17" s="30" t="n">
        <x:v>1.4</x:v>
      </x:c>
      <x:c r="M17" t="str">
        <x:f>IF(AND(I17&lt;=1.60,L17&gt;=1.55,L17&lt;=1.75),"YES","NO")</x:f>
        <x:v>NO</x:v>
      </x:c>
      <x:c r="N17" t="str">
        <x:f>IF(H17&lt;=3,"WIN","LOSS")</x:f>
        <x:v>WIN</x:v>
      </x:c>
      <x:c r="O17" s="30" t="str">
        <x:f>IF(M17&lt;&gt;"YES","",IF(N17="WIN",L17-1,-1))</x:f>
      </x:c>
      <x:c r="P17" s="30" t="str">
        <x:f>IF(O17="","",SUM($O$4:O17))</x:f>
      </x:c>
      <x:c r="Q17" s="30" t="str">
        <x:f>IF(P17="","",MAX(0,MAX($P$4:P17)))</x:f>
      </x:c>
      <x:c r="R17" s="30" t="str">
        <x:f>IF(P17="","",P17-Q17)</x:f>
      </x:c>
      <x:c r="T17" s="399" t="str">
        <x:v>Shrinkage prior</x:v>
      </x:c>
      <x:c r="U17" s="15" t="str">
        <x:v>NOT APPLIED TO HISTORY</x:v>
      </x:c>
      <x:c r="V17" s="15" t="str">
        <x:v>League prior must be time-aware</x:v>
      </x:c>
      <x:c r="W17" s="15" t="str">
        <x:v>Use rolling prior by date</x:v>
      </x:c>
    </x:row>
    <x:row r="18">
      <x:c r="A18" t="str">
        <x:v>97269</x:v>
      </x:c>
      <x:c r="B18" s="28" t="str">
        <x:v>2026-02-23</x:v>
      </x:c>
      <x:c r="C18" t="n">
        <x:v>2026</x:v>
      </x:c>
      <x:c r="D18" t="str">
        <x:v>Seattle Sounders</x:v>
      </x:c>
      <x:c r="E18" t="str">
        <x:v>Colorado Rapids</x:v>
      </x:c>
      <x:c r="F18" t="n">
        <x:v>2</x:v>
      </x:c>
      <x:c r="G18" t="n">
        <x:v>0</x:v>
      </x:c>
      <x:c r="H18" t="n">
        <x:f>F18+G18</x:f>
        <x:v>2</x:v>
      </x:c>
      <x:c r="I18" s="30" t="n">
        <x:v>1.4</x:v>
      </x:c>
      <x:c r="J18" s="30" t="n">
        <x:v>2.57</x:v>
      </x:c>
      <x:c r="K18" s="30" t="n">
        <x:v>2.19</x:v>
      </x:c>
      <x:c r="L18" s="30" t="n">
        <x:v>1.74</x:v>
      </x:c>
      <x:c r="M18" t="str">
        <x:f>IF(AND(I18&lt;=1.60,L18&gt;=1.55,L18&lt;=1.75),"YES","NO")</x:f>
        <x:v>YES</x:v>
      </x:c>
      <x:c r="N18" t="str">
        <x:f>IF(H18&lt;=3,"WIN","LOSS")</x:f>
        <x:v>WIN</x:v>
      </x:c>
      <x:c r="O18" s="30" t="n">
        <x:f>IF(M18&lt;&gt;"YES","",IF(N18="WIN",L18-1,-1))</x:f>
        <x:v>0.74</x:v>
      </x:c>
      <x:c r="P18" s="30" t="n">
        <x:f>IF(O18="","",SUM($O$4:O18))</x:f>
        <x:v>2.87</x:v>
      </x:c>
      <x:c r="Q18" s="30" t="n">
        <x:f>IF(P18="","",MAX(0,MAX($P$4:P18)))</x:f>
        <x:v>2.87</x:v>
      </x:c>
      <x:c r="R18" s="30" t="n">
        <x:f>IF(P18="","",P18-Q18)</x:f>
        <x:v>0</x:v>
      </x:c>
      <x:c r="T18" s="399" t="str">
        <x:v>Conclusion</x:v>
      </x:c>
      <x:c r="U18" s="15" t="str">
        <x:v>DO NOT CALL THIS VALIDATION</x:v>
      </x:c>
      <x:c r="V18" s="15" t="str">
        <x:v>This table validates only the odds filter mechanics</x:v>
      </x:c>
      <x:c r="W18" s="15" t="str">
        <x:v>P002 remains Candidate</x:v>
      </x:c>
    </x:row>
    <x:row r="19">
      <x:c r="A19" t="str">
        <x:v>97481</x:v>
      </x:c>
      <x:c r="B19" s="28" t="str">
        <x:v>2026-02-28</x:v>
      </x:c>
      <x:c r="C19" t="n">
        <x:v>2026</x:v>
      </x:c>
      <x:c r="D19" t="str">
        <x:v>Chicago Fire</x:v>
      </x:c>
      <x:c r="E19" t="str">
        <x:v>CF Montreal</x:v>
      </x:c>
      <x:c r="F19" t="n">
        <x:v>3</x:v>
      </x:c>
      <x:c r="G19" t="n">
        <x:v>0</x:v>
      </x:c>
      <x:c r="H19" t="n">
        <x:f>F19+G19</x:f>
        <x:v>3</x:v>
      </x:c>
      <x:c r="I19" s="30" t="n">
        <x:v>1.66</x:v>
      </x:c>
      <x:c r="J19" s="30" t="n">
        <x:v>2.25</x:v>
      </x:c>
      <x:c r="K19" s="30" t="n">
        <x:v>2.53</x:v>
      </x:c>
      <x:c r="L19" s="30" t="n">
        <x:v>1.54</x:v>
      </x:c>
      <x:c r="M19" t="str">
        <x:f>IF(AND(I19&lt;=1.60,L19&gt;=1.55,L19&lt;=1.75),"YES","NO")</x:f>
        <x:v>NO</x:v>
      </x:c>
      <x:c r="N19" t="str">
        <x:f>IF(H19&lt;=3,"WIN","LOSS")</x:f>
        <x:v>WIN</x:v>
      </x:c>
      <x:c r="O19" s="30" t="str">
        <x:f>IF(M19&lt;&gt;"YES","",IF(N19="WIN",L19-1,-1))</x:f>
      </x:c>
      <x:c r="P19" s="30" t="str">
        <x:f>IF(O19="","",SUM($O$4:O19))</x:f>
      </x:c>
      <x:c r="Q19" s="30" t="str">
        <x:f>IF(P19="","",MAX(0,MAX($P$4:P19)))</x:f>
      </x:c>
      <x:c r="R19" s="30" t="str">
        <x:f>IF(P19="","",P19-Q19)</x:f>
      </x:c>
    </x:row>
    <x:row r="20">
      <x:c r="A20" t="str">
        <x:v>97482</x:v>
      </x:c>
      <x:c r="B20" s="28" t="str">
        <x:v>2026-02-28</x:v>
      </x:c>
      <x:c r="C20" t="n">
        <x:v>2026</x:v>
      </x:c>
      <x:c r="D20" t="str">
        <x:v>New York Red Bulls</x:v>
      </x:c>
      <x:c r="E20" t="str">
        <x:v>New England Revolution</x:v>
      </x:c>
      <x:c r="F20" t="n">
        <x:v>1</x:v>
      </x:c>
      <x:c r="G20" t="n">
        <x:v>0</x:v>
      </x:c>
      <x:c r="H20" t="n">
        <x:f>F20+G20</x:f>
        <x:v>1</x:v>
      </x:c>
      <x:c r="I20" s="30" t="n">
        <x:v>1.69</x:v>
      </x:c>
      <x:c r="J20" s="30" t="n">
        <x:v>2.2</x:v>
      </x:c>
      <x:c r="K20" s="30" t="n">
        <x:v>2.63</x:v>
      </x:c>
      <x:c r="L20" s="30" t="n">
        <x:v>1.5</x:v>
      </x:c>
      <x:c r="M20" t="str">
        <x:f>IF(AND(I20&lt;=1.60,L20&gt;=1.55,L20&lt;=1.75),"YES","NO")</x:f>
        <x:v>NO</x:v>
      </x:c>
      <x:c r="N20" t="str">
        <x:f>IF(H20&lt;=3,"WIN","LOSS")</x:f>
        <x:v>WIN</x:v>
      </x:c>
      <x:c r="O20" s="30" t="str">
        <x:f>IF(M20&lt;&gt;"YES","",IF(N20="WIN",L20-1,-1))</x:f>
      </x:c>
      <x:c r="P20" s="30" t="str">
        <x:f>IF(O20="","",SUM($O$4:O20))</x:f>
      </x:c>
      <x:c r="Q20" s="30" t="str">
        <x:f>IF(P20="","",MAX(0,MAX($P$4:P20)))</x:f>
      </x:c>
      <x:c r="R20" s="30" t="str">
        <x:f>IF(P20="","",P20-Q20)</x:f>
      </x:c>
    </x:row>
    <x:row r="21">
      <x:c r="A21" t="str">
        <x:v>97492</x:v>
      </x:c>
      <x:c r="B21" s="28" t="str">
        <x:v>2026-02-28</x:v>
      </x:c>
      <x:c r="C21" t="n">
        <x:v>2026</x:v>
      </x:c>
      <x:c r="D21" t="str">
        <x:v>Colorado Rapids</x:v>
      </x:c>
      <x:c r="E21" t="str">
        <x:v>Portland Timbers</x:v>
      </x:c>
      <x:c r="F21" t="n">
        <x:v>2</x:v>
      </x:c>
      <x:c r="G21" t="n">
        <x:v>0</x:v>
      </x:c>
      <x:c r="H21" t="n">
        <x:f>F21+G21</x:f>
        <x:v>2</x:v>
      </x:c>
      <x:c r="I21" s="30" t="n">
        <x:v>1.6</x:v>
      </x:c>
      <x:c r="J21" s="30" t="n">
        <x:v>2.37</x:v>
      </x:c>
      <x:c r="K21" s="30" t="n">
        <x:v>2.41</x:v>
      </x:c>
      <x:c r="L21" s="30" t="n">
        <x:v>1.58</x:v>
      </x:c>
      <x:c r="M21" t="str">
        <x:f>IF(AND(I21&lt;=1.60,L21&gt;=1.55,L21&lt;=1.75),"YES","NO")</x:f>
        <x:v>YES</x:v>
      </x:c>
      <x:c r="N21" t="str">
        <x:f>IF(H21&lt;=3,"WIN","LOSS")</x:f>
        <x:v>WIN</x:v>
      </x:c>
      <x:c r="O21" s="30" t="n">
        <x:f>IF(M21&lt;&gt;"YES","",IF(N21="WIN",L21-1,-1))</x:f>
        <x:v>0.5800000000000001</x:v>
      </x:c>
      <x:c r="P21" s="30" t="n">
        <x:f>IF(O21="","",SUM($O$4:O21))</x:f>
        <x:v>3.45</x:v>
      </x:c>
      <x:c r="Q21" s="30" t="n">
        <x:f>IF(P21="","",MAX(0,MAX($P$4:P21)))</x:f>
        <x:v>3.45</x:v>
      </x:c>
      <x:c r="R21" s="30" t="n">
        <x:f>IF(P21="","",P21-Q21)</x:f>
        <x:v>0</x:v>
      </x:c>
    </x:row>
    <x:row r="22">
      <x:c r="A22" t="str">
        <x:v>97493</x:v>
      </x:c>
      <x:c r="B22" s="28" t="str">
        <x:v>2026-02-28</x:v>
      </x:c>
      <x:c r="C22" t="n">
        <x:v>2026</x:v>
      </x:c>
      <x:c r="D22" t="str">
        <x:v>Minnesota United</x:v>
      </x:c>
      <x:c r="E22" t="str">
        <x:v>FC Cincinnati</x:v>
      </x:c>
      <x:c r="F22" t="n">
        <x:v>1</x:v>
      </x:c>
      <x:c r="G22" t="n">
        <x:v>0</x:v>
      </x:c>
      <x:c r="H22" t="n">
        <x:f>F22+G22</x:f>
        <x:v>1</x:v>
      </x:c>
      <x:c r="I22" s="30" t="n">
        <x:v>1.86</x:v>
      </x:c>
      <x:c r="J22" s="30" t="n">
        <x:v>2.03</x:v>
      </x:c>
      <x:c r="K22" s="30" t="n">
        <x:v>3.01</x:v>
      </x:c>
      <x:c r="L22" s="30" t="n">
        <x:v>1.4</x:v>
      </x:c>
      <x:c r="M22" t="str">
        <x:f>IF(AND(I22&lt;=1.60,L22&gt;=1.55,L22&lt;=1.75),"YES","NO")</x:f>
        <x:v>NO</x:v>
      </x:c>
      <x:c r="N22" t="str">
        <x:f>IF(H22&lt;=3,"WIN","LOSS")</x:f>
        <x:v>WIN</x:v>
      </x:c>
      <x:c r="O22" s="30" t="str">
        <x:f>IF(M22&lt;&gt;"YES","",IF(N22="WIN",L22-1,-1))</x:f>
      </x:c>
      <x:c r="P22" s="30" t="str">
        <x:f>IF(O22="","",SUM($O$4:O22))</x:f>
      </x:c>
      <x:c r="Q22" s="30" t="str">
        <x:f>IF(P22="","",MAX(0,MAX($P$4:P22)))</x:f>
      </x:c>
      <x:c r="R22" s="30" t="str">
        <x:f>IF(P22="","",P22-Q22)</x:f>
      </x:c>
    </x:row>
    <x:row r="23">
      <x:c r="A23" t="str">
        <x:v>98696</x:v>
      </x:c>
      <x:c r="B23" s="28" t="str">
        <x:v>2026-03-01</x:v>
      </x:c>
      <x:c r="C23" t="n">
        <x:v>2026</x:v>
      </x:c>
      <x:c r="D23" t="str">
        <x:v>Real Salt Lake</x:v>
      </x:c>
      <x:c r="E23" t="str">
        <x:v>Seattle Sounders</x:v>
      </x:c>
      <x:c r="F23" t="n">
        <x:v>2</x:v>
      </x:c>
      <x:c r="G23" t="n">
        <x:v>1</x:v>
      </x:c>
      <x:c r="H23" t="n">
        <x:f>F23+G23</x:f>
        <x:v>3</x:v>
      </x:c>
      <x:c r="I23" s="30" t="n">
        <x:v>2.06</x:v>
      </x:c>
      <x:c r="J23" s="30" t="n">
        <x:v>1.83</x:v>
      </x:c>
      <x:c r="K23" s="30" t="n">
        <x:v>3.37</x:v>
      </x:c>
      <x:c r="L23" s="30" t="n">
        <x:v>1.34</x:v>
      </x:c>
      <x:c r="M23" t="str">
        <x:f>IF(AND(I23&lt;=1.60,L23&gt;=1.55,L23&lt;=1.75),"YES","NO")</x:f>
        <x:v>NO</x:v>
      </x:c>
      <x:c r="N23" t="str">
        <x:f>IF(H23&lt;=3,"WIN","LOSS")</x:f>
        <x:v>WIN</x:v>
      </x:c>
      <x:c r="O23" s="30" t="str">
        <x:f>IF(M23&lt;&gt;"YES","",IF(N23="WIN",L23-1,-1))</x:f>
      </x:c>
      <x:c r="P23" s="30" t="str">
        <x:f>IF(O23="","",SUM($O$4:O23))</x:f>
      </x:c>
      <x:c r="Q23" s="30" t="str">
        <x:f>IF(P23="","",MAX(0,MAX($P$4:P23)))</x:f>
      </x:c>
      <x:c r="R23" s="30" t="str">
        <x:f>IF(P23="","",P23-Q23)</x:f>
      </x:c>
    </x:row>
    <x:row r="24">
      <x:c r="A24" t="str">
        <x:v>98697</x:v>
      </x:c>
      <x:c r="B24" s="28" t="str">
        <x:v>2026-03-01</x:v>
      </x:c>
      <x:c r="C24" t="n">
        <x:v>2026</x:v>
      </x:c>
      <x:c r="D24" t="str">
        <x:v>San Jose Earthquakes</x:v>
      </x:c>
      <x:c r="E24" t="str">
        <x:v>Atlanta Utd</x:v>
      </x:c>
      <x:c r="F24" t="n">
        <x:v>2</x:v>
      </x:c>
      <x:c r="G24" t="n">
        <x:v>0</x:v>
      </x:c>
      <x:c r="H24" t="n">
        <x:f>F24+G24</x:f>
        <x:v>2</x:v>
      </x:c>
      <x:c r="I24" s="30" t="n">
        <x:v>1.8</x:v>
      </x:c>
      <x:c r="J24" s="30" t="n">
        <x:v>2.1</x:v>
      </x:c>
      <x:c r="K24" s="30" t="n">
        <x:v>2.82</x:v>
      </x:c>
      <x:c r="L24" s="30" t="n">
        <x:v>1.45</x:v>
      </x:c>
      <x:c r="M24" t="str">
        <x:f>IF(AND(I24&lt;=1.60,L24&gt;=1.55,L24&lt;=1.75),"YES","NO")</x:f>
        <x:v>NO</x:v>
      </x:c>
      <x:c r="N24" t="str">
        <x:f>IF(H24&lt;=3,"WIN","LOSS")</x:f>
        <x:v>WIN</x:v>
      </x:c>
      <x:c r="O24" s="30" t="str">
        <x:f>IF(M24&lt;&gt;"YES","",IF(N24="WIN",L24-1,-1))</x:f>
      </x:c>
      <x:c r="P24" s="30" t="str">
        <x:f>IF(O24="","",SUM($O$4:O24))</x:f>
      </x:c>
      <x:c r="Q24" s="30" t="str">
        <x:f>IF(P24="","",MAX(0,MAX($P$4:P24)))</x:f>
      </x:c>
      <x:c r="R24" s="30" t="str">
        <x:f>IF(P24="","",P24-Q24)</x:f>
      </x:c>
    </x:row>
    <x:row r="25">
      <x:c r="A25" t="str">
        <x:v>98700</x:v>
      </x:c>
      <x:c r="B25" s="28" t="str">
        <x:v>2026-03-01</x:v>
      </x:c>
      <x:c r="C25" t="n">
        <x:v>2026</x:v>
      </x:c>
      <x:c r="D25" t="str">
        <x:v>FC Dallas</x:v>
      </x:c>
      <x:c r="E25" t="str">
        <x:v>Nashville SC</x:v>
      </x:c>
      <x:c r="F25" t="n">
        <x:v>0</x:v>
      </x:c>
      <x:c r="G25" t="n">
        <x:v>0</x:v>
      </x:c>
      <x:c r="H25" t="n">
        <x:f>F25+G25</x:f>
        <x:v>0</x:v>
      </x:c>
      <x:c r="I25" s="30" t="n">
        <x:v>1.89</x:v>
      </x:c>
      <x:c r="J25" s="30" t="n">
        <x:v>2</x:v>
      </x:c>
      <x:c r="K25" s="30" t="n">
        <x:v>3.01</x:v>
      </x:c>
      <x:c r="L25" s="30" t="n">
        <x:v>1.4</x:v>
      </x:c>
      <x:c r="M25" t="str">
        <x:f>IF(AND(I25&lt;=1.60,L25&gt;=1.55,L25&lt;=1.75),"YES","NO")</x:f>
        <x:v>NO</x:v>
      </x:c>
      <x:c r="N25" t="str">
        <x:f>IF(H25&lt;=3,"WIN","LOSS")</x:f>
        <x:v>WIN</x:v>
      </x:c>
      <x:c r="O25" s="30" t="str">
        <x:f>IF(M25&lt;&gt;"YES","",IF(N25="WIN",L25-1,-1))</x:f>
      </x:c>
      <x:c r="P25" s="30" t="str">
        <x:f>IF(O25="","",SUM($O$4:O25))</x:f>
      </x:c>
      <x:c r="Q25" s="30" t="str">
        <x:f>IF(P25="","",MAX(0,MAX($P$4:P25)))</x:f>
      </x:c>
      <x:c r="R25" s="30" t="str">
        <x:f>IF(P25="","",P25-Q25)</x:f>
      </x:c>
    </x:row>
    <x:row r="26">
      <x:c r="A26" t="str">
        <x:v>98701</x:v>
      </x:c>
      <x:c r="B26" s="28" t="str">
        <x:v>2026-03-01</x:v>
      </x:c>
      <x:c r="C26" t="n">
        <x:v>2026</x:v>
      </x:c>
      <x:c r="D26" t="str">
        <x:v>Houston Dynamo</x:v>
      </x:c>
      <x:c r="E26" t="str">
        <x:v>Los Angeles FC</x:v>
      </x:c>
      <x:c r="F26" t="n">
        <x:v>0</x:v>
      </x:c>
      <x:c r="G26" t="n">
        <x:v>2</x:v>
      </x:c>
      <x:c r="H26" t="n">
        <x:f>F26+G26</x:f>
        <x:v>2</x:v>
      </x:c>
      <x:c r="I26" s="30" t="n">
        <x:v>1.7</x:v>
      </x:c>
      <x:c r="J26" s="30" t="n">
        <x:v>2.18</x:v>
      </x:c>
      <x:c r="K26" s="30" t="n">
        <x:v>2.69</x:v>
      </x:c>
      <x:c r="L26" s="30" t="n">
        <x:v>1.48</x:v>
      </x:c>
      <x:c r="M26" t="str">
        <x:f>IF(AND(I26&lt;=1.60,L26&gt;=1.55,L26&lt;=1.75),"YES","NO")</x:f>
        <x:v>NO</x:v>
      </x:c>
      <x:c r="N26" t="str">
        <x:f>IF(H26&lt;=3,"WIN","LOSS")</x:f>
        <x:v>WIN</x:v>
      </x:c>
      <x:c r="O26" s="30" t="str">
        <x:f>IF(M26&lt;&gt;"YES","",IF(N26="WIN",L26-1,-1))</x:f>
      </x:c>
      <x:c r="P26" s="30" t="str">
        <x:f>IF(O26="","",SUM($O$4:O26))</x:f>
      </x:c>
      <x:c r="Q26" s="30" t="str">
        <x:f>IF(P26="","",MAX(0,MAX($P$4:P26)))</x:f>
      </x:c>
      <x:c r="R26" s="30" t="str">
        <x:f>IF(P26="","",P26-Q26)</x:f>
      </x:c>
    </x:row>
    <x:row r="27">
      <x:c r="A27" t="str">
        <x:v>98702</x:v>
      </x:c>
      <x:c r="B27" s="28" t="str">
        <x:v>2026-03-01</x:v>
      </x:c>
      <x:c r="C27" t="n">
        <x:v>2026</x:v>
      </x:c>
      <x:c r="D27" t="str">
        <x:v>Sporting Kansas City</x:v>
      </x:c>
      <x:c r="E27" t="str">
        <x:v>Columbus Crew</x:v>
      </x:c>
      <x:c r="F27" t="n">
        <x:v>2</x:v>
      </x:c>
      <x:c r="G27" t="n">
        <x:v>2</x:v>
      </x:c>
      <x:c r="H27" t="n">
        <x:f>F27+G27</x:f>
        <x:v>4</x:v>
      </x:c>
      <x:c r="I27" s="30" t="n">
        <x:v>1.49</x:v>
      </x:c>
      <x:c r="J27" s="30" t="n">
        <x:v>2.67</x:v>
      </x:c>
      <x:c r="K27" s="30" t="n">
        <x:v>2.16</x:v>
      </x:c>
      <x:c r="L27" s="30" t="n">
        <x:v>1.77</x:v>
      </x:c>
      <x:c r="M27" t="str">
        <x:f>IF(AND(I27&lt;=1.60,L27&gt;=1.55,L27&lt;=1.75),"YES","NO")</x:f>
        <x:v>NO</x:v>
      </x:c>
      <x:c r="N27" t="str">
        <x:f>IF(H27&lt;=3,"WIN","LOSS")</x:f>
        <x:v>LOSS</x:v>
      </x:c>
      <x:c r="O27" s="30" t="str">
        <x:f>IF(M27&lt;&gt;"YES","",IF(N27="WIN",L27-1,-1))</x:f>
      </x:c>
      <x:c r="P27" s="30" t="str">
        <x:f>IF(O27="","",SUM($O$4:O27))</x:f>
      </x:c>
      <x:c r="Q27" s="30" t="str">
        <x:f>IF(P27="","",MAX(0,MAX($P$4:P27)))</x:f>
      </x:c>
      <x:c r="R27" s="30" t="str">
        <x:f>IF(P27="","",P27-Q27)</x:f>
      </x:c>
    </x:row>
    <x:row r="28">
      <x:c r="A28" t="str">
        <x:v>98704</x:v>
      </x:c>
      <x:c r="B28" s="28" t="str">
        <x:v>2026-03-01</x:v>
      </x:c>
      <x:c r="C28" t="n">
        <x:v>2026</x:v>
      </x:c>
      <x:c r="D28" t="str">
        <x:v>Vancouver Whitecaps</x:v>
      </x:c>
      <x:c r="E28" t="str">
        <x:v>Toronto FC</x:v>
      </x:c>
      <x:c r="F28" t="n">
        <x:v>3</x:v>
      </x:c>
      <x:c r="G28" t="n">
        <x:v>0</x:v>
      </x:c>
      <x:c r="H28" t="n">
        <x:f>F28+G28</x:f>
        <x:v>3</x:v>
      </x:c>
      <x:c r="I28" s="30" t="n">
        <x:v>1.6</x:v>
      </x:c>
      <x:c r="J28" s="30" t="n">
        <x:v>2.38</x:v>
      </x:c>
      <x:c r="K28" s="30" t="n">
        <x:v>2.53</x:v>
      </x:c>
      <x:c r="L28" s="30" t="n">
        <x:v>1.54</x:v>
      </x:c>
      <x:c r="M28" t="str">
        <x:f>IF(AND(I28&lt;=1.60,L28&gt;=1.55,L28&lt;=1.75),"YES","NO")</x:f>
        <x:v>NO</x:v>
      </x:c>
      <x:c r="N28" t="str">
        <x:f>IF(H28&lt;=3,"WIN","LOSS")</x:f>
        <x:v>WIN</x:v>
      </x:c>
      <x:c r="O28" s="30" t="str">
        <x:f>IF(M28&lt;&gt;"YES","",IF(N28="WIN",L28-1,-1))</x:f>
      </x:c>
      <x:c r="P28" s="30" t="str">
        <x:f>IF(O28="","",SUM($O$4:O28))</x:f>
      </x:c>
      <x:c r="Q28" s="30" t="str">
        <x:f>IF(P28="","",MAX(0,MAX($P$4:P28)))</x:f>
      </x:c>
      <x:c r="R28" s="30" t="str">
        <x:f>IF(P28="","",P28-Q28)</x:f>
      </x:c>
    </x:row>
  </x:sheetData>
  <x:mergeCells>
    <x:mergeCell ref="A1:R1"/>
  </x:mergeCells>
  <x:conditionalFormatting sqref="M4:M28">
    <x:cfRule type="expression" dxfId="35" priority="1">
      <x:formula>M4="YES"</x:formula>
    </x:cfRule>
  </x:conditionalFormatting>
  <x:conditionalFormatting sqref="N4:N28">
    <x:cfRule type="expression" dxfId="36" priority="2">
      <x:formula>N4="LOSS"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36" hidden="0" customWidth="1"/>
    <x:col min="10" max="10" width="30" hidden="0" customWidth="1"/>
    <x:col min="11" max="11" width="60" hidden="0" customWidth="1"/>
  </x:cols>
  <x:sheetData>
    <x:row r="1">
      <x:c r="A1" s="400" t="str">
        <x:v>v0.2.1 — FINAL NORMALIZED LIVE REFERENCE (PRE-KICK)</x:v>
      </x:c>
      <x:c r="B1" s="400"/>
      <x:c r="C1" s="400"/>
      <x:c r="D1" s="400"/>
      <x:c r="E1" s="400"/>
      <x:c r="F1" s="400"/>
      <x:c r="G1" s="400"/>
      <x:c r="H1" s="400"/>
      <x:c r="J1" s="15"/>
      <x:c r="K1" s="15"/>
    </x:row>
    <x:row r="3">
      <x:c r="A3" s="386" t="str">
        <x:v>Field</x:v>
      </x:c>
      <x:c r="B3" s="386" t="str">
        <x:v>Value</x:v>
      </x:c>
      <x:c r="C3" s="386" t="str">
        <x:v>Source</x:v>
      </x:c>
      <x:c r="D3" s="386" t="str">
        <x:v>Formula / Rule</x:v>
      </x:c>
      <x:c r="E3" s="386" t="str">
        <x:v>Gate</x:v>
      </x:c>
      <x:c r="F3" s="386" t="str">
        <x:v>Status</x:v>
      </x:c>
      <x:c r="G3" s="386" t="str">
        <x:v>User Input?</x:v>
      </x:c>
      <x:c r="H3" s="386" t="str">
        <x:v>Notes</x:v>
      </x:c>
      <x:c r="J3" s="402" t="str">
        <x:v>Source</x:v>
      </x:c>
      <x:c r="K3" s="402" t="str">
        <x:v>URL</x:v>
      </x:c>
    </x:row>
    <x:row r="4">
      <x:c r="A4" t="str">
        <x:v>Snapshot time EAT</x:v>
      </x:c>
      <x:c r="B4" t="str">
        <x:v>2026-08-20 03:04</x:v>
      </x:c>
      <x:c r="C4" t="str">
        <x:v>Conversation local time</x:v>
      </x:c>
      <x:c r="D4" t="str">
        <x:v>Must be pre-kick</x:v>
      </x:c>
      <x:c r="E4" t="str">
        <x:v>Integrity</x:v>
      </x:c>
      <x:c r="F4" t="str">
        <x:v>PASS</x:v>
      </x:c>
      <x:c r="G4" t="str">
        <x:v>NO</x:v>
      </x:c>
      <x:c r="H4" t="str"/>
      <x:c r="J4" s="404" t="str">
        <x:v>Official kickoff</x:v>
      </x:c>
      <x:c r="K4" t="str">
        <x:v>https://www.sportingkc.com/news/preview-sporting-kc-hosts-rivals-st-louis-city-sc-on-wednesday-at-sporting-park</x:v>
      </x:c>
    </x:row>
    <x:row r="5">
      <x:c r="A5" t="str">
        <x:v>Official kickoff EAT</x:v>
      </x:c>
      <x:c r="B5" t="str">
        <x:v>2026-08-20 03:25</x:v>
      </x:c>
      <x:c r="C5" t="str">
        <x:v>Sporting KC official preview</x:v>
      </x:c>
      <x:c r="D5" t="str">
        <x:v>Use official club time</x:v>
      </x:c>
      <x:c r="E5" t="str">
        <x:v>Integrity</x:v>
      </x:c>
      <x:c r="F5" t="str">
        <x:v>PASS</x:v>
      </x:c>
      <x:c r="G5" t="str">
        <x:v>NO</x:v>
      </x:c>
      <x:c r="H5" t="str"/>
      <x:c r="J5" s="404" t="str">
        <x:v>Confirmed lineups</x:v>
      </x:c>
      <x:c r="K5" t="str">
        <x:v>https://www.eurosport.nl/voetbal/mls/2026/live-sporting-kansas-city-st.-louis-city-sc_mtc1653994/live-lineup.shtml</x:v>
      </x:c>
    </x:row>
    <x:row r="6">
      <x:c r="A6" t="str">
        <x:v>Confirmed lineups</x:v>
      </x:c>
      <x:c r="B6" t="str">
        <x:v>YES</x:v>
      </x:c>
      <x:c r="C6" t="str">
        <x:v>Eurosport / current lineup sources</x:v>
      </x:c>
      <x:c r="D6" t="str">
        <x:v>Must be confirmed</x:v>
      </x:c>
      <x:c r="E6" t="str">
        <x:v>Lineup</x:v>
      </x:c>
      <x:c r="F6" t="str">
        <x:v>PASS</x:v>
      </x:c>
      <x:c r="G6" t="str">
        <x:v>NO</x:v>
      </x:c>
      <x:c r="H6" t="str"/>
      <x:c r="J6" s="404" t="str">
        <x:v>FOX reference odds</x:v>
      </x:c>
      <x:c r="K6" t="str">
        <x:v>https://www.foxsports.com/soccer/mls-sporting-kc-vs-saint-louis-city-sc-aug-19-2026-game-boxscore-647260?tab=boxscore</x:v>
      </x:c>
    </x:row>
    <x:row r="7">
      <x:c r="A7" t="str">
        <x:v>Reference book</x:v>
      </x:c>
      <x:c r="B7" t="str">
        <x:v>FOX</x:v>
      </x:c>
      <x:c r="C7" t="str">
        <x:v>FOX Sports</x:v>
      </x:c>
      <x:c r="D7" t="str">
        <x:v>Paired lines from same source</x:v>
      </x:c>
      <x:c r="E7" t="str">
        <x:v>Odds Integrity</x:v>
      </x:c>
      <x:c r="F7" t="str">
        <x:v>PASS</x:v>
      </x:c>
      <x:c r="G7" t="str">
        <x:v>NO</x:v>
      </x:c>
      <x:c r="H7" t="str"/>
      <x:c r="J7" s="404" t="str">
        <x:v>Oddschecker best-price audit</x:v>
      </x:c>
      <x:c r="K7" t="str">
        <x:v>https://www.oddschecker.com/us/soccer/mls/sporting-kansas-city-v-st.-louis-city</x:v>
      </x:c>
    </x:row>
    <x:row r="8">
      <x:c r="A8" t="str">
        <x:v>Reference O2.5</x:v>
      </x:c>
      <x:c r="B8" s="30" t="n">
        <x:v>1.5405405405405406</x:v>
      </x:c>
      <x:c r="C8" t="str">
        <x:v>FOX -185</x:v>
      </x:c>
      <x:c r="D8" t="str">
        <x:v>Frozen price filter ≤1.60</x:v>
      </x:c>
      <x:c r="E8" t="str">
        <x:v>P002 Price</x:v>
      </x:c>
      <x:c r="F8" t="str">
        <x:v>PASS</x:v>
      </x:c>
      <x:c r="G8" t="str">
        <x:v>NO</x:v>
      </x:c>
      <x:c r="H8" t="str"/>
      <x:c r="J8" s="404" t="str">
        <x:v>Historical normalized odds</x:v>
      </x:c>
      <x:c r="K8" t="str">
        <x:v>https://footiqo.com/database/leagues/usa-mls/</x:v>
      </x:c>
    </x:row>
    <x:row r="9">
      <x:c r="A9" t="str">
        <x:v>Reference U2.5</x:v>
      </x:c>
      <x:c r="B9" s="30" t="n">
        <x:v>2.4</x:v>
      </x:c>
      <x:c r="C9" t="str">
        <x:v>FOX +140</x:v>
      </x:c>
      <x:c r="D9" t="str">
        <x:v>Same source pair</x:v>
      </x:c>
      <x:c r="E9" t="str">
        <x:v>Odds Integrity</x:v>
      </x:c>
      <x:c r="F9" t="str">
        <x:v>PASS</x:v>
      </x:c>
      <x:c r="G9" t="str">
        <x:v>NO</x:v>
      </x:c>
      <x:c r="H9" t="str"/>
    </x:row>
    <x:row r="10">
      <x:c r="A10" t="str">
        <x:v>Reference O3.5</x:v>
      </x:c>
      <x:c r="B10" s="30" t="n">
        <x:v>2.2</x:v>
      </x:c>
      <x:c r="C10" t="str">
        <x:v>FOX +120</x:v>
      </x:c>
      <x:c r="D10" t="str">
        <x:v>Same source pair</x:v>
      </x:c>
      <x:c r="E10" t="str">
        <x:v>Odds Integrity</x:v>
      </x:c>
      <x:c r="F10" t="str">
        <x:v>PASS</x:v>
      </x:c>
      <x:c r="G10" t="str">
        <x:v>NO</x:v>
      </x:c>
      <x:c r="H10" t="str"/>
    </x:row>
    <x:row r="11">
      <x:c r="A11" t="str">
        <x:v>Reference U3.5</x:v>
      </x:c>
      <x:c r="B11" s="30" t="n">
        <x:v>1.625</x:v>
      </x:c>
      <x:c r="C11" t="str">
        <x:v>FOX -160</x:v>
      </x:c>
      <x:c r="D11" t="str">
        <x:v>Frozen price band 1.55–1.75</x:v>
      </x:c>
      <x:c r="E11" t="str">
        <x:v>P002 Price</x:v>
      </x:c>
      <x:c r="F11" t="str">
        <x:v>PASS</x:v>
      </x:c>
      <x:c r="G11" t="str">
        <x:v>NO</x:v>
      </x:c>
      <x:c r="H11" t="str"/>
    </x:row>
    <x:row r="12">
      <x:c r="A12" t="str">
        <x:v>De-vig fair P(U3.5)</x:v>
      </x:c>
      <x:c r="B12" s="32" t="n">
        <x:f>(1/B11)/((1/B11)+(1/B10))</x:f>
        <x:v>0.5751633986928104</x:v>
      </x:c>
      <x:c r="C12" t="str">
        <x:v>FOX paired 3.5 line</x:v>
      </x:c>
      <x:c r="D12" t="str">
        <x:v>(1/U)/(1/U+1/O)</x:v>
      </x:c>
      <x:c r="E12" t="str">
        <x:v>Market</x:v>
      </x:c>
      <x:c r="F12" t="str">
        <x:v>INFO</x:v>
      </x:c>
      <x:c r="G12" t="str">
        <x:v>NO</x:v>
      </x:c>
      <x:c r="H12" t="str"/>
    </x:row>
    <x:row r="13">
      <x:c r="A13" t="str">
        <x:v>Conservative model P(U3.5)</x:v>
      </x:c>
      <x:c r="B13" s="32" t="n">
        <x:v>0.6258410276</x:v>
      </x:c>
      <x:c r="C13" t="str">
        <x:v>Internal v0.1.6</x:v>
      </x:c>
      <x:c r="D13" t="str">
        <x:v>Frozen</x:v>
      </x:c>
      <x:c r="E13" t="str">
        <x:v>Model</x:v>
      </x:c>
      <x:c r="F13" t="str">
        <x:v>INFO</x:v>
      </x:c>
      <x:c r="G13" t="str">
        <x:v>NO</x:v>
      </x:c>
      <x:c r="H13" t="str"/>
    </x:row>
    <x:row r="14">
      <x:c r="A14" t="str">
        <x:v>Raw model-vs-market edge</x:v>
      </x:c>
      <x:c r="B14" s="32" t="n">
        <x:f>B13-B12</x:f>
        <x:v>0.05067762890718963</x:v>
      </x:c>
      <x:c r="C14" t="str">
        <x:v>Internal</x:v>
      </x:c>
      <x:c r="D14" t="str">
        <x:v>Model P - fair market P</x:v>
      </x:c>
      <x:c r="E14" t="str">
        <x:v>Model Edge</x:v>
      </x:c>
      <x:c r="F14" t="str">
        <x:f>IF(B14&gt;=0.05,"PASS",IF(B14&gt;=0.02,"WATCH","FAIL"))</x:f>
        <x:v>PASS</x:v>
      </x:c>
      <x:c r="G14" t="str">
        <x:v>NO</x:v>
      </x:c>
      <x:c r="H14" t="str"/>
    </x:row>
    <x:row r="15">
      <x:c r="A15" t="str">
        <x:v>EV at FOX reference</x:v>
      </x:c>
      <x:c r="B15" s="32" t="n">
        <x:f>B13*B11-1</x:f>
        <x:v>0.016991669850000113</x:v>
      </x:c>
      <x:c r="C15" t="str">
        <x:v>Internal</x:v>
      </x:c>
      <x:c r="D15" t="str">
        <x:v>Model P × U3.5 odds - 1</x:v>
      </x:c>
      <x:c r="E15" t="str">
        <x:v>Reference EV</x:v>
      </x:c>
      <x:c r="F15" t="str">
        <x:f>IF(B15&gt;=0.03,"PASS",IF(B15&gt;0,"WATCH","FAIL"))</x:f>
        <x:v>WATCH</x:v>
      </x:c>
      <x:c r="G15" t="str">
        <x:v>NO</x:v>
      </x:c>
      <x:c r="H15" t="str"/>
    </x:row>
    <x:row r="16">
      <x:c r="A16" t="str">
        <x:v>Odds needed for +3% EV</x:v>
      </x:c>
      <x:c r="B16" s="30" t="n">
        <x:f>1.03/B13</x:f>
        <x:v>1.6457853585436621</x:v>
      </x:c>
      <x:c r="C16" t="str">
        <x:v>Internal</x:v>
      </x:c>
      <x:c r="D16" t="str">
        <x:v>1.03 / model P</x:v>
      </x:c>
      <x:c r="E16" t="str">
        <x:v>Price Threshold</x:v>
      </x:c>
      <x:c r="F16" t="str">
        <x:f>IF(B11&gt;=B16,"PASS","FAIL")</x:f>
        <x:v>FAIL</x:v>
      </x:c>
      <x:c r="G16" t="str">
        <x:v>NO</x:v>
      </x:c>
      <x:c r="H16" t="str"/>
    </x:row>
    <x:row r="17">
      <x:c r="A17" t="str">
        <x:v>Oddschecker best seen U3.5</x:v>
      </x:c>
      <x:c r="B17" s="30" t="n">
        <x:v>1.6493506493506493</x:v>
      </x:c>
      <x:c r="C17" t="str">
        <x:v>Oddschecker -154</x:v>
      </x:c>
      <x:c r="D17" t="str">
        <x:v>Not execution unless user can place it</x:v>
      </x:c>
      <x:c r="E17" t="str">
        <x:v>Best Price</x:v>
      </x:c>
      <x:c r="F17" t="str">
        <x:v>INFO</x:v>
      </x:c>
      <x:c r="G17" t="str">
        <x:v>NO</x:v>
      </x:c>
      <x:c r="H17" t="str"/>
    </x:row>
    <x:row r="18">
      <x:c r="A18" t="str">
        <x:v>Execution bookmaker</x:v>
      </x:c>
      <x:c r="B18" t="str"/>
      <x:c r="C18" t="str">
        <x:v>User's actual betting app</x:v>
      </x:c>
      <x:c r="D18" t="str">
        <x:v>Exact bookmaker name</x:v>
      </x:c>
      <x:c r="E18" t="str">
        <x:v>Execution</x:v>
      </x:c>
      <x:c r="F18" t="str">
        <x:v>MISSING</x:v>
      </x:c>
      <x:c r="G18" t="str">
        <x:v>YES</x:v>
      </x:c>
      <x:c r="H18" t="str">
        <x:v>Required for real-money EV</x:v>
      </x:c>
    </x:row>
    <x:row r="19">
      <x:c r="A19" t="str">
        <x:v>Execution U3.5 odds</x:v>
      </x:c>
      <x:c r="B19" t="str"/>
      <x:c r="C19" t="str">
        <x:v>User's actual betting app</x:v>
      </x:c>
      <x:c r="D19" t="str">
        <x:v>Exact offered decimal odds</x:v>
      </x:c>
      <x:c r="E19" t="str">
        <x:v>Execution</x:v>
      </x:c>
      <x:c r="F19" t="str">
        <x:v>MISSING</x:v>
      </x:c>
      <x:c r="G19" t="str">
        <x:v>YES</x:v>
      </x:c>
      <x:c r="H19" t="str">
        <x:v>Required for real-money EV</x:v>
      </x:c>
    </x:row>
    <x:row r="20">
      <x:c r="A20" t="str">
        <x:v>Execution EV</x:v>
      </x:c>
      <x:c r="B20" s="32" t="str">
        <x:f>IF(B19="","",B13*B19-1)</x:f>
      </x:c>
      <x:c r="C20" t="str">
        <x:v>Internal</x:v>
      </x:c>
      <x:c r="D20" t="str">
        <x:v>IF odds entered: model P × odds - 1</x:v>
      </x:c>
      <x:c r="E20" t="str">
        <x:v>Execution EV</x:v>
      </x:c>
      <x:c r="F20" t="str">
        <x:f>IF(B19="","PENDING",IF(B20&gt;=0.03,"PASS",IF(B20&gt;0,"WATCH","FAIL")))</x:f>
        <x:v>PENDING</x:v>
      </x:c>
      <x:c r="G20" t="str">
        <x:v>YES</x:v>
      </x:c>
      <x:c r="H20" t="str"/>
    </x:row>
    <x:row r="21">
      <x:c r="A21" t="str">
        <x:v>Historical full P002 validation</x:v>
      </x:c>
      <x:c r="B21" t="str">
        <x:v>NOT COMPLETE</x:v>
      </x:c>
      <x:c r="C21" t="str">
        <x:v>System</x:v>
      </x:c>
      <x:c r="D21" t="str">
        <x:v>Needs λ/model backfill + &gt;=30 unseen qualifiers</x:v>
      </x:c>
      <x:c r="E21" t="str">
        <x:v>Validation</x:v>
      </x:c>
      <x:c r="F21" t="str">
        <x:v>FAIL</x:v>
      </x:c>
      <x:c r="G21" t="str">
        <x:v>NO</x:v>
      </x:c>
      <x:c r="H21" t="str"/>
    </x:row>
    <x:row r="22">
      <x:c r="A22" t="str">
        <x:v>Real-money gate</x:v>
      </x:c>
      <x:c r="B22" t="str">
        <x:v>NO</x:v>
      </x:c>
      <x:c r="C22" t="str">
        <x:v>System</x:v>
      </x:c>
      <x:c r="D22" t="str">
        <x:v>All critical gates must pass</x:v>
      </x:c>
      <x:c r="E22" t="str">
        <x:v>Capital</x:v>
      </x:c>
      <x:c r="F22" t="str">
        <x:v>FAIL</x:v>
      </x:c>
      <x:c r="G22" t="str">
        <x:v>NO</x:v>
      </x:c>
      <x:c r="H22" t="str">
        <x:v>Paper only</x:v>
      </x:c>
    </x:row>
  </x:sheetData>
  <x:mergeCells>
    <x:mergeCell ref="A1:H1"/>
  </x:mergeCells>
  <x:conditionalFormatting sqref="F4:F22">
    <x:cfRule type="expression" dxfId="37" priority="1">
      <x:formula>F4="PASS"</x:formula>
    </x:cfRule>
    <x:cfRule type="expression" dxfId="38" priority="2">
      <x:formula>F4="WATCH"</x:formula>
    </x:cfRule>
    <x:cfRule type="expression" dxfId="39" priority="3">
      <x:formula>F4="FAIL"</x:formula>
    </x:cfRule>
    <x:cfRule type="expression" dxfId="40" priority="4">
      <x:formula>F4="MISSING"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8" hidden="0" customWidth="1"/>
    <x:col min="6" max="6" width="8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2" hidden="0" customWidth="1"/>
    <x:col min="31" max="31" width="12" hidden="0" customWidth="1"/>
    <x:col min="32" max="32" width="18" hidden="0" customWidth="1"/>
    <x:col min="33" max="33" width="38" hidden="0" customWidth="1"/>
    <x:col min="34" max="34" width="38" hidden="0" customWidth="1"/>
    <x:col min="35" max="35" width="10" hidden="0" customWidth="1"/>
    <x:col min="37" max="37" width="28" hidden="0" customWidth="1"/>
    <x:col min="38" max="38" width="20" hidden="0" customWidth="1"/>
    <x:col min="39" max="39" width="35" hidden="0" customWidth="1"/>
    <x:col min="40" max="40" width="35" hidden="0" customWidth="1"/>
  </x:cols>
  <x:sheetData>
    <x:row r="1" ht="28" customHeight="1">
      <x:c r="A1" s="428" t="str">
        <x:v>BETTING INTELLIGENCE v0.2.2 — NO-HINDSIGHT HISTORICAL FEATURE BACKFILL</x:v>
      </x:c>
      <x:c r="B1" s="428"/>
      <x:c r="C1" s="428"/>
      <x:c r="D1" s="428"/>
      <x:c r="E1" s="428"/>
      <x:c r="F1" s="428"/>
      <x:c r="G1" s="428"/>
      <x:c r="H1" s="428"/>
      <x:c r="I1" s="428"/>
      <x:c r="J1" s="428"/>
      <x:c r="K1" s="428"/>
      <x:c r="L1" s="428"/>
      <x:c r="M1" s="428"/>
      <x:c r="N1" s="428"/>
      <x:c r="O1" s="428"/>
      <x:c r="P1" s="428"/>
      <x:c r="Q1" s="428"/>
      <x:c r="R1" s="428"/>
      <x:c r="S1" s="428"/>
      <x:c r="T1" s="428"/>
      <x:c r="U1" s="428"/>
      <x:c r="V1" s="428"/>
      <x:c r="W1" s="428"/>
      <x:c r="X1" s="428"/>
      <x:c r="Y1" s="428"/>
      <x:c r="Z1" s="428"/>
      <x:c r="AA1" s="428"/>
      <x:c r="AB1" s="428"/>
      <x:c r="AC1" s="428"/>
      <x:c r="AD1" s="428"/>
      <x:c r="AE1" s="428"/>
      <x:c r="AF1" s="428"/>
      <x:c r="AG1" s="428"/>
      <x:c r="AH1" s="428"/>
      <x:c r="AI1" s="428"/>
      <x:c r="AJ1" s="15"/>
      <x:c r="AK1" s="15"/>
      <x:c r="AL1" s="15"/>
      <x:c r="AM1" s="15"/>
      <x:c r="AN1" s="15"/>
    </x:row>
    <x:row r="3">
      <x:c r="A3" s="415" t="str">
        <x:v>Match_ID</x:v>
      </x:c>
      <x:c r="B3" s="415" t="str">
        <x:v>Date</x:v>
      </x:c>
      <x:c r="C3" s="415" t="str">
        <x:v>Home</x:v>
      </x:c>
      <x:c r="D3" s="415" t="str">
        <x:v>Away</x:v>
      </x:c>
      <x:c r="E3" s="415" t="str">
        <x:v>HG</x:v>
      </x:c>
      <x:c r="F3" s="415" t="str">
        <x:v>AG</x:v>
      </x:c>
      <x:c r="G3" s="415" t="str">
        <x:v>O2.5</x:v>
      </x:c>
      <x:c r="H3" s="415" t="str">
        <x:v>U2.5</x:v>
      </x:c>
      <x:c r="I3" s="415" t="str">
        <x:v>O3.5</x:v>
      </x:c>
      <x:c r="J3" s="415" t="str">
        <x:v>U3.5</x:v>
      </x:c>
      <x:c r="K3" s="415" t="str">
        <x:v>Home_Prior_N</x:v>
      </x:c>
      <x:c r="L3" s="415" t="str">
        <x:v>Away_Prior_N</x:v>
      </x:c>
      <x:c r="M3" s="415" t="str">
        <x:v>Warmup_Min_N</x:v>
      </x:c>
      <x:c r="N3" s="415" t="str">
        <x:v>Home_Prior_GF</x:v>
      </x:c>
      <x:c r="O3" s="415" t="str">
        <x:v>Home_Prior_GA</x:v>
      </x:c>
      <x:c r="P3" s="415" t="str">
        <x:v>Away_Prior_GF</x:v>
      </x:c>
      <x:c r="Q3" s="415" t="str">
        <x:v>Away_Prior_GA</x:v>
      </x:c>
      <x:c r="R3" s="415" t="str">
        <x:v>Home_lambda</x:v>
      </x:c>
      <x:c r="S3" s="415" t="str">
        <x:v>Away_lambda</x:v>
      </x:c>
      <x:c r="T3" s="415" t="str">
        <x:v>Total_lambda</x:v>
      </x:c>
      <x:c r="U3" s="415" t="str">
        <x:v>Model_P_U3.5</x:v>
      </x:c>
      <x:c r="V3" s="415" t="str">
        <x:v>Market_Fair_P_U3.5</x:v>
      </x:c>
      <x:c r="W3" s="415" t="str">
        <x:v>Raw_Edge</x:v>
      </x:c>
      <x:c r="X3" s="415" t="str">
        <x:v>Price_Filter</x:v>
      </x:c>
      <x:c r="Y3" s="415" t="str">
        <x:v>Lambda_Filter</x:v>
      </x:c>
      <x:c r="Z3" s="415" t="str">
        <x:v>Research_Warmup</x:v>
      </x:c>
      <x:c r="AA3" s="415" t="str">
        <x:v>Validation_Warmup</x:v>
      </x:c>
      <x:c r="AB3" s="415" t="str">
        <x:v>Research_Qualifier</x:v>
      </x:c>
      <x:c r="AC3" s="415" t="str">
        <x:v>Validation_Qualifier</x:v>
      </x:c>
      <x:c r="AD3" s="415" t="str">
        <x:v>Result_U3.5</x:v>
      </x:c>
      <x:c r="AE3" s="415" t="str">
        <x:v>Profit_1u</x:v>
      </x:c>
      <x:c r="AF3" s="415" t="str">
        <x:v>Why_Not_Validated</x:v>
      </x:c>
      <x:c r="AG3" s="415" t="str">
        <x:v>Source</x:v>
      </x:c>
      <x:c r="AH3" s="415" t="str">
        <x:v>Integrity_Note</x:v>
      </x:c>
      <x:c r="AI3" s="415" t="str">
        <x:v>Sequence</x:v>
      </x:c>
      <x:c r="AK3" s="419" t="str">
        <x:v>BACKFILL SUMMARY</x:v>
      </x:c>
      <x:c r="AL3" s="419" t="str">
        <x:v>Value</x:v>
      </x:c>
      <x:c r="AM3" s="419" t="str">
        <x:v>Rule</x:v>
      </x:c>
      <x:c r="AN3" s="419" t="str">
        <x:v>Meaning</x:v>
      </x:c>
    </x:row>
    <x:row r="4">
      <x:c r="A4" t="str">
        <x:f>'Normalized_History_v0.2.1'!A4</x:f>
        <x:v>97190</x:v>
      </x:c>
      <x:c r="B4" s="28" t="str">
        <x:f>'Normalized_History_v0.2.1'!B4</x:f>
        <x:v>2026-02-21</x:v>
      </x:c>
      <x:c r="C4" t="str">
        <x:f>'Normalized_History_v0.2.1'!D4</x:f>
        <x:v>St. Louis City</x:v>
      </x:c>
      <x:c r="D4" t="str">
        <x:f>'Normalized_History_v0.2.1'!E4</x:f>
        <x:v>Charlotte</x:v>
      </x:c>
      <x:c r="E4" t="n">
        <x:f>'Normalized_History_v0.2.1'!F4</x:f>
        <x:v>1</x:v>
      </x:c>
      <x:c r="F4" t="n">
        <x:f>'Normalized_History_v0.2.1'!G4</x:f>
        <x:v>1</x:v>
      </x:c>
      <x:c r="G4" s="30" t="n">
        <x:f>'Normalized_History_v0.2.1'!I4</x:f>
        <x:v>1.75</x:v>
      </x:c>
      <x:c r="H4" s="30" t="n">
        <x:f>'Normalized_History_v0.2.1'!J4</x:f>
        <x:v>2.1</x:v>
      </x:c>
      <x:c r="I4" s="30" t="n">
        <x:f>'Normalized_History_v0.2.1'!K4</x:f>
        <x:v>2.82</x:v>
      </x:c>
      <x:c r="J4" s="30" t="n">
        <x:f>'Normalized_History_v0.2.1'!L4</x:f>
        <x:v>1.45</x:v>
      </x:c>
      <x:c r="K4" t="n">
        <x:v>0</x:v>
      </x:c>
      <x:c r="L4" t="n">
        <x:v>0</x:v>
      </x:c>
      <x:c r="M4" t="n">
        <x:v>0</x:v>
      </x:c>
      <x:c r="N4" s="30"/>
      <x:c r="O4" s="30"/>
      <x:c r="P4" s="30"/>
      <x:c r="Q4" s="30"/>
      <x:c r="R4" s="30"/>
      <x:c r="S4" s="30"/>
      <x:c r="T4" s="30"/>
      <x:c r="U4" s="32"/>
      <x:c r="V4" s="32"/>
      <x:c r="W4" s="32"/>
      <x:c r="X4" t="str">
        <x:v>NO</x:v>
      </x:c>
      <x:c r="Y4" t="str">
        <x:v>NO</x:v>
      </x:c>
      <x:c r="Z4" t="str">
        <x:v>NO</x:v>
      </x:c>
      <x:c r="AA4" t="str">
        <x:v>NO</x:v>
      </x:c>
      <x:c r="AB4" t="str">
        <x:v>NO</x:v>
      </x:c>
      <x:c r="AC4" t="str">
        <x:v>NO</x:v>
      </x:c>
      <x:c r="AD4" t="str">
        <x:v>WIN</x:v>
      </x:c>
      <x:c r="AE4" s="30" t="str">
        <x:f>IF(AC4&lt;&gt;"YES","",IF(AD4="WIN",J4-1,-1))</x:f>
      </x:c>
      <x:c r="AF4" t="str">
        <x:v>Season opener / no prior in-seed history</x:v>
      </x:c>
      <x:c r="AG4" t="str">
        <x:v>https://footiqo.com/database/leagues/usa-mls/</x:v>
      </x:c>
      <x:c r="AH4" t="str">
        <x:v>Only information before kickoff is allowed.</x:v>
      </x:c>
      <x:c r="AI4" t="n">
        <x:v>1</x:v>
      </x:c>
      <x:c r="AK4" s="421" t="str">
        <x:v>Seed matches</x:v>
      </x:c>
      <x:c r="AL4" t="n">
        <x:v>25</x:v>
      </x:c>
      <x:c r="AM4" t="str">
        <x:v>Chronological 2026 seed</x:v>
      </x:c>
      <x:c r="AN4" t="str">
        <x:v>First 25 normalized matches</x:v>
      </x:c>
    </x:row>
    <x:row r="5">
      <x:c r="A5" t="str">
        <x:f>'Normalized_History_v0.2.1'!A5</x:f>
        <x:v>97189</x:v>
      </x:c>
      <x:c r="B5" s="28" t="str">
        <x:f>'Normalized_History_v0.2.1'!B5</x:f>
        <x:v>2026-02-21</x:v>
      </x:c>
      <x:c r="C5" t="str">
        <x:f>'Normalized_History_v0.2.1'!D5</x:f>
        <x:v>FC Cincinnati</x:v>
      </x:c>
      <x:c r="D5" t="str">
        <x:f>'Normalized_History_v0.2.1'!E5</x:f>
        <x:v>Atlanta Utd</x:v>
      </x:c>
      <x:c r="E5" t="n">
        <x:f>'Normalized_History_v0.2.1'!F5</x:f>
        <x:v>2</x:v>
      </x:c>
      <x:c r="F5" t="n">
        <x:f>'Normalized_History_v0.2.1'!G5</x:f>
        <x:v>0</x:v>
      </x:c>
      <x:c r="G5" s="30" t="n">
        <x:f>'Normalized_History_v0.2.1'!I5</x:f>
        <x:v>1.75</x:v>
      </x:c>
      <x:c r="H5" s="30" t="n">
        <x:f>'Normalized_History_v0.2.1'!J5</x:f>
        <x:v>2.17</x:v>
      </x:c>
      <x:c r="I5" s="30" t="n">
        <x:f>'Normalized_History_v0.2.1'!K5</x:f>
        <x:v>2.57</x:v>
      </x:c>
      <x:c r="J5" s="30" t="n">
        <x:f>'Normalized_History_v0.2.1'!L5</x:f>
        <x:v>1.4</x:v>
      </x:c>
      <x:c r="K5" t="n">
        <x:f>COUNTIF($C$4:C4,C5)+COUNTIF($D$4:D4,C5)</x:f>
        <x:v>0</x:v>
      </x:c>
      <x:c r="L5" t="n">
        <x:f>COUNTIF($C$4:C4,D5)+COUNTIF($D$4:D4,D5)</x:f>
        <x:v>0</x:v>
      </x:c>
      <x:c r="M5" t="n">
        <x:f>MIN(K5,L5)</x:f>
        <x:v>0</x:v>
      </x:c>
      <x:c r="N5" s="30" t="str">
        <x:f>IF(K5=0,"",(SUMIF($C$4:C4,C5,$E$4:E4)+SUMIF($D$4:D4,C5,$F$4:F4))/K5)</x:f>
      </x:c>
      <x:c r="O5" s="30" t="str">
        <x:f>IF(K5=0,"",(SUMIF($C$4:C4,C5,$F$4:F4)+SUMIF($D$4:D4,C5,$E$4:E4))/K5)</x:f>
      </x:c>
      <x:c r="P5" s="30" t="str">
        <x:f>IF(L5=0,"",(SUMIF($C$4:C4,D5,$E$4:E4)+SUMIF($D$4:D4,D5,$F$4:F4))/L5)</x:f>
      </x:c>
      <x:c r="Q5" s="30" t="str">
        <x:f>IF(L5=0,"",(SUMIF($C$4:C4,D5,$F$4:F4)+SUMIF($D$4:D4,D5,$E$4:E4))/L5)</x:f>
      </x:c>
      <x:c r="R5" s="30" t="str">
        <x:f>IF(OR(N5="",Q5=""),"",AVERAGE(N5,Q5))</x:f>
      </x:c>
      <x:c r="S5" s="30" t="str">
        <x:f>IF(OR(P5="",O5=""),"",AVERAGE(P5,O5))</x:f>
      </x:c>
      <x:c r="T5" s="30" t="str">
        <x:f>IF(OR(R5="",S5=""),"",R5+S5)</x:f>
      </x:c>
      <x:c r="U5" s="32" t="str">
        <x:f>IF(T5="","",EXP(-T5)*(1+T5+(T5^2)/2+(T5^3)/6))</x:f>
      </x:c>
      <x:c r="V5" s="32" t="n">
        <x:f>IF(OR(I5="",J5=""),"",(1/J5)/((1/J5)+(1/I5)))</x:f>
        <x:v>0.6473551637279596</x:v>
      </x:c>
      <x:c r="W5" s="32" t="str">
        <x:f>IF(OR(U5="",V5=""),"",U5-V5)</x:f>
      </x:c>
      <x:c r="X5" t="str">
        <x:f>IF(AND(G5&lt;=1.60,J5&gt;=1.55,J5&lt;=1.75),"YES","NO")</x:f>
        <x:v>NO</x:v>
      </x:c>
      <x:c r="Y5" t="str">
        <x:f>IF(AND(T5&gt;=2.70,T5&lt;=3.10,W5&gt;=0.05),"YES","NO")</x:f>
        <x:v>NO</x:v>
      </x:c>
      <x:c r="Z5" t="str">
        <x:f>IF(M5&gt;=1,"YES","NO")</x:f>
        <x:v>NO</x:v>
      </x:c>
      <x:c r="AA5" t="str">
        <x:f>IF(M5&gt;=3,"YES","NO")</x:f>
        <x:v>NO</x:v>
      </x:c>
      <x:c r="AB5" t="str">
        <x:f>IF(AND(X5="YES",Y5="YES",Z5="YES"),"YES","NO")</x:f>
        <x:v>NO</x:v>
      </x:c>
      <x:c r="AC5" t="str">
        <x:f>IF(AND(X5="YES",Y5="YES",AA5="YES"),"YES","NO")</x:f>
        <x:v>NO</x:v>
      </x:c>
      <x:c r="AD5" t="str">
        <x:f>IF(E5+F5&lt;=3,"WIN","LOSS")</x:f>
        <x:v>WIN</x:v>
      </x:c>
      <x:c r="AE5" s="30" t="str">
        <x:f>IF(AC5&lt;&gt;"YES","",IF(AD5="WIN",J5-1,-1))</x:f>
      </x:c>
      <x:c r="AF5" t="str">
        <x:f>IF(AA5&lt;&gt;"YES","WARMUP&lt;3",IF(X5&lt;&gt;"YES","PRICE",IF(Y5&lt;&gt;"YES","MODEL/LAMBDA","ELIGIBLE")))</x:f>
        <x:v>WARMUP&lt;3</x:v>
      </x:c>
      <x:c r="AG5" t="str">
        <x:v>https://footiqo.com/database/leagues/usa-mls/</x:v>
      </x:c>
      <x:c r="AH5" t="str">
        <x:v>Rolling stats use rows above only; no future-match leakage.</x:v>
      </x:c>
      <x:c r="AI5" t="n">
        <x:v>2</x:v>
      </x:c>
      <x:c r="AK5" s="421" t="str">
        <x:v>Research warmup N&gt;=1</x:v>
      </x:c>
      <x:c r="AL5" t="n">
        <x:f>COUNTIF(Z4:Z28,"YES")</x:f>
        <x:v>10</x:v>
      </x:c>
      <x:c r="AM5" t="str">
        <x:v>&gt;=1 prior match/team</x:v>
      </x:c>
      <x:c r="AN5" t="str">
        <x:v>Exploratory only</x:v>
      </x:c>
    </x:row>
    <x:row r="6">
      <x:c r="A6" t="str">
        <x:f>'Normalized_History_v0.2.1'!A6</x:f>
        <x:v>97193</x:v>
      </x:c>
      <x:c r="B6" s="28" t="str">
        <x:f>'Normalized_History_v0.2.1'!B6</x:f>
        <x:v>2026-02-22</x:v>
      </x:c>
      <x:c r="C6" t="str">
        <x:f>'Normalized_History_v0.2.1'!D6</x:f>
        <x:v>DC United</x:v>
      </x:c>
      <x:c r="D6" t="str">
        <x:f>'Normalized_History_v0.2.1'!E6</x:f>
        <x:v>Philadelphia Union</x:v>
      </x:c>
      <x:c r="E6" t="n">
        <x:f>'Normalized_History_v0.2.1'!F6</x:f>
        <x:v>1</x:v>
      </x:c>
      <x:c r="F6" t="n">
        <x:f>'Normalized_History_v0.2.1'!G6</x:f>
        <x:v>0</x:v>
      </x:c>
      <x:c r="G6" s="30" t="n">
        <x:f>'Normalized_History_v0.2.1'!I6</x:f>
        <x:v>2.32</x:v>
      </x:c>
      <x:c r="H6" s="30" t="n">
        <x:f>'Normalized_History_v0.2.1'!J6</x:f>
        <x:v>1.67</x:v>
      </x:c>
      <x:c r="I6" s="30" t="n">
        <x:f>'Normalized_History_v0.2.1'!K6</x:f>
        <x:v>4.05</x:v>
      </x:c>
      <x:c r="J6" s="30" t="n">
        <x:f>'Normalized_History_v0.2.1'!L6</x:f>
        <x:v>1.25</x:v>
      </x:c>
      <x:c r="K6" t="n">
        <x:f>COUNTIF($C$4:C5,C6)+COUNTIF($D$4:D5,C6)</x:f>
        <x:v>0</x:v>
      </x:c>
      <x:c r="L6" t="n">
        <x:f>COUNTIF($C$4:C5,D6)+COUNTIF($D$4:D5,D6)</x:f>
        <x:v>0</x:v>
      </x:c>
      <x:c r="M6" t="n">
        <x:f>MIN(K6,L6)</x:f>
        <x:v>0</x:v>
      </x:c>
      <x:c r="N6" s="30" t="str">
        <x:f>IF(K6=0,"",(SUMIF($C$4:C5,C6,$E$4:E5)+SUMIF($D$4:D5,C6,$F$4:F5))/K6)</x:f>
      </x:c>
      <x:c r="O6" s="30" t="str">
        <x:f>IF(K6=0,"",(SUMIF($C$4:C5,C6,$F$4:F5)+SUMIF($D$4:D5,C6,$E$4:E5))/K6)</x:f>
      </x:c>
      <x:c r="P6" s="30" t="str">
        <x:f>IF(L6=0,"",(SUMIF($C$4:C5,D6,$E$4:E5)+SUMIF($D$4:D5,D6,$F$4:F5))/L6)</x:f>
      </x:c>
      <x:c r="Q6" s="30" t="str">
        <x:f>IF(L6=0,"",(SUMIF($C$4:C5,D6,$F$4:F5)+SUMIF($D$4:D5,D6,$E$4:E5))/L6)</x:f>
      </x:c>
      <x:c r="R6" s="30" t="str">
        <x:f>IF(OR(N6="",Q6=""),"",AVERAGE(N6,Q6))</x:f>
      </x:c>
      <x:c r="S6" s="30" t="str">
        <x:f>IF(OR(P6="",O6=""),"",AVERAGE(P6,O6))</x:f>
      </x:c>
      <x:c r="T6" s="30" t="str">
        <x:f>IF(OR(R6="",S6=""),"",R6+S6)</x:f>
      </x:c>
      <x:c r="U6" s="32" t="str">
        <x:f>IF(T6="","",EXP(-T6)*(1+T6+(T6^2)/2+(T6^3)/6))</x:f>
      </x:c>
      <x:c r="V6" s="32" t="n">
        <x:f>IF(OR(I6="",J6=""),"",(1/J6)/((1/J6)+(1/I6)))</x:f>
        <x:v>0.7641509433962265</x:v>
      </x:c>
      <x:c r="W6" s="32" t="str">
        <x:f>IF(OR(U6="",V6=""),"",U6-V6)</x:f>
      </x:c>
      <x:c r="X6" t="str">
        <x:f>IF(AND(G6&lt;=1.60,J6&gt;=1.55,J6&lt;=1.75),"YES","NO")</x:f>
        <x:v>NO</x:v>
      </x:c>
      <x:c r="Y6" t="str">
        <x:f>IF(AND(T6&gt;=2.70,T6&lt;=3.10,W6&gt;=0.05),"YES","NO")</x:f>
        <x:v>NO</x:v>
      </x:c>
      <x:c r="Z6" t="str">
        <x:f>IF(M6&gt;=1,"YES","NO")</x:f>
        <x:v>NO</x:v>
      </x:c>
      <x:c r="AA6" t="str">
        <x:f>IF(M6&gt;=3,"YES","NO")</x:f>
        <x:v>NO</x:v>
      </x:c>
      <x:c r="AB6" t="str">
        <x:f>IF(AND(X6="YES",Y6="YES",Z6="YES"),"YES","NO")</x:f>
        <x:v>NO</x:v>
      </x:c>
      <x:c r="AC6" t="str">
        <x:f>IF(AND(X6="YES",Y6="YES",AA6="YES"),"YES","NO")</x:f>
        <x:v>NO</x:v>
      </x:c>
      <x:c r="AD6" t="str">
        <x:f>IF(E6+F6&lt;=3,"WIN","LOSS")</x:f>
        <x:v>WIN</x:v>
      </x:c>
      <x:c r="AE6" s="30" t="str">
        <x:f>IF(AC6&lt;&gt;"YES","",IF(AD6="WIN",J6-1,-1))</x:f>
      </x:c>
      <x:c r="AF6" t="str">
        <x:f>IF(AA6&lt;&gt;"YES","WARMUP&lt;3",IF(X6&lt;&gt;"YES","PRICE",IF(Y6&lt;&gt;"YES","MODEL/LAMBDA","ELIGIBLE")))</x:f>
        <x:v>WARMUP&lt;3</x:v>
      </x:c>
      <x:c r="AG6" t="str">
        <x:v>https://footiqo.com/database/leagues/usa-mls/</x:v>
      </x:c>
      <x:c r="AH6" t="str">
        <x:v>Rolling stats use rows above only; no future-match leakage.</x:v>
      </x:c>
      <x:c r="AI6" t="n">
        <x:v>3</x:v>
      </x:c>
      <x:c r="AK6" s="421" t="str">
        <x:v>Validation warmup N&gt;=3</x:v>
      </x:c>
      <x:c r="AL6" t="n">
        <x:f>COUNTIF(AA4:AA28,"YES")</x:f>
        <x:v>0</x:v>
      </x:c>
      <x:c r="AM6" t="str">
        <x:v>&gt;=3 prior matches/team</x:v>
      </x:c>
      <x:c r="AN6" t="str">
        <x:v>Required for validation</x:v>
      </x:c>
    </x:row>
    <x:row r="7">
      <x:c r="A7" t="str">
        <x:f>'Normalized_History_v0.2.1'!A7</x:f>
        <x:v>97194</x:v>
      </x:c>
      <x:c r="B7" s="28" t="str">
        <x:f>'Normalized_History_v0.2.1'!B7</x:f>
        <x:v>2026-02-22</x:v>
      </x:c>
      <x:c r="C7" t="str">
        <x:f>'Normalized_History_v0.2.1'!D7</x:f>
        <x:v>Orlando City</x:v>
      </x:c>
      <x:c r="D7" t="str">
        <x:f>'Normalized_History_v0.2.1'!E7</x:f>
        <x:v>New York Red Bulls</x:v>
      </x:c>
      <x:c r="E7" t="n">
        <x:f>'Normalized_History_v0.2.1'!F7</x:f>
        <x:v>1</x:v>
      </x:c>
      <x:c r="F7" t="n">
        <x:f>'Normalized_History_v0.2.1'!G7</x:f>
        <x:v>2</x:v>
      </x:c>
      <x:c r="G7" s="30" t="n">
        <x:f>'Normalized_History_v0.2.1'!I7</x:f>
        <x:v>1.66</x:v>
      </x:c>
      <x:c r="H7" s="30" t="n">
        <x:f>'Normalized_History_v0.2.1'!J7</x:f>
        <x:v>2.25</x:v>
      </x:c>
      <x:c r="I7" s="30" t="n">
        <x:f>'Normalized_History_v0.2.1'!K7</x:f>
        <x:v>2.53</x:v>
      </x:c>
      <x:c r="J7" s="30" t="n">
        <x:f>'Normalized_History_v0.2.1'!L7</x:f>
        <x:v>1.54</x:v>
      </x:c>
      <x:c r="K7" t="n">
        <x:f>COUNTIF($C$4:C6,C7)+COUNTIF($D$4:D6,C7)</x:f>
        <x:v>0</x:v>
      </x:c>
      <x:c r="L7" t="n">
        <x:f>COUNTIF($C$4:C6,D7)+COUNTIF($D$4:D6,D7)</x:f>
        <x:v>0</x:v>
      </x:c>
      <x:c r="M7" t="n">
        <x:f>MIN(K7,L7)</x:f>
        <x:v>0</x:v>
      </x:c>
      <x:c r="N7" s="30" t="str">
        <x:f>IF(K7=0,"",(SUMIF($C$4:C6,C7,$E$4:E6)+SUMIF($D$4:D6,C7,$F$4:F6))/K7)</x:f>
      </x:c>
      <x:c r="O7" s="30" t="str">
        <x:f>IF(K7=0,"",(SUMIF($C$4:C6,C7,$F$4:F6)+SUMIF($D$4:D6,C7,$E$4:E6))/K7)</x:f>
      </x:c>
      <x:c r="P7" s="30" t="str">
        <x:f>IF(L7=0,"",(SUMIF($C$4:C6,D7,$E$4:E6)+SUMIF($D$4:D6,D7,$F$4:F6))/L7)</x:f>
      </x:c>
      <x:c r="Q7" s="30" t="str">
        <x:f>IF(L7=0,"",(SUMIF($C$4:C6,D7,$F$4:F6)+SUMIF($D$4:D6,D7,$E$4:E6))/L7)</x:f>
      </x:c>
      <x:c r="R7" s="30" t="str">
        <x:f>IF(OR(N7="",Q7=""),"",AVERAGE(N7,Q7))</x:f>
      </x:c>
      <x:c r="S7" s="30" t="str">
        <x:f>IF(OR(P7="",O7=""),"",AVERAGE(P7,O7))</x:f>
      </x:c>
      <x:c r="T7" s="30" t="str">
        <x:f>IF(OR(R7="",S7=""),"",R7+S7)</x:f>
      </x:c>
      <x:c r="U7" s="32" t="str">
        <x:f>IF(T7="","",EXP(-T7)*(1+T7+(T7^2)/2+(T7^3)/6))</x:f>
      </x:c>
      <x:c r="V7" s="32" t="n">
        <x:f>IF(OR(I7="",J7=""),"",(1/J7)/((1/J7)+(1/I7)))</x:f>
        <x:v>0.6216216216216216</x:v>
      </x:c>
      <x:c r="W7" s="32" t="str">
        <x:f>IF(OR(U7="",V7=""),"",U7-V7)</x:f>
      </x:c>
      <x:c r="X7" t="str">
        <x:f>IF(AND(G7&lt;=1.60,J7&gt;=1.55,J7&lt;=1.75),"YES","NO")</x:f>
        <x:v>NO</x:v>
      </x:c>
      <x:c r="Y7" t="str">
        <x:f>IF(AND(T7&gt;=2.70,T7&lt;=3.10,W7&gt;=0.05),"YES","NO")</x:f>
        <x:v>NO</x:v>
      </x:c>
      <x:c r="Z7" t="str">
        <x:f>IF(M7&gt;=1,"YES","NO")</x:f>
        <x:v>NO</x:v>
      </x:c>
      <x:c r="AA7" t="str">
        <x:f>IF(M7&gt;=3,"YES","NO")</x:f>
        <x:v>NO</x:v>
      </x:c>
      <x:c r="AB7" t="str">
        <x:f>IF(AND(X7="YES",Y7="YES",Z7="YES"),"YES","NO")</x:f>
        <x:v>NO</x:v>
      </x:c>
      <x:c r="AC7" t="str">
        <x:f>IF(AND(X7="YES",Y7="YES",AA7="YES"),"YES","NO")</x:f>
        <x:v>NO</x:v>
      </x:c>
      <x:c r="AD7" t="str">
        <x:f>IF(E7+F7&lt;=3,"WIN","LOSS")</x:f>
        <x:v>WIN</x:v>
      </x:c>
      <x:c r="AE7" s="30" t="str">
        <x:f>IF(AC7&lt;&gt;"YES","",IF(AD7="WIN",J7-1,-1))</x:f>
      </x:c>
      <x:c r="AF7" t="str">
        <x:f>IF(AA7&lt;&gt;"YES","WARMUP&lt;3",IF(X7&lt;&gt;"YES","PRICE",IF(Y7&lt;&gt;"YES","MODEL/LAMBDA","ELIGIBLE")))</x:f>
        <x:v>WARMUP&lt;3</x:v>
      </x:c>
      <x:c r="AG7" t="str">
        <x:v>https://footiqo.com/database/leagues/usa-mls/</x:v>
      </x:c>
      <x:c r="AH7" t="str">
        <x:v>Rolling stats use rows above only; no future-match leakage.</x:v>
      </x:c>
      <x:c r="AI7" t="n">
        <x:v>4</x:v>
      </x:c>
      <x:c r="AK7" s="421" t="str">
        <x:v>Price-filter matches</x:v>
      </x:c>
      <x:c r="AL7" t="n">
        <x:f>COUNTIF(X4:X28,"YES")</x:f>
        <x:v>5</x:v>
      </x:c>
      <x:c r="AM7" t="str">
        <x:v>Frozen P002 price filter</x:v>
      </x:c>
      <x:c r="AN7" t="str">
        <x:v>O2.5≤1.60, U3.5 1.55–1.75</x:v>
      </x:c>
    </x:row>
    <x:row r="8">
      <x:c r="A8" t="str">
        <x:f>'Normalized_History_v0.2.1'!A8</x:f>
        <x:v>97195</x:v>
      </x:c>
      <x:c r="B8" s="28" t="str">
        <x:f>'Normalized_History_v0.2.1'!B8</x:f>
        <x:v>2026-02-22</x:v>
      </x:c>
      <x:c r="C8" t="str">
        <x:f>'Normalized_History_v0.2.1'!D8</x:f>
        <x:v>Vancouver Whitecaps</x:v>
      </x:c>
      <x:c r="D8" t="str">
        <x:f>'Normalized_History_v0.2.1'!E8</x:f>
        <x:v>Real Salt Lake</x:v>
      </x:c>
      <x:c r="E8" t="n">
        <x:f>'Normalized_History_v0.2.1'!F8</x:f>
        <x:v>1</x:v>
      </x:c>
      <x:c r="F8" t="n">
        <x:f>'Normalized_History_v0.2.1'!G8</x:f>
        <x:v>0</x:v>
      </x:c>
      <x:c r="G8" s="30" t="n">
        <x:f>'Normalized_History_v0.2.1'!I8</x:f>
        <x:v>1.46</x:v>
      </x:c>
      <x:c r="H8" s="30" t="n">
        <x:f>'Normalized_History_v0.2.1'!J8</x:f>
        <x:v>2.75</x:v>
      </x:c>
      <x:c r="I8" s="30" t="n">
        <x:f>'Normalized_History_v0.2.1'!K8</x:f>
        <x:v>2.21</x:v>
      </x:c>
      <x:c r="J8" s="30" t="n">
        <x:f>'Normalized_History_v0.2.1'!L8</x:f>
        <x:v>1.73</x:v>
      </x:c>
      <x:c r="K8" t="n">
        <x:f>COUNTIF($C$4:C7,C8)+COUNTIF($D$4:D7,C8)</x:f>
        <x:v>0</x:v>
      </x:c>
      <x:c r="L8" t="n">
        <x:f>COUNTIF($C$4:C7,D8)+COUNTIF($D$4:D7,D8)</x:f>
        <x:v>0</x:v>
      </x:c>
      <x:c r="M8" t="n">
        <x:f>MIN(K8,L8)</x:f>
        <x:v>0</x:v>
      </x:c>
      <x:c r="N8" s="30" t="str">
        <x:f>IF(K8=0,"",(SUMIF($C$4:C7,C8,$E$4:E7)+SUMIF($D$4:D7,C8,$F$4:F7))/K8)</x:f>
      </x:c>
      <x:c r="O8" s="30" t="str">
        <x:f>IF(K8=0,"",(SUMIF($C$4:C7,C8,$F$4:F7)+SUMIF($D$4:D7,C8,$E$4:E7))/K8)</x:f>
      </x:c>
      <x:c r="P8" s="30" t="str">
        <x:f>IF(L8=0,"",(SUMIF($C$4:C7,D8,$E$4:E7)+SUMIF($D$4:D7,D8,$F$4:F7))/L8)</x:f>
      </x:c>
      <x:c r="Q8" s="30" t="str">
        <x:f>IF(L8=0,"",(SUMIF($C$4:C7,D8,$F$4:F7)+SUMIF($D$4:D7,D8,$E$4:E7))/L8)</x:f>
      </x:c>
      <x:c r="R8" s="30" t="str">
        <x:f>IF(OR(N8="",Q8=""),"",AVERAGE(N8,Q8))</x:f>
      </x:c>
      <x:c r="S8" s="30" t="str">
        <x:f>IF(OR(P8="",O8=""),"",AVERAGE(P8,O8))</x:f>
      </x:c>
      <x:c r="T8" s="30" t="str">
        <x:f>IF(OR(R8="",S8=""),"",R8+S8)</x:f>
      </x:c>
      <x:c r="U8" s="32" t="str">
        <x:f>IF(T8="","",EXP(-T8)*(1+T8+(T8^2)/2+(T8^3)/6))</x:f>
      </x:c>
      <x:c r="V8" s="32" t="n">
        <x:f>IF(OR(I8="",J8=""),"",(1/J8)/((1/J8)+(1/I8)))</x:f>
        <x:v>0.5609137055837563</x:v>
      </x:c>
      <x:c r="W8" s="32" t="str">
        <x:f>IF(OR(U8="",V8=""),"",U8-V8)</x:f>
      </x:c>
      <x:c r="X8" t="str">
        <x:f>IF(AND(G8&lt;=1.60,J8&gt;=1.55,J8&lt;=1.75),"YES","NO")</x:f>
        <x:v>YES</x:v>
      </x:c>
      <x:c r="Y8" t="str">
        <x:f>IF(AND(T8&gt;=2.70,T8&lt;=3.10,W8&gt;=0.05),"YES","NO")</x:f>
        <x:v>NO</x:v>
      </x:c>
      <x:c r="Z8" t="str">
        <x:f>IF(M8&gt;=1,"YES","NO")</x:f>
        <x:v>NO</x:v>
      </x:c>
      <x:c r="AA8" t="str">
        <x:f>IF(M8&gt;=3,"YES","NO")</x:f>
        <x:v>NO</x:v>
      </x:c>
      <x:c r="AB8" t="str">
        <x:f>IF(AND(X8="YES",Y8="YES",Z8="YES"),"YES","NO")</x:f>
        <x:v>NO</x:v>
      </x:c>
      <x:c r="AC8" t="str">
        <x:f>IF(AND(X8="YES",Y8="YES",AA8="YES"),"YES","NO")</x:f>
        <x:v>NO</x:v>
      </x:c>
      <x:c r="AD8" t="str">
        <x:f>IF(E8+F8&lt;=3,"WIN","LOSS")</x:f>
        <x:v>WIN</x:v>
      </x:c>
      <x:c r="AE8" s="30" t="str">
        <x:f>IF(AC8&lt;&gt;"YES","",IF(AD8="WIN",J8-1,-1))</x:f>
      </x:c>
      <x:c r="AF8" t="str">
        <x:f>IF(AA8&lt;&gt;"YES","WARMUP&lt;3",IF(X8&lt;&gt;"YES","PRICE",IF(Y8&lt;&gt;"YES","MODEL/LAMBDA","ELIGIBLE")))</x:f>
        <x:v>WARMUP&lt;3</x:v>
      </x:c>
      <x:c r="AG8" t="str">
        <x:v>https://footiqo.com/database/leagues/usa-mls/</x:v>
      </x:c>
      <x:c r="AH8" t="str">
        <x:v>Rolling stats use rows above only; no future-match leakage.</x:v>
      </x:c>
      <x:c r="AI8" t="n">
        <x:v>5</x:v>
      </x:c>
      <x:c r="AK8" s="421" t="str">
        <x:v>Research qualifiers</x:v>
      </x:c>
      <x:c r="AL8" t="n">
        <x:f>COUNTIF(AB4:AB28,"YES")</x:f>
        <x:v>0</x:v>
      </x:c>
      <x:c r="AM8" t="str">
        <x:v>Price + model + N&gt;=1</x:v>
      </x:c>
      <x:c r="AN8" t="str">
        <x:v>Cannot promote</x:v>
      </x:c>
    </x:row>
    <x:row r="9">
      <x:c r="A9" t="str">
        <x:f>'Normalized_History_v0.2.1'!A9</x:f>
        <x:v>97197</x:v>
      </x:c>
      <x:c r="B9" s="28" t="str">
        <x:f>'Normalized_History_v0.2.1'!B9</x:f>
        <x:v>2026-02-22</x:v>
      </x:c>
      <x:c r="C9" t="str">
        <x:f>'Normalized_History_v0.2.1'!D9</x:f>
        <x:v>Austin FC</x:v>
      </x:c>
      <x:c r="D9" t="str">
        <x:f>'Normalized_History_v0.2.1'!E9</x:f>
        <x:v>Minnesota United</x:v>
      </x:c>
      <x:c r="E9" t="n">
        <x:f>'Normalized_History_v0.2.1'!F9</x:f>
        <x:v>2</x:v>
      </x:c>
      <x:c r="F9" t="n">
        <x:f>'Normalized_History_v0.2.1'!G9</x:f>
        <x:v>2</x:v>
      </x:c>
      <x:c r="G9" s="30" t="n">
        <x:f>'Normalized_History_v0.2.1'!I9</x:f>
        <x:v>2.06</x:v>
      </x:c>
      <x:c r="H9" s="30" t="n">
        <x:f>'Normalized_History_v0.2.1'!J9</x:f>
        <x:v>1.83</x:v>
      </x:c>
      <x:c r="I9" s="30" t="n">
        <x:f>'Normalized_History_v0.2.1'!K9</x:f>
        <x:v>3.37</x:v>
      </x:c>
      <x:c r="J9" s="30" t="n">
        <x:f>'Normalized_History_v0.2.1'!L9</x:f>
        <x:v>1.34</x:v>
      </x:c>
      <x:c r="K9" t="n">
        <x:f>COUNTIF($C$4:C8,C9)+COUNTIF($D$4:D8,C9)</x:f>
        <x:v>0</x:v>
      </x:c>
      <x:c r="L9" t="n">
        <x:f>COUNTIF($C$4:C8,D9)+COUNTIF($D$4:D8,D9)</x:f>
        <x:v>0</x:v>
      </x:c>
      <x:c r="M9" t="n">
        <x:f>MIN(K9,L9)</x:f>
        <x:v>0</x:v>
      </x:c>
      <x:c r="N9" s="30" t="str">
        <x:f>IF(K9=0,"",(SUMIF($C$4:C8,C9,$E$4:E8)+SUMIF($D$4:D8,C9,$F$4:F8))/K9)</x:f>
      </x:c>
      <x:c r="O9" s="30" t="str">
        <x:f>IF(K9=0,"",(SUMIF($C$4:C8,C9,$F$4:F8)+SUMIF($D$4:D8,C9,$E$4:E8))/K9)</x:f>
      </x:c>
      <x:c r="P9" s="30" t="str">
        <x:f>IF(L9=0,"",(SUMIF($C$4:C8,D9,$E$4:E8)+SUMIF($D$4:D8,D9,$F$4:F8))/L9)</x:f>
      </x:c>
      <x:c r="Q9" s="30" t="str">
        <x:f>IF(L9=0,"",(SUMIF($C$4:C8,D9,$F$4:F8)+SUMIF($D$4:D8,D9,$E$4:E8))/L9)</x:f>
      </x:c>
      <x:c r="R9" s="30" t="str">
        <x:f>IF(OR(N9="",Q9=""),"",AVERAGE(N9,Q9))</x:f>
      </x:c>
      <x:c r="S9" s="30" t="str">
        <x:f>IF(OR(P9="",O9=""),"",AVERAGE(P9,O9))</x:f>
      </x:c>
      <x:c r="T9" s="30" t="str">
        <x:f>IF(OR(R9="",S9=""),"",R9+S9)</x:f>
      </x:c>
      <x:c r="U9" s="32" t="str">
        <x:f>IF(T9="","",EXP(-T9)*(1+T9+(T9^2)/2+(T9^3)/6))</x:f>
      </x:c>
      <x:c r="V9" s="32" t="n">
        <x:f>IF(OR(I9="",J9=""),"",(1/J9)/((1/J9)+(1/I9)))</x:f>
        <x:v>0.7154989384288747</x:v>
      </x:c>
      <x:c r="W9" s="32" t="str">
        <x:f>IF(OR(U9="",V9=""),"",U9-V9)</x:f>
      </x:c>
      <x:c r="X9" t="str">
        <x:f>IF(AND(G9&lt;=1.60,J9&gt;=1.55,J9&lt;=1.75),"YES","NO")</x:f>
        <x:v>NO</x:v>
      </x:c>
      <x:c r="Y9" t="str">
        <x:f>IF(AND(T9&gt;=2.70,T9&lt;=3.10,W9&gt;=0.05),"YES","NO")</x:f>
        <x:v>NO</x:v>
      </x:c>
      <x:c r="Z9" t="str">
        <x:f>IF(M9&gt;=1,"YES","NO")</x:f>
        <x:v>NO</x:v>
      </x:c>
      <x:c r="AA9" t="str">
        <x:f>IF(M9&gt;=3,"YES","NO")</x:f>
        <x:v>NO</x:v>
      </x:c>
      <x:c r="AB9" t="str">
        <x:f>IF(AND(X9="YES",Y9="YES",Z9="YES"),"YES","NO")</x:f>
        <x:v>NO</x:v>
      </x:c>
      <x:c r="AC9" t="str">
        <x:f>IF(AND(X9="YES",Y9="YES",AA9="YES"),"YES","NO")</x:f>
        <x:v>NO</x:v>
      </x:c>
      <x:c r="AD9" t="str">
        <x:f>IF(E9+F9&lt;=3,"WIN","LOSS")</x:f>
        <x:v>LOSS</x:v>
      </x:c>
      <x:c r="AE9" s="30" t="str">
        <x:f>IF(AC9&lt;&gt;"YES","",IF(AD9="WIN",J9-1,-1))</x:f>
      </x:c>
      <x:c r="AF9" t="str">
        <x:f>IF(AA9&lt;&gt;"YES","WARMUP&lt;3",IF(X9&lt;&gt;"YES","PRICE",IF(Y9&lt;&gt;"YES","MODEL/LAMBDA","ELIGIBLE")))</x:f>
        <x:v>WARMUP&lt;3</x:v>
      </x:c>
      <x:c r="AG9" t="str">
        <x:v>https://footiqo.com/database/leagues/usa-mls/</x:v>
      </x:c>
      <x:c r="AH9" t="str">
        <x:v>Rolling stats use rows above only; no future-match leakage.</x:v>
      </x:c>
      <x:c r="AI9" t="n">
        <x:v>6</x:v>
      </x:c>
      <x:c r="AK9" s="421" t="str">
        <x:v>Validation qualifiers</x:v>
      </x:c>
      <x:c r="AL9" t="n">
        <x:f>COUNTIF(AC4:AC28,"YES")</x:f>
        <x:v>0</x:v>
      </x:c>
      <x:c r="AM9" t="str">
        <x:v>Price + model + N&gt;=3</x:v>
      </x:c>
      <x:c r="AN9" t="str">
        <x:v>Eligible evidence</x:v>
      </x:c>
    </x:row>
    <x:row r="10">
      <x:c r="A10" t="str">
        <x:f>'Normalized_History_v0.2.1'!A10</x:f>
        <x:v>97198</x:v>
      </x:c>
      <x:c r="B10" s="28" t="str">
        <x:f>'Normalized_History_v0.2.1'!B10</x:f>
        <x:v>2026-02-22</x:v>
      </x:c>
      <x:c r="C10" t="str">
        <x:f>'Normalized_History_v0.2.1'!D10</x:f>
        <x:v>FC Dallas</x:v>
      </x:c>
      <x:c r="D10" t="str">
        <x:f>'Normalized_History_v0.2.1'!E10</x:f>
        <x:v>Toronto FC</x:v>
      </x:c>
      <x:c r="E10" t="n">
        <x:f>'Normalized_History_v0.2.1'!F10</x:f>
        <x:v>3</x:v>
      </x:c>
      <x:c r="F10" t="n">
        <x:f>'Normalized_History_v0.2.1'!G10</x:f>
        <x:v>2</x:v>
      </x:c>
      <x:c r="G10" s="30" t="n">
        <x:f>'Normalized_History_v0.2.1'!I10</x:f>
        <x:v>1.89</x:v>
      </x:c>
      <x:c r="H10" s="30" t="n">
        <x:f>'Normalized_History_v0.2.1'!J10</x:f>
        <x:v>2</x:v>
      </x:c>
      <x:c r="I10" s="30" t="n">
        <x:f>'Normalized_History_v0.2.1'!K10</x:f>
        <x:v>3.01</x:v>
      </x:c>
      <x:c r="J10" s="30" t="n">
        <x:f>'Normalized_History_v0.2.1'!L10</x:f>
        <x:v>1.4</x:v>
      </x:c>
      <x:c r="K10" t="n">
        <x:f>COUNTIF($C$4:C9,C10)+COUNTIF($D$4:D9,C10)</x:f>
        <x:v>0</x:v>
      </x:c>
      <x:c r="L10" t="n">
        <x:f>COUNTIF($C$4:C9,D10)+COUNTIF($D$4:D9,D10)</x:f>
        <x:v>0</x:v>
      </x:c>
      <x:c r="M10" t="n">
        <x:f>MIN(K10,L10)</x:f>
        <x:v>0</x:v>
      </x:c>
      <x:c r="N10" s="30" t="str">
        <x:f>IF(K10=0,"",(SUMIF($C$4:C9,C10,$E$4:E9)+SUMIF($D$4:D9,C10,$F$4:F9))/K10)</x:f>
      </x:c>
      <x:c r="O10" s="30" t="str">
        <x:f>IF(K10=0,"",(SUMIF($C$4:C9,C10,$F$4:F9)+SUMIF($D$4:D9,C10,$E$4:E9))/K10)</x:f>
      </x:c>
      <x:c r="P10" s="30" t="str">
        <x:f>IF(L10=0,"",(SUMIF($C$4:C9,D10,$E$4:E9)+SUMIF($D$4:D9,D10,$F$4:F9))/L10)</x:f>
      </x:c>
      <x:c r="Q10" s="30" t="str">
        <x:f>IF(L10=0,"",(SUMIF($C$4:C9,D10,$F$4:F9)+SUMIF($D$4:D9,D10,$E$4:E9))/L10)</x:f>
      </x:c>
      <x:c r="R10" s="30" t="str">
        <x:f>IF(OR(N10="",Q10=""),"",AVERAGE(N10,Q10))</x:f>
      </x:c>
      <x:c r="S10" s="30" t="str">
        <x:f>IF(OR(P10="",O10=""),"",AVERAGE(P10,O10))</x:f>
      </x:c>
      <x:c r="T10" s="30" t="str">
        <x:f>IF(OR(R10="",S10=""),"",R10+S10)</x:f>
      </x:c>
      <x:c r="U10" s="32" t="str">
        <x:f>IF(T10="","",EXP(-T10)*(1+T10+(T10^2)/2+(T10^3)/6))</x:f>
      </x:c>
      <x:c r="V10" s="32" t="n">
        <x:f>IF(OR(I10="",J10=""),"",(1/J10)/((1/J10)+(1/I10)))</x:f>
        <x:v>0.6825396825396824</x:v>
      </x:c>
      <x:c r="W10" s="32" t="str">
        <x:f>IF(OR(U10="",V10=""),"",U10-V10)</x:f>
      </x:c>
      <x:c r="X10" t="str">
        <x:f>IF(AND(G10&lt;=1.60,J10&gt;=1.55,J10&lt;=1.75),"YES","NO")</x:f>
        <x:v>NO</x:v>
      </x:c>
      <x:c r="Y10" t="str">
        <x:f>IF(AND(T10&gt;=2.70,T10&lt;=3.10,W10&gt;=0.05),"YES","NO")</x:f>
        <x:v>NO</x:v>
      </x:c>
      <x:c r="Z10" t="str">
        <x:f>IF(M10&gt;=1,"YES","NO")</x:f>
        <x:v>NO</x:v>
      </x:c>
      <x:c r="AA10" t="str">
        <x:f>IF(M10&gt;=3,"YES","NO")</x:f>
        <x:v>NO</x:v>
      </x:c>
      <x:c r="AB10" t="str">
        <x:f>IF(AND(X10="YES",Y10="YES",Z10="YES"),"YES","NO")</x:f>
        <x:v>NO</x:v>
      </x:c>
      <x:c r="AC10" t="str">
        <x:f>IF(AND(X10="YES",Y10="YES",AA10="YES"),"YES","NO")</x:f>
        <x:v>NO</x:v>
      </x:c>
      <x:c r="AD10" t="str">
        <x:f>IF(E10+F10&lt;=3,"WIN","LOSS")</x:f>
        <x:v>LOSS</x:v>
      </x:c>
      <x:c r="AE10" s="30" t="str">
        <x:f>IF(AC10&lt;&gt;"YES","",IF(AD10="WIN",J10-1,-1))</x:f>
      </x:c>
      <x:c r="AF10" t="str">
        <x:f>IF(AA10&lt;&gt;"YES","WARMUP&lt;3",IF(X10&lt;&gt;"YES","PRICE",IF(Y10&lt;&gt;"YES","MODEL/LAMBDA","ELIGIBLE")))</x:f>
        <x:v>WARMUP&lt;3</x:v>
      </x:c>
      <x:c r="AG10" t="str">
        <x:v>https://footiqo.com/database/leagues/usa-mls/</x:v>
      </x:c>
      <x:c r="AH10" t="str">
        <x:v>Rolling stats use rows above only; no future-match leakage.</x:v>
      </x:c>
      <x:c r="AI10" t="n">
        <x:v>7</x:v>
      </x:c>
      <x:c r="AK10" s="421" t="str">
        <x:v>Validation wins</x:v>
      </x:c>
      <x:c r="AL10" t="n">
        <x:f>COUNTIFS(AC4:AC28,"YES",AD4:AD28,"WIN")</x:f>
        <x:v>0</x:v>
      </x:c>
      <x:c r="AM10" t="str">
        <x:v>Among validation qualifiers</x:v>
      </x:c>
      <x:c r="AN10" t="str"/>
    </x:row>
    <x:row r="11">
      <x:c r="A11" t="str">
        <x:f>'Normalized_History_v0.2.1'!A11</x:f>
        <x:v>97199</x:v>
      </x:c>
      <x:c r="B11" s="28" t="str">
        <x:f>'Normalized_History_v0.2.1'!B11</x:f>
        <x:v>2026-02-22</x:v>
      </x:c>
      <x:c r="C11" t="str">
        <x:f>'Normalized_History_v0.2.1'!D11</x:f>
        <x:v>Houston Dynamo</x:v>
      </x:c>
      <x:c r="D11" t="str">
        <x:f>'Normalized_History_v0.2.1'!E11</x:f>
        <x:v>Chicago Fire</x:v>
      </x:c>
      <x:c r="E11" t="n">
        <x:f>'Normalized_History_v0.2.1'!F11</x:f>
        <x:v>2</x:v>
      </x:c>
      <x:c r="F11" t="n">
        <x:f>'Normalized_History_v0.2.1'!G11</x:f>
        <x:v>1</x:v>
      </x:c>
      <x:c r="G11" s="30" t="n">
        <x:f>'Normalized_History_v0.2.1'!I11</x:f>
        <x:v>1.75</x:v>
      </x:c>
      <x:c r="H11" s="30" t="n">
        <x:f>'Normalized_History_v0.2.1'!J11</x:f>
        <x:v>2.1</x:v>
      </x:c>
      <x:c r="I11" s="30" t="n">
        <x:f>'Normalized_History_v0.2.1'!K11</x:f>
        <x:v>2.82</x:v>
      </x:c>
      <x:c r="J11" s="30" t="n">
        <x:f>'Normalized_History_v0.2.1'!L11</x:f>
        <x:v>1.45</x:v>
      </x:c>
      <x:c r="K11" t="n">
        <x:f>COUNTIF($C$4:C10,C11)+COUNTIF($D$4:D10,C11)</x:f>
        <x:v>0</x:v>
      </x:c>
      <x:c r="L11" t="n">
        <x:f>COUNTIF($C$4:C10,D11)+COUNTIF($D$4:D10,D11)</x:f>
        <x:v>0</x:v>
      </x:c>
      <x:c r="M11" t="n">
        <x:f>MIN(K11,L11)</x:f>
        <x:v>0</x:v>
      </x:c>
      <x:c r="N11" s="30" t="str">
        <x:f>IF(K11=0,"",(SUMIF($C$4:C10,C11,$E$4:E10)+SUMIF($D$4:D10,C11,$F$4:F10))/K11)</x:f>
      </x:c>
      <x:c r="O11" s="30" t="str">
        <x:f>IF(K11=0,"",(SUMIF($C$4:C10,C11,$F$4:F10)+SUMIF($D$4:D10,C11,$E$4:E10))/K11)</x:f>
      </x:c>
      <x:c r="P11" s="30" t="str">
        <x:f>IF(L11=0,"",(SUMIF($C$4:C10,D11,$E$4:E10)+SUMIF($D$4:D10,D11,$F$4:F10))/L11)</x:f>
      </x:c>
      <x:c r="Q11" s="30" t="str">
        <x:f>IF(L11=0,"",(SUMIF($C$4:C10,D11,$F$4:F10)+SUMIF($D$4:D10,D11,$E$4:E10))/L11)</x:f>
      </x:c>
      <x:c r="R11" s="30" t="str">
        <x:f>IF(OR(N11="",Q11=""),"",AVERAGE(N11,Q11))</x:f>
      </x:c>
      <x:c r="S11" s="30" t="str">
        <x:f>IF(OR(P11="",O11=""),"",AVERAGE(P11,O11))</x:f>
      </x:c>
      <x:c r="T11" s="30" t="str">
        <x:f>IF(OR(R11="",S11=""),"",R11+S11)</x:f>
      </x:c>
      <x:c r="U11" s="32" t="str">
        <x:f>IF(T11="","",EXP(-T11)*(1+T11+(T11^2)/2+(T11^3)/6))</x:f>
      </x:c>
      <x:c r="V11" s="32" t="n">
        <x:f>IF(OR(I11="",J11=""),"",(1/J11)/((1/J11)+(1/I11)))</x:f>
        <x:v>0.6604215456674473</x:v>
      </x:c>
      <x:c r="W11" s="32" t="str">
        <x:f>IF(OR(U11="",V11=""),"",U11-V11)</x:f>
      </x:c>
      <x:c r="X11" t="str">
        <x:f>IF(AND(G11&lt;=1.60,J11&gt;=1.55,J11&lt;=1.75),"YES","NO")</x:f>
        <x:v>NO</x:v>
      </x:c>
      <x:c r="Y11" t="str">
        <x:f>IF(AND(T11&gt;=2.70,T11&lt;=3.10,W11&gt;=0.05),"YES","NO")</x:f>
        <x:v>NO</x:v>
      </x:c>
      <x:c r="Z11" t="str">
        <x:f>IF(M11&gt;=1,"YES","NO")</x:f>
        <x:v>NO</x:v>
      </x:c>
      <x:c r="AA11" t="str">
        <x:f>IF(M11&gt;=3,"YES","NO")</x:f>
        <x:v>NO</x:v>
      </x:c>
      <x:c r="AB11" t="str">
        <x:f>IF(AND(X11="YES",Y11="YES",Z11="YES"),"YES","NO")</x:f>
        <x:v>NO</x:v>
      </x:c>
      <x:c r="AC11" t="str">
        <x:f>IF(AND(X11="YES",Y11="YES",AA11="YES"),"YES","NO")</x:f>
        <x:v>NO</x:v>
      </x:c>
      <x:c r="AD11" t="str">
        <x:f>IF(E11+F11&lt;=3,"WIN","LOSS")</x:f>
        <x:v>WIN</x:v>
      </x:c>
      <x:c r="AE11" s="30" t="str">
        <x:f>IF(AC11&lt;&gt;"YES","",IF(AD11="WIN",J11-1,-1))</x:f>
      </x:c>
      <x:c r="AF11" t="str">
        <x:f>IF(AA11&lt;&gt;"YES","WARMUP&lt;3",IF(X11&lt;&gt;"YES","PRICE",IF(Y11&lt;&gt;"YES","MODEL/LAMBDA","ELIGIBLE")))</x:f>
        <x:v>WARMUP&lt;3</x:v>
      </x:c>
      <x:c r="AG11" t="str">
        <x:v>https://footiqo.com/database/leagues/usa-mls/</x:v>
      </x:c>
      <x:c r="AH11" t="str">
        <x:v>Rolling stats use rows above only; no future-match leakage.</x:v>
      </x:c>
      <x:c r="AI11" t="n">
        <x:v>8</x:v>
      </x:c>
      <x:c r="AK11" s="421" t="str">
        <x:v>Validation hit rate</x:v>
      </x:c>
      <x:c r="AL11" s="32" t="str">
        <x:f>IF(AL9=0,"",AL10/AL9)</x:f>
      </x:c>
      <x:c r="AM11" t="str">
        <x:v>Wins / qualifiers</x:v>
      </x:c>
      <x:c r="AN11" t="str"/>
    </x:row>
    <x:row r="12">
      <x:c r="A12" t="str">
        <x:f>'Normalized_History_v0.2.1'!A12</x:f>
        <x:v>97200</x:v>
      </x:c>
      <x:c r="B12" s="28" t="str">
        <x:f>'Normalized_History_v0.2.1'!B12</x:f>
        <x:v>2026-02-22</x:v>
      </x:c>
      <x:c r="C12" t="str">
        <x:f>'Normalized_History_v0.2.1'!D12</x:f>
        <x:v>Nashville SC</x:v>
      </x:c>
      <x:c r="D12" t="str">
        <x:f>'Normalized_History_v0.2.1'!E12</x:f>
        <x:v>New England Revolution</x:v>
      </x:c>
      <x:c r="E12" t="n">
        <x:f>'Normalized_History_v0.2.1'!F12</x:f>
        <x:v>4</x:v>
      </x:c>
      <x:c r="F12" t="n">
        <x:f>'Normalized_History_v0.2.1'!G12</x:f>
        <x:v>1</x:v>
      </x:c>
      <x:c r="G12" s="30" t="n">
        <x:f>'Normalized_History_v0.2.1'!I12</x:f>
        <x:v>1.6</x:v>
      </x:c>
      <x:c r="H12" s="30" t="n">
        <x:f>'Normalized_History_v0.2.1'!J12</x:f>
        <x:v>2.38</x:v>
      </x:c>
      <x:c r="I12" s="30" t="n">
        <x:f>'Normalized_History_v0.2.1'!K12</x:f>
        <x:v>2.53</x:v>
      </x:c>
      <x:c r="J12" s="30" t="n">
        <x:f>'Normalized_History_v0.2.1'!L12</x:f>
        <x:v>1.54</x:v>
      </x:c>
      <x:c r="K12" t="n">
        <x:f>COUNTIF($C$4:C11,C12)+COUNTIF($D$4:D11,C12)</x:f>
        <x:v>0</x:v>
      </x:c>
      <x:c r="L12" t="n">
        <x:f>COUNTIF($C$4:C11,D12)+COUNTIF($D$4:D11,D12)</x:f>
        <x:v>0</x:v>
      </x:c>
      <x:c r="M12" t="n">
        <x:f>MIN(K12,L12)</x:f>
        <x:v>0</x:v>
      </x:c>
      <x:c r="N12" s="30" t="str">
        <x:f>IF(K12=0,"",(SUMIF($C$4:C11,C12,$E$4:E11)+SUMIF($D$4:D11,C12,$F$4:F11))/K12)</x:f>
      </x:c>
      <x:c r="O12" s="30" t="str">
        <x:f>IF(K12=0,"",(SUMIF($C$4:C11,C12,$F$4:F11)+SUMIF($D$4:D11,C12,$E$4:E11))/K12)</x:f>
      </x:c>
      <x:c r="P12" s="30" t="str">
        <x:f>IF(L12=0,"",(SUMIF($C$4:C11,D12,$E$4:E11)+SUMIF($D$4:D11,D12,$F$4:F11))/L12)</x:f>
      </x:c>
      <x:c r="Q12" s="30" t="str">
        <x:f>IF(L12=0,"",(SUMIF($C$4:C11,D12,$F$4:F11)+SUMIF($D$4:D11,D12,$E$4:E11))/L12)</x:f>
      </x:c>
      <x:c r="R12" s="30" t="str">
        <x:f>IF(OR(N12="",Q12=""),"",AVERAGE(N12,Q12))</x:f>
      </x:c>
      <x:c r="S12" s="30" t="str">
        <x:f>IF(OR(P12="",O12=""),"",AVERAGE(P12,O12))</x:f>
      </x:c>
      <x:c r="T12" s="30" t="str">
        <x:f>IF(OR(R12="",S12=""),"",R12+S12)</x:f>
      </x:c>
      <x:c r="U12" s="32" t="str">
        <x:f>IF(T12="","",EXP(-T12)*(1+T12+(T12^2)/2+(T12^3)/6))</x:f>
      </x:c>
      <x:c r="V12" s="32" t="n">
        <x:f>IF(OR(I12="",J12=""),"",(1/J12)/((1/J12)+(1/I12)))</x:f>
        <x:v>0.6216216216216216</x:v>
      </x:c>
      <x:c r="W12" s="32" t="str">
        <x:f>IF(OR(U12="",V12=""),"",U12-V12)</x:f>
      </x:c>
      <x:c r="X12" t="str">
        <x:f>IF(AND(G12&lt;=1.60,J12&gt;=1.55,J12&lt;=1.75),"YES","NO")</x:f>
        <x:v>NO</x:v>
      </x:c>
      <x:c r="Y12" t="str">
        <x:f>IF(AND(T12&gt;=2.70,T12&lt;=3.10,W12&gt;=0.05),"YES","NO")</x:f>
        <x:v>NO</x:v>
      </x:c>
      <x:c r="Z12" t="str">
        <x:f>IF(M12&gt;=1,"YES","NO")</x:f>
        <x:v>NO</x:v>
      </x:c>
      <x:c r="AA12" t="str">
        <x:f>IF(M12&gt;=3,"YES","NO")</x:f>
        <x:v>NO</x:v>
      </x:c>
      <x:c r="AB12" t="str">
        <x:f>IF(AND(X12="YES",Y12="YES",Z12="YES"),"YES","NO")</x:f>
        <x:v>NO</x:v>
      </x:c>
      <x:c r="AC12" t="str">
        <x:f>IF(AND(X12="YES",Y12="YES",AA12="YES"),"YES","NO")</x:f>
        <x:v>NO</x:v>
      </x:c>
      <x:c r="AD12" t="str">
        <x:f>IF(E12+F12&lt;=3,"WIN","LOSS")</x:f>
        <x:v>LOSS</x:v>
      </x:c>
      <x:c r="AE12" s="30" t="str">
        <x:f>IF(AC12&lt;&gt;"YES","",IF(AD12="WIN",J12-1,-1))</x:f>
      </x:c>
      <x:c r="AF12" t="str">
        <x:f>IF(AA12&lt;&gt;"YES","WARMUP&lt;3",IF(X12&lt;&gt;"YES","PRICE",IF(Y12&lt;&gt;"YES","MODEL/LAMBDA","ELIGIBLE")))</x:f>
        <x:v>WARMUP&lt;3</x:v>
      </x:c>
      <x:c r="AG12" t="str">
        <x:v>https://footiqo.com/database/leagues/usa-mls/</x:v>
      </x:c>
      <x:c r="AH12" t="str">
        <x:v>Rolling stats use rows above only; no future-match leakage.</x:v>
      </x:c>
      <x:c r="AI12" t="n">
        <x:v>9</x:v>
      </x:c>
      <x:c r="AK12" s="421" t="str">
        <x:v>Validation profit</x:v>
      </x:c>
      <x:c r="AL12" s="30" t="n">
        <x:f>IF(AL9=0,0,SUM(AE4:AE28))</x:f>
        <x:v>0</x:v>
      </x:c>
      <x:c r="AM12" t="str">
        <x:v>1u flat at U3.5 close</x:v>
      </x:c>
      <x:c r="AN12" t="str"/>
    </x:row>
    <x:row r="13">
      <x:c r="A13" t="str">
        <x:f>'Normalized_History_v0.2.1'!A13</x:f>
        <x:v>97201</x:v>
      </x:c>
      <x:c r="B13" s="28" t="str">
        <x:f>'Normalized_History_v0.2.1'!B13</x:f>
        <x:v>2026-02-22</x:v>
      </x:c>
      <x:c r="C13" t="str">
        <x:f>'Normalized_History_v0.2.1'!D13</x:f>
        <x:v>Los Angeles FC</x:v>
      </x:c>
      <x:c r="D13" t="str">
        <x:f>'Normalized_History_v0.2.1'!E13</x:f>
        <x:v>Inter Miami</x:v>
      </x:c>
      <x:c r="E13" t="n">
        <x:f>'Normalized_History_v0.2.1'!F13</x:f>
        <x:v>3</x:v>
      </x:c>
      <x:c r="F13" t="n">
        <x:f>'Normalized_History_v0.2.1'!G13</x:f>
        <x:v>0</x:v>
      </x:c>
      <x:c r="G13" s="30" t="n">
        <x:f>'Normalized_History_v0.2.1'!I13</x:f>
        <x:v>1.46</x:v>
      </x:c>
      <x:c r="H13" s="30" t="n">
        <x:f>'Normalized_History_v0.2.1'!J13</x:f>
        <x:v>2.77</x:v>
      </x:c>
      <x:c r="I13" s="30" t="n">
        <x:f>'Normalized_History_v0.2.1'!K13</x:f>
        <x:v>2.21</x:v>
      </x:c>
      <x:c r="J13" s="30" t="n">
        <x:f>'Normalized_History_v0.2.1'!L13</x:f>
        <x:v>1.73</x:v>
      </x:c>
      <x:c r="K13" t="n">
        <x:f>COUNTIF($C$4:C12,C13)+COUNTIF($D$4:D12,C13)</x:f>
        <x:v>0</x:v>
      </x:c>
      <x:c r="L13" t="n">
        <x:f>COUNTIF($C$4:C12,D13)+COUNTIF($D$4:D12,D13)</x:f>
        <x:v>0</x:v>
      </x:c>
      <x:c r="M13" t="n">
        <x:f>MIN(K13,L13)</x:f>
        <x:v>0</x:v>
      </x:c>
      <x:c r="N13" s="30" t="str">
        <x:f>IF(K13=0,"",(SUMIF($C$4:C12,C13,$E$4:E12)+SUMIF($D$4:D12,C13,$F$4:F12))/K13)</x:f>
      </x:c>
      <x:c r="O13" s="30" t="str">
        <x:f>IF(K13=0,"",(SUMIF($C$4:C12,C13,$F$4:F12)+SUMIF($D$4:D12,C13,$E$4:E12))/K13)</x:f>
      </x:c>
      <x:c r="P13" s="30" t="str">
        <x:f>IF(L13=0,"",(SUMIF($C$4:C12,D13,$E$4:E12)+SUMIF($D$4:D12,D13,$F$4:F12))/L13)</x:f>
      </x:c>
      <x:c r="Q13" s="30" t="str">
        <x:f>IF(L13=0,"",(SUMIF($C$4:C12,D13,$F$4:F12)+SUMIF($D$4:D12,D13,$E$4:E12))/L13)</x:f>
      </x:c>
      <x:c r="R13" s="30" t="str">
        <x:f>IF(OR(N13="",Q13=""),"",AVERAGE(N13,Q13))</x:f>
      </x:c>
      <x:c r="S13" s="30" t="str">
        <x:f>IF(OR(P13="",O13=""),"",AVERAGE(P13,O13))</x:f>
      </x:c>
      <x:c r="T13" s="30" t="str">
        <x:f>IF(OR(R13="",S13=""),"",R13+S13)</x:f>
      </x:c>
      <x:c r="U13" s="32" t="str">
        <x:f>IF(T13="","",EXP(-T13)*(1+T13+(T13^2)/2+(T13^3)/6))</x:f>
      </x:c>
      <x:c r="V13" s="32" t="n">
        <x:f>IF(OR(I13="",J13=""),"",(1/J13)/((1/J13)+(1/I13)))</x:f>
        <x:v>0.5609137055837563</x:v>
      </x:c>
      <x:c r="W13" s="32" t="str">
        <x:f>IF(OR(U13="",V13=""),"",U13-V13)</x:f>
      </x:c>
      <x:c r="X13" t="str">
        <x:f>IF(AND(G13&lt;=1.60,J13&gt;=1.55,J13&lt;=1.75),"YES","NO")</x:f>
        <x:v>YES</x:v>
      </x:c>
      <x:c r="Y13" t="str">
        <x:f>IF(AND(T13&gt;=2.70,T13&lt;=3.10,W13&gt;=0.05),"YES","NO")</x:f>
        <x:v>NO</x:v>
      </x:c>
      <x:c r="Z13" t="str">
        <x:f>IF(M13&gt;=1,"YES","NO")</x:f>
        <x:v>NO</x:v>
      </x:c>
      <x:c r="AA13" t="str">
        <x:f>IF(M13&gt;=3,"YES","NO")</x:f>
        <x:v>NO</x:v>
      </x:c>
      <x:c r="AB13" t="str">
        <x:f>IF(AND(X13="YES",Y13="YES",Z13="YES"),"YES","NO")</x:f>
        <x:v>NO</x:v>
      </x:c>
      <x:c r="AC13" t="str">
        <x:f>IF(AND(X13="YES",Y13="YES",AA13="YES"),"YES","NO")</x:f>
        <x:v>NO</x:v>
      </x:c>
      <x:c r="AD13" t="str">
        <x:f>IF(E13+F13&lt;=3,"WIN","LOSS")</x:f>
        <x:v>WIN</x:v>
      </x:c>
      <x:c r="AE13" s="30" t="str">
        <x:f>IF(AC13&lt;&gt;"YES","",IF(AD13="WIN",J13-1,-1))</x:f>
      </x:c>
      <x:c r="AF13" t="str">
        <x:f>IF(AA13&lt;&gt;"YES","WARMUP&lt;3",IF(X13&lt;&gt;"YES","PRICE",IF(Y13&lt;&gt;"YES","MODEL/LAMBDA","ELIGIBLE")))</x:f>
        <x:v>WARMUP&lt;3</x:v>
      </x:c>
      <x:c r="AG13" t="str">
        <x:v>https://footiqo.com/database/leagues/usa-mls/</x:v>
      </x:c>
      <x:c r="AH13" t="str">
        <x:v>Rolling stats use rows above only; no future-match leakage.</x:v>
      </x:c>
      <x:c r="AI13" t="n">
        <x:v>10</x:v>
      </x:c>
      <x:c r="AK13" s="421" t="str">
        <x:v>Validation ROI</x:v>
      </x:c>
      <x:c r="AL13" s="32" t="str">
        <x:f>IF(AL9=0,"",AL12/AL9)</x:f>
      </x:c>
      <x:c r="AM13" t="str">
        <x:v>Profit / qualifiers</x:v>
      </x:c>
      <x:c r="AN13" t="str"/>
    </x:row>
    <x:row r="14">
      <x:c r="A14" t="str">
        <x:f>'Normalized_History_v0.2.1'!A14</x:f>
        <x:v>97202</x:v>
      </x:c>
      <x:c r="B14" s="28" t="str">
        <x:f>'Normalized_History_v0.2.1'!B14</x:f>
        <x:v>2026-02-22</x:v>
      </x:c>
      <x:c r="C14" t="str">
        <x:f>'Normalized_History_v0.2.1'!D14</x:f>
        <x:v>Portland Timbers</x:v>
      </x:c>
      <x:c r="D14" t="str">
        <x:f>'Normalized_History_v0.2.1'!E14</x:f>
        <x:v>Columbus Crew</x:v>
      </x:c>
      <x:c r="E14" t="n">
        <x:f>'Normalized_History_v0.2.1'!F14</x:f>
        <x:v>3</x:v>
      </x:c>
      <x:c r="F14" t="n">
        <x:f>'Normalized_History_v0.2.1'!G14</x:f>
        <x:v>2</x:v>
      </x:c>
      <x:c r="G14" s="30" t="n">
        <x:f>'Normalized_History_v0.2.1'!I14</x:f>
        <x:v>1.6</x:v>
      </x:c>
      <x:c r="H14" s="30" t="n">
        <x:f>'Normalized_History_v0.2.1'!J14</x:f>
        <x:v>2.38</x:v>
      </x:c>
      <x:c r="I14" s="30" t="n">
        <x:f>'Normalized_History_v0.2.1'!K14</x:f>
        <x:v>2.53</x:v>
      </x:c>
      <x:c r="J14" s="30" t="n">
        <x:f>'Normalized_History_v0.2.1'!L14</x:f>
        <x:v>1.54</x:v>
      </x:c>
      <x:c r="K14" t="n">
        <x:f>COUNTIF($C$4:C13,C14)+COUNTIF($D$4:D13,C14)</x:f>
        <x:v>0</x:v>
      </x:c>
      <x:c r="L14" t="n">
        <x:f>COUNTIF($C$4:C13,D14)+COUNTIF($D$4:D13,D14)</x:f>
        <x:v>0</x:v>
      </x:c>
      <x:c r="M14" t="n">
        <x:f>MIN(K14,L14)</x:f>
        <x:v>0</x:v>
      </x:c>
      <x:c r="N14" s="30" t="str">
        <x:f>IF(K14=0,"",(SUMIF($C$4:C13,C14,$E$4:E13)+SUMIF($D$4:D13,C14,$F$4:F13))/K14)</x:f>
      </x:c>
      <x:c r="O14" s="30" t="str">
        <x:f>IF(K14=0,"",(SUMIF($C$4:C13,C14,$F$4:F13)+SUMIF($D$4:D13,C14,$E$4:E13))/K14)</x:f>
      </x:c>
      <x:c r="P14" s="30" t="str">
        <x:f>IF(L14=0,"",(SUMIF($C$4:C13,D14,$E$4:E13)+SUMIF($D$4:D13,D14,$F$4:F13))/L14)</x:f>
      </x:c>
      <x:c r="Q14" s="30" t="str">
        <x:f>IF(L14=0,"",(SUMIF($C$4:C13,D14,$F$4:F13)+SUMIF($D$4:D13,D14,$E$4:E13))/L14)</x:f>
      </x:c>
      <x:c r="R14" s="30" t="str">
        <x:f>IF(OR(N14="",Q14=""),"",AVERAGE(N14,Q14))</x:f>
      </x:c>
      <x:c r="S14" s="30" t="str">
        <x:f>IF(OR(P14="",O14=""),"",AVERAGE(P14,O14))</x:f>
      </x:c>
      <x:c r="T14" s="30" t="str">
        <x:f>IF(OR(R14="",S14=""),"",R14+S14)</x:f>
      </x:c>
      <x:c r="U14" s="32" t="str">
        <x:f>IF(T14="","",EXP(-T14)*(1+T14+(T14^2)/2+(T14^3)/6))</x:f>
      </x:c>
      <x:c r="V14" s="32" t="n">
        <x:f>IF(OR(I14="",J14=""),"",(1/J14)/((1/J14)+(1/I14)))</x:f>
        <x:v>0.6216216216216216</x:v>
      </x:c>
      <x:c r="W14" s="32" t="str">
        <x:f>IF(OR(U14="",V14=""),"",U14-V14)</x:f>
      </x:c>
      <x:c r="X14" t="str">
        <x:f>IF(AND(G14&lt;=1.60,J14&gt;=1.55,J14&lt;=1.75),"YES","NO")</x:f>
        <x:v>NO</x:v>
      </x:c>
      <x:c r="Y14" t="str">
        <x:f>IF(AND(T14&gt;=2.70,T14&lt;=3.10,W14&gt;=0.05),"YES","NO")</x:f>
        <x:v>NO</x:v>
      </x:c>
      <x:c r="Z14" t="str">
        <x:f>IF(M14&gt;=1,"YES","NO")</x:f>
        <x:v>NO</x:v>
      </x:c>
      <x:c r="AA14" t="str">
        <x:f>IF(M14&gt;=3,"YES","NO")</x:f>
        <x:v>NO</x:v>
      </x:c>
      <x:c r="AB14" t="str">
        <x:f>IF(AND(X14="YES",Y14="YES",Z14="YES"),"YES","NO")</x:f>
        <x:v>NO</x:v>
      </x:c>
      <x:c r="AC14" t="str">
        <x:f>IF(AND(X14="YES",Y14="YES",AA14="YES"),"YES","NO")</x:f>
        <x:v>NO</x:v>
      </x:c>
      <x:c r="AD14" t="str">
        <x:f>IF(E14+F14&lt;=3,"WIN","LOSS")</x:f>
        <x:v>LOSS</x:v>
      </x:c>
      <x:c r="AE14" s="30" t="str">
        <x:f>IF(AC14&lt;&gt;"YES","",IF(AD14="WIN",J14-1,-1))</x:f>
      </x:c>
      <x:c r="AF14" t="str">
        <x:f>IF(AA14&lt;&gt;"YES","WARMUP&lt;3",IF(X14&lt;&gt;"YES","PRICE",IF(Y14&lt;&gt;"YES","MODEL/LAMBDA","ELIGIBLE")))</x:f>
        <x:v>WARMUP&lt;3</x:v>
      </x:c>
      <x:c r="AG14" t="str">
        <x:v>https://footiqo.com/database/leagues/usa-mls/</x:v>
      </x:c>
      <x:c r="AH14" t="str">
        <x:v>Rolling stats use rows above only; no future-match leakage.</x:v>
      </x:c>
      <x:c r="AI14" t="n">
        <x:v>11</x:v>
      </x:c>
      <x:c r="AK14" s="421" t="str">
        <x:v>Minimum target N</x:v>
      </x:c>
      <x:c r="AL14" t="n">
        <x:v>30</x:v>
      </x:c>
      <x:c r="AM14" t="str">
        <x:v>Frozen system rule</x:v>
      </x:c>
      <x:c r="AN14" t="str">
        <x:v>Promotion threshold</x:v>
      </x:c>
    </x:row>
    <x:row r="15">
      <x:c r="A15" t="str">
        <x:f>'Normalized_History_v0.2.1'!A15</x:f>
        <x:v>97203</x:v>
      </x:c>
      <x:c r="B15" s="28" t="str">
        <x:f>'Normalized_History_v0.2.1'!B15</x:f>
        <x:v>2026-02-22</x:v>
      </x:c>
      <x:c r="C15" t="str">
        <x:f>'Normalized_History_v0.2.1'!D15</x:f>
        <x:v>San Diego FC</x:v>
      </x:c>
      <x:c r="D15" t="str">
        <x:f>'Normalized_History_v0.2.1'!E15</x:f>
        <x:v>CF Montreal</x:v>
      </x:c>
      <x:c r="E15" t="n">
        <x:f>'Normalized_History_v0.2.1'!F15</x:f>
        <x:v>5</x:v>
      </x:c>
      <x:c r="F15" t="n">
        <x:f>'Normalized_History_v0.2.1'!G15</x:f>
        <x:v>0</x:v>
      </x:c>
      <x:c r="G15" s="30" t="n">
        <x:f>'Normalized_History_v0.2.1'!I15</x:f>
        <x:v>1.6</x:v>
      </x:c>
      <x:c r="H15" s="30" t="n">
        <x:f>'Normalized_History_v0.2.1'!J15</x:f>
        <x:v>2.38</x:v>
      </x:c>
      <x:c r="I15" s="30" t="n">
        <x:f>'Normalized_History_v0.2.1'!K15</x:f>
        <x:v>2.53</x:v>
      </x:c>
      <x:c r="J15" s="30" t="n">
        <x:f>'Normalized_History_v0.2.1'!L15</x:f>
        <x:v>1.54</x:v>
      </x:c>
      <x:c r="K15" t="n">
        <x:f>COUNTIF($C$4:C14,C15)+COUNTIF($D$4:D14,C15)</x:f>
        <x:v>0</x:v>
      </x:c>
      <x:c r="L15" t="n">
        <x:f>COUNTIF($C$4:C14,D15)+COUNTIF($D$4:D14,D15)</x:f>
        <x:v>0</x:v>
      </x:c>
      <x:c r="M15" t="n">
        <x:f>MIN(K15,L15)</x:f>
        <x:v>0</x:v>
      </x:c>
      <x:c r="N15" s="30" t="str">
        <x:f>IF(K15=0,"",(SUMIF($C$4:C14,C15,$E$4:E14)+SUMIF($D$4:D14,C15,$F$4:F14))/K15)</x:f>
      </x:c>
      <x:c r="O15" s="30" t="str">
        <x:f>IF(K15=0,"",(SUMIF($C$4:C14,C15,$F$4:F14)+SUMIF($D$4:D14,C15,$E$4:E14))/K15)</x:f>
      </x:c>
      <x:c r="P15" s="30" t="str">
        <x:f>IF(L15=0,"",(SUMIF($C$4:C14,D15,$E$4:E14)+SUMIF($D$4:D14,D15,$F$4:F14))/L15)</x:f>
      </x:c>
      <x:c r="Q15" s="30" t="str">
        <x:f>IF(L15=0,"",(SUMIF($C$4:C14,D15,$F$4:F14)+SUMIF($D$4:D14,D15,$E$4:E14))/L15)</x:f>
      </x:c>
      <x:c r="R15" s="30" t="str">
        <x:f>IF(OR(N15="",Q15=""),"",AVERAGE(N15,Q15))</x:f>
      </x:c>
      <x:c r="S15" s="30" t="str">
        <x:f>IF(OR(P15="",O15=""),"",AVERAGE(P15,O15))</x:f>
      </x:c>
      <x:c r="T15" s="30" t="str">
        <x:f>IF(OR(R15="",S15=""),"",R15+S15)</x:f>
      </x:c>
      <x:c r="U15" s="32" t="str">
        <x:f>IF(T15="","",EXP(-T15)*(1+T15+(T15^2)/2+(T15^3)/6))</x:f>
      </x:c>
      <x:c r="V15" s="32" t="n">
        <x:f>IF(OR(I15="",J15=""),"",(1/J15)/((1/J15)+(1/I15)))</x:f>
        <x:v>0.6216216216216216</x:v>
      </x:c>
      <x:c r="W15" s="32" t="str">
        <x:f>IF(OR(U15="",V15=""),"",U15-V15)</x:f>
      </x:c>
      <x:c r="X15" t="str">
        <x:f>IF(AND(G15&lt;=1.60,J15&gt;=1.55,J15&lt;=1.75),"YES","NO")</x:f>
        <x:v>NO</x:v>
      </x:c>
      <x:c r="Y15" t="str">
        <x:f>IF(AND(T15&gt;=2.70,T15&lt;=3.10,W15&gt;=0.05),"YES","NO")</x:f>
        <x:v>NO</x:v>
      </x:c>
      <x:c r="Z15" t="str">
        <x:f>IF(M15&gt;=1,"YES","NO")</x:f>
        <x:v>NO</x:v>
      </x:c>
      <x:c r="AA15" t="str">
        <x:f>IF(M15&gt;=3,"YES","NO")</x:f>
        <x:v>NO</x:v>
      </x:c>
      <x:c r="AB15" t="str">
        <x:f>IF(AND(X15="YES",Y15="YES",Z15="YES"),"YES","NO")</x:f>
        <x:v>NO</x:v>
      </x:c>
      <x:c r="AC15" t="str">
        <x:f>IF(AND(X15="YES",Y15="YES",AA15="YES"),"YES","NO")</x:f>
        <x:v>NO</x:v>
      </x:c>
      <x:c r="AD15" t="str">
        <x:f>IF(E15+F15&lt;=3,"WIN","LOSS")</x:f>
        <x:v>LOSS</x:v>
      </x:c>
      <x:c r="AE15" s="30" t="str">
        <x:f>IF(AC15&lt;&gt;"YES","",IF(AD15="WIN",J15-1,-1))</x:f>
      </x:c>
      <x:c r="AF15" t="str">
        <x:f>IF(AA15&lt;&gt;"YES","WARMUP&lt;3",IF(X15&lt;&gt;"YES","PRICE",IF(Y15&lt;&gt;"YES","MODEL/LAMBDA","ELIGIBLE")))</x:f>
        <x:v>WARMUP&lt;3</x:v>
      </x:c>
      <x:c r="AG15" t="str">
        <x:v>https://footiqo.com/database/leagues/usa-mls/</x:v>
      </x:c>
      <x:c r="AH15" t="str">
        <x:v>Rolling stats use rows above only; no future-match leakage.</x:v>
      </x:c>
      <x:c r="AI15" t="n">
        <x:v>12</x:v>
      </x:c>
      <x:c r="AK15" s="421" t="str">
        <x:v>Current evidence status</x:v>
      </x:c>
      <x:c r="AL15" t="str">
        <x:f>IF(AL9&gt;=30,"VALIDATION SAMPLE READY","NOT READY")</x:f>
        <x:v>NOT READY</x:v>
      </x:c>
      <x:c r="AM15" t="str"/>
      <x:c r="AN15" t="str"/>
    </x:row>
    <x:row r="16">
      <x:c r="A16" t="str">
        <x:f>'Normalized_History_v0.2.1'!A16</x:f>
        <x:v>97204</x:v>
      </x:c>
      <x:c r="B16" s="28" t="str">
        <x:f>'Normalized_History_v0.2.1'!B16</x:f>
        <x:v>2026-02-22</x:v>
      </x:c>
      <x:c r="C16" t="str">
        <x:f>'Normalized_History_v0.2.1'!D16</x:f>
        <x:v>San Jose Earthquakes</x:v>
      </x:c>
      <x:c r="D16" t="str">
        <x:f>'Normalized_History_v0.2.1'!E16</x:f>
        <x:v>Sporting Kansas City</x:v>
      </x:c>
      <x:c r="E16" t="n">
        <x:f>'Normalized_History_v0.2.1'!F16</x:f>
        <x:v>3</x:v>
      </x:c>
      <x:c r="F16" t="n">
        <x:f>'Normalized_History_v0.2.1'!G16</x:f>
        <x:v>0</x:v>
      </x:c>
      <x:c r="G16" s="30" t="n">
        <x:f>'Normalized_History_v0.2.1'!I16</x:f>
        <x:v>1.5</x:v>
      </x:c>
      <x:c r="H16" s="30" t="n">
        <x:f>'Normalized_History_v0.2.1'!J16</x:f>
        <x:v>2.63</x:v>
      </x:c>
      <x:c r="I16" s="30" t="n">
        <x:f>'Normalized_History_v0.2.1'!K16</x:f>
        <x:v>2.32</x:v>
      </x:c>
      <x:c r="J16" s="30" t="n">
        <x:f>'Normalized_History_v0.2.1'!L16</x:f>
        <x:v>1.67</x:v>
      </x:c>
      <x:c r="K16" t="n">
        <x:f>COUNTIF($C$4:C15,C16)+COUNTIF($D$4:D15,C16)</x:f>
        <x:v>0</x:v>
      </x:c>
      <x:c r="L16" t="n">
        <x:f>COUNTIF($C$4:C15,D16)+COUNTIF($D$4:D15,D16)</x:f>
        <x:v>0</x:v>
      </x:c>
      <x:c r="M16" t="n">
        <x:f>MIN(K16,L16)</x:f>
        <x:v>0</x:v>
      </x:c>
      <x:c r="N16" s="30" t="str">
        <x:f>IF(K16=0,"",(SUMIF($C$4:C15,C16,$E$4:E15)+SUMIF($D$4:D15,C16,$F$4:F15))/K16)</x:f>
      </x:c>
      <x:c r="O16" s="30" t="str">
        <x:f>IF(K16=0,"",(SUMIF($C$4:C15,C16,$F$4:F15)+SUMIF($D$4:D15,C16,$E$4:E15))/K16)</x:f>
      </x:c>
      <x:c r="P16" s="30" t="str">
        <x:f>IF(L16=0,"",(SUMIF($C$4:C15,D16,$E$4:E15)+SUMIF($D$4:D15,D16,$F$4:F15))/L16)</x:f>
      </x:c>
      <x:c r="Q16" s="30" t="str">
        <x:f>IF(L16=0,"",(SUMIF($C$4:C15,D16,$F$4:F15)+SUMIF($D$4:D15,D16,$E$4:E15))/L16)</x:f>
      </x:c>
      <x:c r="R16" s="30" t="str">
        <x:f>IF(OR(N16="",Q16=""),"",AVERAGE(N16,Q16))</x:f>
      </x:c>
      <x:c r="S16" s="30" t="str">
        <x:f>IF(OR(P16="",O16=""),"",AVERAGE(P16,O16))</x:f>
      </x:c>
      <x:c r="T16" s="30" t="str">
        <x:f>IF(OR(R16="",S16=""),"",R16+S16)</x:f>
      </x:c>
      <x:c r="U16" s="32" t="str">
        <x:f>IF(T16="","",EXP(-T16)*(1+T16+(T16^2)/2+(T16^3)/6))</x:f>
      </x:c>
      <x:c r="V16" s="32" t="n">
        <x:f>IF(OR(I16="",J16=""),"",(1/J16)/((1/J16)+(1/I16)))</x:f>
        <x:v>0.581453634085213</x:v>
      </x:c>
      <x:c r="W16" s="32" t="str">
        <x:f>IF(OR(U16="",V16=""),"",U16-V16)</x:f>
      </x:c>
      <x:c r="X16" t="str">
        <x:f>IF(AND(G16&lt;=1.60,J16&gt;=1.55,J16&lt;=1.75),"YES","NO")</x:f>
        <x:v>YES</x:v>
      </x:c>
      <x:c r="Y16" t="str">
        <x:f>IF(AND(T16&gt;=2.70,T16&lt;=3.10,W16&gt;=0.05),"YES","NO")</x:f>
        <x:v>NO</x:v>
      </x:c>
      <x:c r="Z16" t="str">
        <x:f>IF(M16&gt;=1,"YES","NO")</x:f>
        <x:v>NO</x:v>
      </x:c>
      <x:c r="AA16" t="str">
        <x:f>IF(M16&gt;=3,"YES","NO")</x:f>
        <x:v>NO</x:v>
      </x:c>
      <x:c r="AB16" t="str">
        <x:f>IF(AND(X16="YES",Y16="YES",Z16="YES"),"YES","NO")</x:f>
        <x:v>NO</x:v>
      </x:c>
      <x:c r="AC16" t="str">
        <x:f>IF(AND(X16="YES",Y16="YES",AA16="YES"),"YES","NO")</x:f>
        <x:v>NO</x:v>
      </x:c>
      <x:c r="AD16" t="str">
        <x:f>IF(E16+F16&lt;=3,"WIN","LOSS")</x:f>
        <x:v>WIN</x:v>
      </x:c>
      <x:c r="AE16" s="30" t="str">
        <x:f>IF(AC16&lt;&gt;"YES","",IF(AD16="WIN",J16-1,-1))</x:f>
      </x:c>
      <x:c r="AF16" t="str">
        <x:f>IF(AA16&lt;&gt;"YES","WARMUP&lt;3",IF(X16&lt;&gt;"YES","PRICE",IF(Y16&lt;&gt;"YES","MODEL/LAMBDA","ELIGIBLE")))</x:f>
        <x:v>WARMUP&lt;3</x:v>
      </x:c>
      <x:c r="AG16" t="str">
        <x:v>https://footiqo.com/database/leagues/usa-mls/</x:v>
      </x:c>
      <x:c r="AH16" t="str">
        <x:v>Rolling stats use rows above only; no future-match leakage.</x:v>
      </x:c>
      <x:c r="AI16" t="n">
        <x:v>13</x:v>
      </x:c>
      <x:c r="AK16" s="421" t="str">
        <x:v>Key finding</x:v>
      </x:c>
      <x:c r="AL16" t="str">
        <x:v>Early-season seed lacks warm-up depth</x:v>
      </x:c>
      <x:c r="AM16" t="str"/>
      <x:c r="AN16" t="str">
        <x:v>Need later-season rows before P002 can be honestly validated</x:v>
      </x:c>
    </x:row>
    <x:row r="17">
      <x:c r="A17" t="str">
        <x:f>'Normalized_History_v0.2.1'!A17</x:f>
        <x:v>97266</x:v>
      </x:c>
      <x:c r="B17" s="28" t="str">
        <x:f>'Normalized_History_v0.2.1'!B17</x:f>
        <x:v>2026-02-23</x:v>
      </x:c>
      <x:c r="C17" t="str">
        <x:f>'Normalized_History_v0.2.1'!D17</x:f>
        <x:v>Los Angeles Galaxy</x:v>
      </x:c>
      <x:c r="D17" t="str">
        <x:f>'Normalized_History_v0.2.1'!E17</x:f>
        <x:v>New York City</x:v>
      </x:c>
      <x:c r="E17" t="n">
        <x:f>'Normalized_History_v0.2.1'!F17</x:f>
        <x:v>1</x:v>
      </x:c>
      <x:c r="F17" t="n">
        <x:f>'Normalized_History_v0.2.1'!G17</x:f>
        <x:v>1</x:v>
      </x:c>
      <x:c r="G17" s="30" t="n">
        <x:f>'Normalized_History_v0.2.1'!I17</x:f>
        <x:v>1.8</x:v>
      </x:c>
      <x:c r="H17" s="30" t="n">
        <x:f>'Normalized_History_v0.2.1'!J17</x:f>
        <x:v>2.1</x:v>
      </x:c>
      <x:c r="I17" s="30" t="n">
        <x:f>'Normalized_History_v0.2.1'!K17</x:f>
        <x:v>3.01</x:v>
      </x:c>
      <x:c r="J17" s="30" t="n">
        <x:f>'Normalized_History_v0.2.1'!L17</x:f>
        <x:v>1.4</x:v>
      </x:c>
      <x:c r="K17" t="n">
        <x:f>COUNTIF($C$4:C16,C17)+COUNTIF($D$4:D16,C17)</x:f>
        <x:v>0</x:v>
      </x:c>
      <x:c r="L17" t="n">
        <x:f>COUNTIF($C$4:C16,D17)+COUNTIF($D$4:D16,D17)</x:f>
        <x:v>0</x:v>
      </x:c>
      <x:c r="M17" t="n">
        <x:f>MIN(K17,L17)</x:f>
        <x:v>0</x:v>
      </x:c>
      <x:c r="N17" s="30" t="str">
        <x:f>IF(K17=0,"",(SUMIF($C$4:C16,C17,$E$4:E16)+SUMIF($D$4:D16,C17,$F$4:F16))/K17)</x:f>
      </x:c>
      <x:c r="O17" s="30" t="str">
        <x:f>IF(K17=0,"",(SUMIF($C$4:C16,C17,$F$4:F16)+SUMIF($D$4:D16,C17,$E$4:E16))/K17)</x:f>
      </x:c>
      <x:c r="P17" s="30" t="str">
        <x:f>IF(L17=0,"",(SUMIF($C$4:C16,D17,$E$4:E16)+SUMIF($D$4:D16,D17,$F$4:F16))/L17)</x:f>
      </x:c>
      <x:c r="Q17" s="30" t="str">
        <x:f>IF(L17=0,"",(SUMIF($C$4:C16,D17,$F$4:F16)+SUMIF($D$4:D16,D17,$E$4:E16))/L17)</x:f>
      </x:c>
      <x:c r="R17" s="30" t="str">
        <x:f>IF(OR(N17="",Q17=""),"",AVERAGE(N17,Q17))</x:f>
      </x:c>
      <x:c r="S17" s="30" t="str">
        <x:f>IF(OR(P17="",O17=""),"",AVERAGE(P17,O17))</x:f>
      </x:c>
      <x:c r="T17" s="30" t="str">
        <x:f>IF(OR(R17="",S17=""),"",R17+S17)</x:f>
      </x:c>
      <x:c r="U17" s="32" t="str">
        <x:f>IF(T17="","",EXP(-T17)*(1+T17+(T17^2)/2+(T17^3)/6))</x:f>
      </x:c>
      <x:c r="V17" s="32" t="n">
        <x:f>IF(OR(I17="",J17=""),"",(1/J17)/((1/J17)+(1/I17)))</x:f>
        <x:v>0.6825396825396824</x:v>
      </x:c>
      <x:c r="W17" s="32" t="str">
        <x:f>IF(OR(U17="",V17=""),"",U17-V17)</x:f>
      </x:c>
      <x:c r="X17" t="str">
        <x:f>IF(AND(G17&lt;=1.60,J17&gt;=1.55,J17&lt;=1.75),"YES","NO")</x:f>
        <x:v>NO</x:v>
      </x:c>
      <x:c r="Y17" t="str">
        <x:f>IF(AND(T17&gt;=2.70,T17&lt;=3.10,W17&gt;=0.05),"YES","NO")</x:f>
        <x:v>NO</x:v>
      </x:c>
      <x:c r="Z17" t="str">
        <x:f>IF(M17&gt;=1,"YES","NO")</x:f>
        <x:v>NO</x:v>
      </x:c>
      <x:c r="AA17" t="str">
        <x:f>IF(M17&gt;=3,"YES","NO")</x:f>
        <x:v>NO</x:v>
      </x:c>
      <x:c r="AB17" t="str">
        <x:f>IF(AND(X17="YES",Y17="YES",Z17="YES"),"YES","NO")</x:f>
        <x:v>NO</x:v>
      </x:c>
      <x:c r="AC17" t="str">
        <x:f>IF(AND(X17="YES",Y17="YES",AA17="YES"),"YES","NO")</x:f>
        <x:v>NO</x:v>
      </x:c>
      <x:c r="AD17" t="str">
        <x:f>IF(E17+F17&lt;=3,"WIN","LOSS")</x:f>
        <x:v>WIN</x:v>
      </x:c>
      <x:c r="AE17" s="30" t="str">
        <x:f>IF(AC17&lt;&gt;"YES","",IF(AD17="WIN",J17-1,-1))</x:f>
      </x:c>
      <x:c r="AF17" t="str">
        <x:f>IF(AA17&lt;&gt;"YES","WARMUP&lt;3",IF(X17&lt;&gt;"YES","PRICE",IF(Y17&lt;&gt;"YES","MODEL/LAMBDA","ELIGIBLE")))</x:f>
        <x:v>WARMUP&lt;3</x:v>
      </x:c>
      <x:c r="AG17" t="str">
        <x:v>https://footiqo.com/database/leagues/usa-mls/</x:v>
      </x:c>
      <x:c r="AH17" t="str">
        <x:v>Rolling stats use rows above only; no future-match leakage.</x:v>
      </x:c>
      <x:c r="AI17" t="n">
        <x:v>14</x:v>
      </x:c>
      <x:c r="AK17" s="421" t="str">
        <x:v>Next backfill target</x:v>
      </x:c>
      <x:c r="AL17" t="str">
        <x:v>Later 2026 + 2025 chronological rows</x:v>
      </x:c>
      <x:c r="AM17" t="str"/>
      <x:c r="AN17" t="str">
        <x:v>Preserve exact same formula logic</x:v>
      </x:c>
    </x:row>
    <x:row r="18">
      <x:c r="A18" t="str">
        <x:f>'Normalized_History_v0.2.1'!A18</x:f>
        <x:v>97269</x:v>
      </x:c>
      <x:c r="B18" s="28" t="str">
        <x:f>'Normalized_History_v0.2.1'!B18</x:f>
        <x:v>2026-02-23</x:v>
      </x:c>
      <x:c r="C18" t="str">
        <x:f>'Normalized_History_v0.2.1'!D18</x:f>
        <x:v>Seattle Sounders</x:v>
      </x:c>
      <x:c r="D18" t="str">
        <x:f>'Normalized_History_v0.2.1'!E18</x:f>
        <x:v>Colorado Rapids</x:v>
      </x:c>
      <x:c r="E18" t="n">
        <x:f>'Normalized_History_v0.2.1'!F18</x:f>
        <x:v>2</x:v>
      </x:c>
      <x:c r="F18" t="n">
        <x:f>'Normalized_History_v0.2.1'!G18</x:f>
        <x:v>0</x:v>
      </x:c>
      <x:c r="G18" s="30" t="n">
        <x:f>'Normalized_History_v0.2.1'!I18</x:f>
        <x:v>1.4</x:v>
      </x:c>
      <x:c r="H18" s="30" t="n">
        <x:f>'Normalized_History_v0.2.1'!J18</x:f>
        <x:v>2.57</x:v>
      </x:c>
      <x:c r="I18" s="30" t="n">
        <x:f>'Normalized_History_v0.2.1'!K18</x:f>
        <x:v>2.19</x:v>
      </x:c>
      <x:c r="J18" s="30" t="n">
        <x:f>'Normalized_History_v0.2.1'!L18</x:f>
        <x:v>1.74</x:v>
      </x:c>
      <x:c r="K18" t="n">
        <x:f>COUNTIF($C$4:C17,C18)+COUNTIF($D$4:D17,C18)</x:f>
        <x:v>0</x:v>
      </x:c>
      <x:c r="L18" t="n">
        <x:f>COUNTIF($C$4:C17,D18)+COUNTIF($D$4:D17,D18)</x:f>
        <x:v>0</x:v>
      </x:c>
      <x:c r="M18" t="n">
        <x:f>MIN(K18,L18)</x:f>
        <x:v>0</x:v>
      </x:c>
      <x:c r="N18" s="30" t="str">
        <x:f>IF(K18=0,"",(SUMIF($C$4:C17,C18,$E$4:E17)+SUMIF($D$4:D17,C18,$F$4:F17))/K18)</x:f>
      </x:c>
      <x:c r="O18" s="30" t="str">
        <x:f>IF(K18=0,"",(SUMIF($C$4:C17,C18,$F$4:F17)+SUMIF($D$4:D17,C18,$E$4:E17))/K18)</x:f>
      </x:c>
      <x:c r="P18" s="30" t="str">
        <x:f>IF(L18=0,"",(SUMIF($C$4:C17,D18,$E$4:E17)+SUMIF($D$4:D17,D18,$F$4:F17))/L18)</x:f>
      </x:c>
      <x:c r="Q18" s="30" t="str">
        <x:f>IF(L18=0,"",(SUMIF($C$4:C17,D18,$F$4:F17)+SUMIF($D$4:D17,D18,$E$4:E17))/L18)</x:f>
      </x:c>
      <x:c r="R18" s="30" t="str">
        <x:f>IF(OR(N18="",Q18=""),"",AVERAGE(N18,Q18))</x:f>
      </x:c>
      <x:c r="S18" s="30" t="str">
        <x:f>IF(OR(P18="",O18=""),"",AVERAGE(P18,O18))</x:f>
      </x:c>
      <x:c r="T18" s="30" t="str">
        <x:f>IF(OR(R18="",S18=""),"",R18+S18)</x:f>
      </x:c>
      <x:c r="U18" s="32" t="str">
        <x:f>IF(T18="","",EXP(-T18)*(1+T18+(T18^2)/2+(T18^3)/6))</x:f>
      </x:c>
      <x:c r="V18" s="32" t="n">
        <x:f>IF(OR(I18="",J18=""),"",(1/J18)/((1/J18)+(1/I18)))</x:f>
        <x:v>0.5572519083969466</x:v>
      </x:c>
      <x:c r="W18" s="32" t="str">
        <x:f>IF(OR(U18="",V18=""),"",U18-V18)</x:f>
      </x:c>
      <x:c r="X18" t="str">
        <x:f>IF(AND(G18&lt;=1.60,J18&gt;=1.55,J18&lt;=1.75),"YES","NO")</x:f>
        <x:v>YES</x:v>
      </x:c>
      <x:c r="Y18" t="str">
        <x:f>IF(AND(T18&gt;=2.70,T18&lt;=3.10,W18&gt;=0.05),"YES","NO")</x:f>
        <x:v>NO</x:v>
      </x:c>
      <x:c r="Z18" t="str">
        <x:f>IF(M18&gt;=1,"YES","NO")</x:f>
        <x:v>NO</x:v>
      </x:c>
      <x:c r="AA18" t="str">
        <x:f>IF(M18&gt;=3,"YES","NO")</x:f>
        <x:v>NO</x:v>
      </x:c>
      <x:c r="AB18" t="str">
        <x:f>IF(AND(X18="YES",Y18="YES",Z18="YES"),"YES","NO")</x:f>
        <x:v>NO</x:v>
      </x:c>
      <x:c r="AC18" t="str">
        <x:f>IF(AND(X18="YES",Y18="YES",AA18="YES"),"YES","NO")</x:f>
        <x:v>NO</x:v>
      </x:c>
      <x:c r="AD18" t="str">
        <x:f>IF(E18+F18&lt;=3,"WIN","LOSS")</x:f>
        <x:v>WIN</x:v>
      </x:c>
      <x:c r="AE18" s="30" t="str">
        <x:f>IF(AC18&lt;&gt;"YES","",IF(AD18="WIN",J18-1,-1))</x:f>
      </x:c>
      <x:c r="AF18" t="str">
        <x:f>IF(AA18&lt;&gt;"YES","WARMUP&lt;3",IF(X18&lt;&gt;"YES","PRICE",IF(Y18&lt;&gt;"YES","MODEL/LAMBDA","ELIGIBLE")))</x:f>
        <x:v>WARMUP&lt;3</x:v>
      </x:c>
      <x:c r="AG18" t="str">
        <x:v>https://footiqo.com/database/leagues/usa-mls/</x:v>
      </x:c>
      <x:c r="AH18" t="str">
        <x:v>Rolling stats use rows above only; no future-match leakage.</x:v>
      </x:c>
      <x:c r="AI18" t="n">
        <x:v>15</x:v>
      </x:c>
    </x:row>
    <x:row r="19">
      <x:c r="A19" t="str">
        <x:f>'Normalized_History_v0.2.1'!A19</x:f>
        <x:v>97481</x:v>
      </x:c>
      <x:c r="B19" s="28" t="str">
        <x:f>'Normalized_History_v0.2.1'!B19</x:f>
        <x:v>2026-02-28</x:v>
      </x:c>
      <x:c r="C19" t="str">
        <x:f>'Normalized_History_v0.2.1'!D19</x:f>
        <x:v>Chicago Fire</x:v>
      </x:c>
      <x:c r="D19" t="str">
        <x:f>'Normalized_History_v0.2.1'!E19</x:f>
        <x:v>CF Montreal</x:v>
      </x:c>
      <x:c r="E19" t="n">
        <x:f>'Normalized_History_v0.2.1'!F19</x:f>
        <x:v>3</x:v>
      </x:c>
      <x:c r="F19" t="n">
        <x:f>'Normalized_History_v0.2.1'!G19</x:f>
        <x:v>0</x:v>
      </x:c>
      <x:c r="G19" s="30" t="n">
        <x:f>'Normalized_History_v0.2.1'!I19</x:f>
        <x:v>1.66</x:v>
      </x:c>
      <x:c r="H19" s="30" t="n">
        <x:f>'Normalized_History_v0.2.1'!J19</x:f>
        <x:v>2.25</x:v>
      </x:c>
      <x:c r="I19" s="30" t="n">
        <x:f>'Normalized_History_v0.2.1'!K19</x:f>
        <x:v>2.53</x:v>
      </x:c>
      <x:c r="J19" s="30" t="n">
        <x:f>'Normalized_History_v0.2.1'!L19</x:f>
        <x:v>1.54</x:v>
      </x:c>
      <x:c r="K19" t="n">
        <x:f>COUNTIF($C$4:C18,C19)+COUNTIF($D$4:D18,C19)</x:f>
        <x:v>1</x:v>
      </x:c>
      <x:c r="L19" t="n">
        <x:f>COUNTIF($C$4:C18,D19)+COUNTIF($D$4:D18,D19)</x:f>
        <x:v>1</x:v>
      </x:c>
      <x:c r="M19" t="n">
        <x:f>MIN(K19,L19)</x:f>
        <x:v>1</x:v>
      </x:c>
      <x:c r="N19" s="30" t="n">
        <x:f>IF(K19=0,"",(SUMIF($C$4:C18,C19,$E$4:E18)+SUMIF($D$4:D18,C19,$F$4:F18))/K19)</x:f>
        <x:v>1</x:v>
      </x:c>
      <x:c r="O19" s="30" t="n">
        <x:f>IF(K19=0,"",(SUMIF($C$4:C18,C19,$F$4:F18)+SUMIF($D$4:D18,C19,$E$4:E18))/K19)</x:f>
        <x:v>2</x:v>
      </x:c>
      <x:c r="P19" s="30" t="n">
        <x:f>IF(L19=0,"",(SUMIF($C$4:C18,D19,$E$4:E18)+SUMIF($D$4:D18,D19,$F$4:F18))/L19)</x:f>
        <x:v>0</x:v>
      </x:c>
      <x:c r="Q19" s="30" t="n">
        <x:f>IF(L19=0,"",(SUMIF($C$4:C18,D19,$F$4:F18)+SUMIF($D$4:D18,D19,$E$4:E18))/L19)</x:f>
        <x:v>5</x:v>
      </x:c>
      <x:c r="R19" s="30" t="n">
        <x:f>IF(OR(N19="",Q19=""),"",AVERAGE(N19,Q19))</x:f>
        <x:v>3</x:v>
      </x:c>
      <x:c r="S19" s="30" t="str">
        <x:f>IF(OR(P19="",O19=""),"",AVERAGE(P19,O19))</x:f>
      </x:c>
      <x:c r="T19" s="30" t="str">
        <x:f>IF(OR(R19="",S19=""),"",R19+S19)</x:f>
      </x:c>
      <x:c r="U19" s="32" t="str">
        <x:f>IF(T19="","",EXP(-T19)*(1+T19+(T19^2)/2+(T19^3)/6))</x:f>
      </x:c>
      <x:c r="V19" s="32" t="n">
        <x:f>IF(OR(I19="",J19=""),"",(1/J19)/((1/J19)+(1/I19)))</x:f>
        <x:v>0.6216216216216216</x:v>
      </x:c>
      <x:c r="W19" s="32" t="str">
        <x:f>IF(OR(U19="",V19=""),"",U19-V19)</x:f>
      </x:c>
      <x:c r="X19" t="str">
        <x:f>IF(AND(G19&lt;=1.60,J19&gt;=1.55,J19&lt;=1.75),"YES","NO")</x:f>
        <x:v>NO</x:v>
      </x:c>
      <x:c r="Y19" t="str">
        <x:f>IF(AND(T19&gt;=2.70,T19&lt;=3.10,W19&gt;=0.05),"YES","NO")</x:f>
        <x:v>NO</x:v>
      </x:c>
      <x:c r="Z19" t="str">
        <x:f>IF(M19&gt;=1,"YES","NO")</x:f>
        <x:v>YES</x:v>
      </x:c>
      <x:c r="AA19" t="str">
        <x:f>IF(M19&gt;=3,"YES","NO")</x:f>
        <x:v>NO</x:v>
      </x:c>
      <x:c r="AB19" t="str">
        <x:f>IF(AND(X19="YES",Y19="YES",Z19="YES"),"YES","NO")</x:f>
        <x:v>NO</x:v>
      </x:c>
      <x:c r="AC19" t="str">
        <x:f>IF(AND(X19="YES",Y19="YES",AA19="YES"),"YES","NO")</x:f>
        <x:v>NO</x:v>
      </x:c>
      <x:c r="AD19" t="str">
        <x:f>IF(E19+F19&lt;=3,"WIN","LOSS")</x:f>
        <x:v>WIN</x:v>
      </x:c>
      <x:c r="AE19" s="30" t="str">
        <x:f>IF(AC19&lt;&gt;"YES","",IF(AD19="WIN",J19-1,-1))</x:f>
      </x:c>
      <x:c r="AF19" t="str">
        <x:f>IF(AA19&lt;&gt;"YES","WARMUP&lt;3",IF(X19&lt;&gt;"YES","PRICE",IF(Y19&lt;&gt;"YES","MODEL/LAMBDA","ELIGIBLE")))</x:f>
        <x:v>WARMUP&lt;3</x:v>
      </x:c>
      <x:c r="AG19" t="str">
        <x:v>https://footiqo.com/database/leagues/usa-mls/</x:v>
      </x:c>
      <x:c r="AH19" t="str">
        <x:v>Rolling stats use rows above only; no future-match leakage.</x:v>
      </x:c>
      <x:c r="AI19" t="n">
        <x:v>16</x:v>
      </x:c>
    </x:row>
    <x:row r="20">
      <x:c r="A20" t="str">
        <x:f>'Normalized_History_v0.2.1'!A20</x:f>
        <x:v>97482</x:v>
      </x:c>
      <x:c r="B20" s="28" t="str">
        <x:f>'Normalized_History_v0.2.1'!B20</x:f>
        <x:v>2026-02-28</x:v>
      </x:c>
      <x:c r="C20" t="str">
        <x:f>'Normalized_History_v0.2.1'!D20</x:f>
        <x:v>New York Red Bulls</x:v>
      </x:c>
      <x:c r="D20" t="str">
        <x:f>'Normalized_History_v0.2.1'!E20</x:f>
        <x:v>New England Revolution</x:v>
      </x:c>
      <x:c r="E20" t="n">
        <x:f>'Normalized_History_v0.2.1'!F20</x:f>
        <x:v>1</x:v>
      </x:c>
      <x:c r="F20" t="n">
        <x:f>'Normalized_History_v0.2.1'!G20</x:f>
        <x:v>0</x:v>
      </x:c>
      <x:c r="G20" s="30" t="n">
        <x:f>'Normalized_History_v0.2.1'!I20</x:f>
        <x:v>1.69</x:v>
      </x:c>
      <x:c r="H20" s="30" t="n">
        <x:f>'Normalized_History_v0.2.1'!J20</x:f>
        <x:v>2.2</x:v>
      </x:c>
      <x:c r="I20" s="30" t="n">
        <x:f>'Normalized_History_v0.2.1'!K20</x:f>
        <x:v>2.63</x:v>
      </x:c>
      <x:c r="J20" s="30" t="n">
        <x:f>'Normalized_History_v0.2.1'!L20</x:f>
        <x:v>1.5</x:v>
      </x:c>
      <x:c r="K20" t="n">
        <x:f>COUNTIF($C$4:C19,C20)+COUNTIF($D$4:D19,C20)</x:f>
        <x:v>1</x:v>
      </x:c>
      <x:c r="L20" t="n">
        <x:f>COUNTIF($C$4:C19,D20)+COUNTIF($D$4:D19,D20)</x:f>
        <x:v>1</x:v>
      </x:c>
      <x:c r="M20" t="n">
        <x:f>MIN(K20,L20)</x:f>
        <x:v>1</x:v>
      </x:c>
      <x:c r="N20" s="30" t="n">
        <x:f>IF(K20=0,"",(SUMIF($C$4:C19,C20,$E$4:E19)+SUMIF($D$4:D19,C20,$F$4:F19))/K20)</x:f>
        <x:v>2</x:v>
      </x:c>
      <x:c r="O20" s="30" t="n">
        <x:f>IF(K20=0,"",(SUMIF($C$4:C19,C20,$F$4:F19)+SUMIF($D$4:D19,C20,$E$4:E19))/K20)</x:f>
        <x:v>1</x:v>
      </x:c>
      <x:c r="P20" s="30" t="n">
        <x:f>IF(L20=0,"",(SUMIF($C$4:C19,D20,$E$4:E19)+SUMIF($D$4:D19,D20,$F$4:F19))/L20)</x:f>
        <x:v>1</x:v>
      </x:c>
      <x:c r="Q20" s="30" t="n">
        <x:f>IF(L20=0,"",(SUMIF($C$4:C19,D20,$F$4:F19)+SUMIF($D$4:D19,D20,$E$4:E19))/L20)</x:f>
        <x:v>4</x:v>
      </x:c>
      <x:c r="R20" s="30" t="n">
        <x:f>IF(OR(N20="",Q20=""),"",AVERAGE(N20,Q20))</x:f>
        <x:v>3</x:v>
      </x:c>
      <x:c r="S20" s="30" t="n">
        <x:f>IF(OR(P20="",O20=""),"",AVERAGE(P20,O20))</x:f>
        <x:v>1</x:v>
      </x:c>
      <x:c r="T20" s="30" t="n">
        <x:f>IF(OR(R20="",S20=""),"",R20+S20)</x:f>
        <x:v>4</x:v>
      </x:c>
      <x:c r="U20" s="32" t="n">
        <x:f>IF(T20="","",EXP(-T20)*(1+T20+(T20^2)/2+(T20^3)/6))</x:f>
        <x:v>0.43347012036670884</x:v>
      </x:c>
      <x:c r="V20" s="32" t="n">
        <x:f>IF(OR(I20="",J20=""),"",(1/J20)/((1/J20)+(1/I20)))</x:f>
        <x:v>0.6368038740920097</x:v>
      </x:c>
      <x:c r="W20" s="32" t="n">
        <x:f>IF(OR(U20="",V20=""),"",U20-V20)</x:f>
        <x:v>-0.20333375372530083</x:v>
      </x:c>
      <x:c r="X20" t="str">
        <x:f>IF(AND(G20&lt;=1.60,J20&gt;=1.55,J20&lt;=1.75),"YES","NO")</x:f>
        <x:v>NO</x:v>
      </x:c>
      <x:c r="Y20" t="str">
        <x:f>IF(AND(T20&gt;=2.70,T20&lt;=3.10,W20&gt;=0.05),"YES","NO")</x:f>
        <x:v>NO</x:v>
      </x:c>
      <x:c r="Z20" t="str">
        <x:f>IF(M20&gt;=1,"YES","NO")</x:f>
        <x:v>YES</x:v>
      </x:c>
      <x:c r="AA20" t="str">
        <x:f>IF(M20&gt;=3,"YES","NO")</x:f>
        <x:v>NO</x:v>
      </x:c>
      <x:c r="AB20" t="str">
        <x:f>IF(AND(X20="YES",Y20="YES",Z20="YES"),"YES","NO")</x:f>
        <x:v>NO</x:v>
      </x:c>
      <x:c r="AC20" t="str">
        <x:f>IF(AND(X20="YES",Y20="YES",AA20="YES"),"YES","NO")</x:f>
        <x:v>NO</x:v>
      </x:c>
      <x:c r="AD20" t="str">
        <x:f>IF(E20+F20&lt;=3,"WIN","LOSS")</x:f>
        <x:v>WIN</x:v>
      </x:c>
      <x:c r="AE20" s="30" t="str">
        <x:f>IF(AC20&lt;&gt;"YES","",IF(AD20="WIN",J20-1,-1))</x:f>
      </x:c>
      <x:c r="AF20" t="str">
        <x:f>IF(AA20&lt;&gt;"YES","WARMUP&lt;3",IF(X20&lt;&gt;"YES","PRICE",IF(Y20&lt;&gt;"YES","MODEL/LAMBDA","ELIGIBLE")))</x:f>
        <x:v>WARMUP&lt;3</x:v>
      </x:c>
      <x:c r="AG20" t="str">
        <x:v>https://footiqo.com/database/leagues/usa-mls/</x:v>
      </x:c>
      <x:c r="AH20" t="str">
        <x:v>Rolling stats use rows above only; no future-match leakage.</x:v>
      </x:c>
      <x:c r="AI20" t="n">
        <x:v>17</x:v>
      </x:c>
      <x:c r="AK20" s="425" t="str">
        <x:v>CURRENT PRE-KICK LOCK</x:v>
      </x:c>
      <x:c r="AL20" s="425" t="str">
        <x:v>Value</x:v>
      </x:c>
      <x:c r="AM20" s="425" t="str">
        <x:v>Rule</x:v>
      </x:c>
      <x:c r="AN20" s="425" t="str">
        <x:v>Source</x:v>
      </x:c>
    </x:row>
    <x:row r="21">
      <x:c r="A21" t="str">
        <x:f>'Normalized_History_v0.2.1'!A21</x:f>
        <x:v>97492</x:v>
      </x:c>
      <x:c r="B21" s="28" t="str">
        <x:f>'Normalized_History_v0.2.1'!B21</x:f>
        <x:v>2026-02-28</x:v>
      </x:c>
      <x:c r="C21" t="str">
        <x:f>'Normalized_History_v0.2.1'!D21</x:f>
        <x:v>Colorado Rapids</x:v>
      </x:c>
      <x:c r="D21" t="str">
        <x:f>'Normalized_History_v0.2.1'!E21</x:f>
        <x:v>Portland Timbers</x:v>
      </x:c>
      <x:c r="E21" t="n">
        <x:f>'Normalized_History_v0.2.1'!F21</x:f>
        <x:v>2</x:v>
      </x:c>
      <x:c r="F21" t="n">
        <x:f>'Normalized_History_v0.2.1'!G21</x:f>
        <x:v>0</x:v>
      </x:c>
      <x:c r="G21" s="30" t="n">
        <x:f>'Normalized_History_v0.2.1'!I21</x:f>
        <x:v>1.6</x:v>
      </x:c>
      <x:c r="H21" s="30" t="n">
        <x:f>'Normalized_History_v0.2.1'!J21</x:f>
        <x:v>2.37</x:v>
      </x:c>
      <x:c r="I21" s="30" t="n">
        <x:f>'Normalized_History_v0.2.1'!K21</x:f>
        <x:v>2.41</x:v>
      </x:c>
      <x:c r="J21" s="30" t="n">
        <x:f>'Normalized_History_v0.2.1'!L21</x:f>
        <x:v>1.58</x:v>
      </x:c>
      <x:c r="K21" t="n">
        <x:f>COUNTIF($C$4:C20,C21)+COUNTIF($D$4:D20,C21)</x:f>
        <x:v>1</x:v>
      </x:c>
      <x:c r="L21" t="n">
        <x:f>COUNTIF($C$4:C20,D21)+COUNTIF($D$4:D20,D21)</x:f>
        <x:v>1</x:v>
      </x:c>
      <x:c r="M21" t="n">
        <x:f>MIN(K21,L21)</x:f>
        <x:v>1</x:v>
      </x:c>
      <x:c r="N21" s="30" t="n">
        <x:f>IF(K21=0,"",(SUMIF($C$4:C20,C21,$E$4:E20)+SUMIF($D$4:D20,C21,$F$4:F20))/K21)</x:f>
        <x:v>0</x:v>
      </x:c>
      <x:c r="O21" s="30" t="n">
        <x:f>IF(K21=0,"",(SUMIF($C$4:C20,C21,$F$4:F20)+SUMIF($D$4:D20,C21,$E$4:E20))/K21)</x:f>
        <x:v>2</x:v>
      </x:c>
      <x:c r="P21" s="30" t="n">
        <x:f>IF(L21=0,"",(SUMIF($C$4:C20,D21,$E$4:E20)+SUMIF($D$4:D20,D21,$F$4:F20))/L21)</x:f>
        <x:v>3</x:v>
      </x:c>
      <x:c r="Q21" s="30" t="n">
        <x:f>IF(L21=0,"",(SUMIF($C$4:C20,D21,$F$4:F20)+SUMIF($D$4:D20,D21,$E$4:E20))/L21)</x:f>
        <x:v>2</x:v>
      </x:c>
      <x:c r="R21" s="30" t="str">
        <x:f>IF(OR(N21="",Q21=""),"",AVERAGE(N21,Q21))</x:f>
      </x:c>
      <x:c r="S21" s="30" t="n">
        <x:f>IF(OR(P21="",O21=""),"",AVERAGE(P21,O21))</x:f>
        <x:v>2.5</x:v>
      </x:c>
      <x:c r="T21" s="30" t="str">
        <x:f>IF(OR(R21="",S21=""),"",R21+S21)</x:f>
      </x:c>
      <x:c r="U21" s="32" t="str">
        <x:f>IF(T21="","",EXP(-T21)*(1+T21+(T21^2)/2+(T21^3)/6))</x:f>
      </x:c>
      <x:c r="V21" s="32" t="n">
        <x:f>IF(OR(I21="",J21=""),"",(1/J21)/((1/J21)+(1/I21)))</x:f>
        <x:v>0.6040100250626567</x:v>
      </x:c>
      <x:c r="W21" s="32" t="str">
        <x:f>IF(OR(U21="",V21=""),"",U21-V21)</x:f>
      </x:c>
      <x:c r="X21" t="str">
        <x:f>IF(AND(G21&lt;=1.60,J21&gt;=1.55,J21&lt;=1.75),"YES","NO")</x:f>
        <x:v>YES</x:v>
      </x:c>
      <x:c r="Y21" t="str">
        <x:f>IF(AND(T21&gt;=2.70,T21&lt;=3.10,W21&gt;=0.05),"YES","NO")</x:f>
        <x:v>NO</x:v>
      </x:c>
      <x:c r="Z21" t="str">
        <x:f>IF(M21&gt;=1,"YES","NO")</x:f>
        <x:v>YES</x:v>
      </x:c>
      <x:c r="AA21" t="str">
        <x:f>IF(M21&gt;=3,"YES","NO")</x:f>
        <x:v>NO</x:v>
      </x:c>
      <x:c r="AB21" t="str">
        <x:f>IF(AND(X21="YES",Y21="YES",Z21="YES"),"YES","NO")</x:f>
        <x:v>NO</x:v>
      </x:c>
      <x:c r="AC21" t="str">
        <x:f>IF(AND(X21="YES",Y21="YES",AA21="YES"),"YES","NO")</x:f>
        <x:v>NO</x:v>
      </x:c>
      <x:c r="AD21" t="str">
        <x:f>IF(E21+F21&lt;=3,"WIN","LOSS")</x:f>
        <x:v>WIN</x:v>
      </x:c>
      <x:c r="AE21" s="30" t="str">
        <x:f>IF(AC21&lt;&gt;"YES","",IF(AD21="WIN",J21-1,-1))</x:f>
      </x:c>
      <x:c r="AF21" t="str">
        <x:f>IF(AA21&lt;&gt;"YES","WARMUP&lt;3",IF(X21&lt;&gt;"YES","PRICE",IF(Y21&lt;&gt;"YES","MODEL/LAMBDA","ELIGIBLE")))</x:f>
        <x:v>WARMUP&lt;3</x:v>
      </x:c>
      <x:c r="AG21" t="str">
        <x:v>https://footiqo.com/database/leagues/usa-mls/</x:v>
      </x:c>
      <x:c r="AH21" t="str">
        <x:v>Rolling stats use rows above only; no future-match leakage.</x:v>
      </x:c>
      <x:c r="AI21" t="n">
        <x:v>18</x:v>
      </x:c>
      <x:c r="AK21" s="427" t="str">
        <x:v>Snapshot EAT</x:v>
      </x:c>
      <x:c r="AL21" t="str">
        <x:v>2026-08-20 03:08</x:v>
      </x:c>
      <x:c r="AM21" t="str">
        <x:v>Before 03:25 kickoff</x:v>
      </x:c>
      <x:c r="AN21" t="str">
        <x:v>Conversation local time</x:v>
      </x:c>
    </x:row>
    <x:row r="22">
      <x:c r="A22" t="str">
        <x:f>'Normalized_History_v0.2.1'!A22</x:f>
        <x:v>97493</x:v>
      </x:c>
      <x:c r="B22" s="28" t="str">
        <x:f>'Normalized_History_v0.2.1'!B22</x:f>
        <x:v>2026-02-28</x:v>
      </x:c>
      <x:c r="C22" t="str">
        <x:f>'Normalized_History_v0.2.1'!D22</x:f>
        <x:v>Minnesota United</x:v>
      </x:c>
      <x:c r="D22" t="str">
        <x:f>'Normalized_History_v0.2.1'!E22</x:f>
        <x:v>FC Cincinnati</x:v>
      </x:c>
      <x:c r="E22" t="n">
        <x:f>'Normalized_History_v0.2.1'!F22</x:f>
        <x:v>1</x:v>
      </x:c>
      <x:c r="F22" t="n">
        <x:f>'Normalized_History_v0.2.1'!G22</x:f>
        <x:v>0</x:v>
      </x:c>
      <x:c r="G22" s="30" t="n">
        <x:f>'Normalized_History_v0.2.1'!I22</x:f>
        <x:v>1.86</x:v>
      </x:c>
      <x:c r="H22" s="30" t="n">
        <x:f>'Normalized_History_v0.2.1'!J22</x:f>
        <x:v>2.03</x:v>
      </x:c>
      <x:c r="I22" s="30" t="n">
        <x:f>'Normalized_History_v0.2.1'!K22</x:f>
        <x:v>3.01</x:v>
      </x:c>
      <x:c r="J22" s="30" t="n">
        <x:f>'Normalized_History_v0.2.1'!L22</x:f>
        <x:v>1.4</x:v>
      </x:c>
      <x:c r="K22" t="n">
        <x:f>COUNTIF($C$4:C21,C22)+COUNTIF($D$4:D21,C22)</x:f>
        <x:v>1</x:v>
      </x:c>
      <x:c r="L22" t="n">
        <x:f>COUNTIF($C$4:C21,D22)+COUNTIF($D$4:D21,D22)</x:f>
        <x:v>1</x:v>
      </x:c>
      <x:c r="M22" t="n">
        <x:f>MIN(K22,L22)</x:f>
        <x:v>1</x:v>
      </x:c>
      <x:c r="N22" s="30" t="n">
        <x:f>IF(K22=0,"",(SUMIF($C$4:C21,C22,$E$4:E21)+SUMIF($D$4:D21,C22,$F$4:F21))/K22)</x:f>
        <x:v>2</x:v>
      </x:c>
      <x:c r="O22" s="30" t="n">
        <x:f>IF(K22=0,"",(SUMIF($C$4:C21,C22,$F$4:F21)+SUMIF($D$4:D21,C22,$E$4:E21))/K22)</x:f>
        <x:v>2</x:v>
      </x:c>
      <x:c r="P22" s="30" t="n">
        <x:f>IF(L22=0,"",(SUMIF($C$4:C21,D22,$E$4:E21)+SUMIF($D$4:D21,D22,$F$4:F21))/L22)</x:f>
        <x:v>2</x:v>
      </x:c>
      <x:c r="Q22" s="30" t="n">
        <x:f>IF(L22=0,"",(SUMIF($C$4:C21,D22,$F$4:F21)+SUMIF($D$4:D21,D22,$E$4:E21))/L22)</x:f>
        <x:v>0</x:v>
      </x:c>
      <x:c r="R22" s="30" t="str">
        <x:f>IF(OR(N22="",Q22=""),"",AVERAGE(N22,Q22))</x:f>
      </x:c>
      <x:c r="S22" s="30" t="n">
        <x:f>IF(OR(P22="",O22=""),"",AVERAGE(P22,O22))</x:f>
        <x:v>2</x:v>
      </x:c>
      <x:c r="T22" s="30" t="str">
        <x:f>IF(OR(R22="",S22=""),"",R22+S22)</x:f>
      </x:c>
      <x:c r="U22" s="32" t="str">
        <x:f>IF(T22="","",EXP(-T22)*(1+T22+(T22^2)/2+(T22^3)/6))</x:f>
      </x:c>
      <x:c r="V22" s="32" t="n">
        <x:f>IF(OR(I22="",J22=""),"",(1/J22)/((1/J22)+(1/I22)))</x:f>
        <x:v>0.6825396825396824</x:v>
      </x:c>
      <x:c r="W22" s="32" t="str">
        <x:f>IF(OR(U22="",V22=""),"",U22-V22)</x:f>
      </x:c>
      <x:c r="X22" t="str">
        <x:f>IF(AND(G22&lt;=1.60,J22&gt;=1.55,J22&lt;=1.75),"YES","NO")</x:f>
        <x:v>NO</x:v>
      </x:c>
      <x:c r="Y22" t="str">
        <x:f>IF(AND(T22&gt;=2.70,T22&lt;=3.10,W22&gt;=0.05),"YES","NO")</x:f>
        <x:v>NO</x:v>
      </x:c>
      <x:c r="Z22" t="str">
        <x:f>IF(M22&gt;=1,"YES","NO")</x:f>
        <x:v>YES</x:v>
      </x:c>
      <x:c r="AA22" t="str">
        <x:f>IF(M22&gt;=3,"YES","NO")</x:f>
        <x:v>NO</x:v>
      </x:c>
      <x:c r="AB22" t="str">
        <x:f>IF(AND(X22="YES",Y22="YES",Z22="YES"),"YES","NO")</x:f>
        <x:v>NO</x:v>
      </x:c>
      <x:c r="AC22" t="str">
        <x:f>IF(AND(X22="YES",Y22="YES",AA22="YES"),"YES","NO")</x:f>
        <x:v>NO</x:v>
      </x:c>
      <x:c r="AD22" t="str">
        <x:f>IF(E22+F22&lt;=3,"WIN","LOSS")</x:f>
        <x:v>WIN</x:v>
      </x:c>
      <x:c r="AE22" s="30" t="str">
        <x:f>IF(AC22&lt;&gt;"YES","",IF(AD22="WIN",J22-1,-1))</x:f>
      </x:c>
      <x:c r="AF22" t="str">
        <x:f>IF(AA22&lt;&gt;"YES","WARMUP&lt;3",IF(X22&lt;&gt;"YES","PRICE",IF(Y22&lt;&gt;"YES","MODEL/LAMBDA","ELIGIBLE")))</x:f>
        <x:v>WARMUP&lt;3</x:v>
      </x:c>
      <x:c r="AG22" t="str">
        <x:v>https://footiqo.com/database/leagues/usa-mls/</x:v>
      </x:c>
      <x:c r="AH22" t="str">
        <x:v>Rolling stats use rows above only; no future-match leakage.</x:v>
      </x:c>
      <x:c r="AI22" t="n">
        <x:v>19</x:v>
      </x:c>
      <x:c r="AK22" s="427" t="str">
        <x:v>Official kickoff EAT</x:v>
      </x:c>
      <x:c r="AL22" t="str">
        <x:v>03:25</x:v>
      </x:c>
      <x:c r="AM22" t="str">
        <x:v>Official club preview</x:v>
      </x:c>
      <x:c r="AN22" t="str">
        <x:v>https://www.sportingkc.com/news/preview-sporting-kc-hosts-rivals-st-louis-city-sc-on-wednesday-at-sporting-park</x:v>
      </x:c>
    </x:row>
    <x:row r="23">
      <x:c r="A23" t="str">
        <x:f>'Normalized_History_v0.2.1'!A23</x:f>
        <x:v>98696</x:v>
      </x:c>
      <x:c r="B23" s="28" t="str">
        <x:f>'Normalized_History_v0.2.1'!B23</x:f>
        <x:v>2026-03-01</x:v>
      </x:c>
      <x:c r="C23" t="str">
        <x:f>'Normalized_History_v0.2.1'!D23</x:f>
        <x:v>Real Salt Lake</x:v>
      </x:c>
      <x:c r="D23" t="str">
        <x:f>'Normalized_History_v0.2.1'!E23</x:f>
        <x:v>Seattle Sounders</x:v>
      </x:c>
      <x:c r="E23" t="n">
        <x:f>'Normalized_History_v0.2.1'!F23</x:f>
        <x:v>2</x:v>
      </x:c>
      <x:c r="F23" t="n">
        <x:f>'Normalized_History_v0.2.1'!G23</x:f>
        <x:v>1</x:v>
      </x:c>
      <x:c r="G23" s="30" t="n">
        <x:f>'Normalized_History_v0.2.1'!I23</x:f>
        <x:v>2.06</x:v>
      </x:c>
      <x:c r="H23" s="30" t="n">
        <x:f>'Normalized_History_v0.2.1'!J23</x:f>
        <x:v>1.83</x:v>
      </x:c>
      <x:c r="I23" s="30" t="n">
        <x:f>'Normalized_History_v0.2.1'!K23</x:f>
        <x:v>3.37</x:v>
      </x:c>
      <x:c r="J23" s="30" t="n">
        <x:f>'Normalized_History_v0.2.1'!L23</x:f>
        <x:v>1.34</x:v>
      </x:c>
      <x:c r="K23" t="n">
        <x:f>COUNTIF($C$4:C22,C23)+COUNTIF($D$4:D22,C23)</x:f>
        <x:v>1</x:v>
      </x:c>
      <x:c r="L23" t="n">
        <x:f>COUNTIF($C$4:C22,D23)+COUNTIF($D$4:D22,D23)</x:f>
        <x:v>1</x:v>
      </x:c>
      <x:c r="M23" t="n">
        <x:f>MIN(K23,L23)</x:f>
        <x:v>1</x:v>
      </x:c>
      <x:c r="N23" s="30" t="n">
        <x:f>IF(K23=0,"",(SUMIF($C$4:C22,C23,$E$4:E22)+SUMIF($D$4:D22,C23,$F$4:F22))/K23)</x:f>
        <x:v>0</x:v>
      </x:c>
      <x:c r="O23" s="30" t="n">
        <x:f>IF(K23=0,"",(SUMIF($C$4:C22,C23,$F$4:F22)+SUMIF($D$4:D22,C23,$E$4:E22))/K23)</x:f>
        <x:v>1</x:v>
      </x:c>
      <x:c r="P23" s="30" t="n">
        <x:f>IF(L23=0,"",(SUMIF($C$4:C22,D23,$E$4:E22)+SUMIF($D$4:D22,D23,$F$4:F22))/L23)</x:f>
        <x:v>2</x:v>
      </x:c>
      <x:c r="Q23" s="30" t="n">
        <x:f>IF(L23=0,"",(SUMIF($C$4:C22,D23,$F$4:F22)+SUMIF($D$4:D22,D23,$E$4:E22))/L23)</x:f>
        <x:v>0</x:v>
      </x:c>
      <x:c r="R23" s="30" t="str">
        <x:f>IF(OR(N23="",Q23=""),"",AVERAGE(N23,Q23))</x:f>
      </x:c>
      <x:c r="S23" s="30" t="n">
        <x:f>IF(OR(P23="",O23=""),"",AVERAGE(P23,O23))</x:f>
        <x:v>1.5</x:v>
      </x:c>
      <x:c r="T23" s="30" t="str">
        <x:f>IF(OR(R23="",S23=""),"",R23+S23)</x:f>
      </x:c>
      <x:c r="U23" s="32" t="str">
        <x:f>IF(T23="","",EXP(-T23)*(1+T23+(T23^2)/2+(T23^3)/6))</x:f>
      </x:c>
      <x:c r="V23" s="32" t="n">
        <x:f>IF(OR(I23="",J23=""),"",(1/J23)/((1/J23)+(1/I23)))</x:f>
        <x:v>0.7154989384288747</x:v>
      </x:c>
      <x:c r="W23" s="32" t="str">
        <x:f>IF(OR(U23="",V23=""),"",U23-V23)</x:f>
      </x:c>
      <x:c r="X23" t="str">
        <x:f>IF(AND(G23&lt;=1.60,J23&gt;=1.55,J23&lt;=1.75),"YES","NO")</x:f>
        <x:v>NO</x:v>
      </x:c>
      <x:c r="Y23" t="str">
        <x:f>IF(AND(T23&gt;=2.70,T23&lt;=3.10,W23&gt;=0.05),"YES","NO")</x:f>
        <x:v>NO</x:v>
      </x:c>
      <x:c r="Z23" t="str">
        <x:f>IF(M23&gt;=1,"YES","NO")</x:f>
        <x:v>YES</x:v>
      </x:c>
      <x:c r="AA23" t="str">
        <x:f>IF(M23&gt;=3,"YES","NO")</x:f>
        <x:v>NO</x:v>
      </x:c>
      <x:c r="AB23" t="str">
        <x:f>IF(AND(X23="YES",Y23="YES",Z23="YES"),"YES","NO")</x:f>
        <x:v>NO</x:v>
      </x:c>
      <x:c r="AC23" t="str">
        <x:f>IF(AND(X23="YES",Y23="YES",AA23="YES"),"YES","NO")</x:f>
        <x:v>NO</x:v>
      </x:c>
      <x:c r="AD23" t="str">
        <x:f>IF(E23+F23&lt;=3,"WIN","LOSS")</x:f>
        <x:v>WIN</x:v>
      </x:c>
      <x:c r="AE23" s="30" t="str">
        <x:f>IF(AC23&lt;&gt;"YES","",IF(AD23="WIN",J23-1,-1))</x:f>
      </x:c>
      <x:c r="AF23" t="str">
        <x:f>IF(AA23&lt;&gt;"YES","WARMUP&lt;3",IF(X23&lt;&gt;"YES","PRICE",IF(Y23&lt;&gt;"YES","MODEL/LAMBDA","ELIGIBLE")))</x:f>
        <x:v>WARMUP&lt;3</x:v>
      </x:c>
      <x:c r="AG23" t="str">
        <x:v>https://footiqo.com/database/leagues/usa-mls/</x:v>
      </x:c>
      <x:c r="AH23" t="str">
        <x:v>Rolling stats use rows above only; no future-match leakage.</x:v>
      </x:c>
      <x:c r="AI23" t="n">
        <x:v>20</x:v>
      </x:c>
      <x:c r="AK23" s="427" t="str">
        <x:v>FOX O2.5</x:v>
      </x:c>
      <x:c r="AL23" s="30" t="n">
        <x:v>1.5405405405405406</x:v>
      </x:c>
      <x:c r="AM23" t="str">
        <x:v>Same-source reference</x:v>
      </x:c>
      <x:c r="AN23" t="str">
        <x:v>https://www.foxsports.com/soccer/mls-sporting-kc-vs-saint-louis-city-sc-aug-19-2026-game-boxscore-647260?tab=boxscore</x:v>
      </x:c>
    </x:row>
    <x:row r="24">
      <x:c r="A24" t="str">
        <x:f>'Normalized_History_v0.2.1'!A24</x:f>
        <x:v>98697</x:v>
      </x:c>
      <x:c r="B24" s="28" t="str">
        <x:f>'Normalized_History_v0.2.1'!B24</x:f>
        <x:v>2026-03-01</x:v>
      </x:c>
      <x:c r="C24" t="str">
        <x:f>'Normalized_History_v0.2.1'!D24</x:f>
        <x:v>San Jose Earthquakes</x:v>
      </x:c>
      <x:c r="D24" t="str">
        <x:f>'Normalized_History_v0.2.1'!E24</x:f>
        <x:v>Atlanta Utd</x:v>
      </x:c>
      <x:c r="E24" t="n">
        <x:f>'Normalized_History_v0.2.1'!F24</x:f>
        <x:v>2</x:v>
      </x:c>
      <x:c r="F24" t="n">
        <x:f>'Normalized_History_v0.2.1'!G24</x:f>
        <x:v>0</x:v>
      </x:c>
      <x:c r="G24" s="30" t="n">
        <x:f>'Normalized_History_v0.2.1'!I24</x:f>
        <x:v>1.8</x:v>
      </x:c>
      <x:c r="H24" s="30" t="n">
        <x:f>'Normalized_History_v0.2.1'!J24</x:f>
        <x:v>2.1</x:v>
      </x:c>
      <x:c r="I24" s="30" t="n">
        <x:f>'Normalized_History_v0.2.1'!K24</x:f>
        <x:v>2.82</x:v>
      </x:c>
      <x:c r="J24" s="30" t="n">
        <x:f>'Normalized_History_v0.2.1'!L24</x:f>
        <x:v>1.45</x:v>
      </x:c>
      <x:c r="K24" t="n">
        <x:f>COUNTIF($C$4:C23,C24)+COUNTIF($D$4:D23,C24)</x:f>
        <x:v>1</x:v>
      </x:c>
      <x:c r="L24" t="n">
        <x:f>COUNTIF($C$4:C23,D24)+COUNTIF($D$4:D23,D24)</x:f>
        <x:v>1</x:v>
      </x:c>
      <x:c r="M24" t="n">
        <x:f>MIN(K24,L24)</x:f>
        <x:v>1</x:v>
      </x:c>
      <x:c r="N24" s="30" t="n">
        <x:f>IF(K24=0,"",(SUMIF($C$4:C23,C24,$E$4:E23)+SUMIF($D$4:D23,C24,$F$4:F23))/K24)</x:f>
        <x:v>3</x:v>
      </x:c>
      <x:c r="O24" s="30" t="n">
        <x:f>IF(K24=0,"",(SUMIF($C$4:C23,C24,$F$4:F23)+SUMIF($D$4:D23,C24,$E$4:E23))/K24)</x:f>
        <x:v>0</x:v>
      </x:c>
      <x:c r="P24" s="30" t="n">
        <x:f>IF(L24=0,"",(SUMIF($C$4:C23,D24,$E$4:E23)+SUMIF($D$4:D23,D24,$F$4:F23))/L24)</x:f>
        <x:v>0</x:v>
      </x:c>
      <x:c r="Q24" s="30" t="n">
        <x:f>IF(L24=0,"",(SUMIF($C$4:C23,D24,$F$4:F23)+SUMIF($D$4:D23,D24,$E$4:E23))/L24)</x:f>
        <x:v>2</x:v>
      </x:c>
      <x:c r="R24" s="30" t="n">
        <x:f>IF(OR(N24="",Q24=""),"",AVERAGE(N24,Q24))</x:f>
        <x:v>2.5</x:v>
      </x:c>
      <x:c r="S24" s="30" t="str">
        <x:f>IF(OR(P24="",O24=""),"",AVERAGE(P24,O24))</x:f>
      </x:c>
      <x:c r="T24" s="30" t="str">
        <x:f>IF(OR(R24="",S24=""),"",R24+S24)</x:f>
      </x:c>
      <x:c r="U24" s="32" t="str">
        <x:f>IF(T24="","",EXP(-T24)*(1+T24+(T24^2)/2+(T24^3)/6))</x:f>
      </x:c>
      <x:c r="V24" s="32" t="n">
        <x:f>IF(OR(I24="",J24=""),"",(1/J24)/((1/J24)+(1/I24)))</x:f>
        <x:v>0.6604215456674473</x:v>
      </x:c>
      <x:c r="W24" s="32" t="str">
        <x:f>IF(OR(U24="",V24=""),"",U24-V24)</x:f>
      </x:c>
      <x:c r="X24" t="str">
        <x:f>IF(AND(G24&lt;=1.60,J24&gt;=1.55,J24&lt;=1.75),"YES","NO")</x:f>
        <x:v>NO</x:v>
      </x:c>
      <x:c r="Y24" t="str">
        <x:f>IF(AND(T24&gt;=2.70,T24&lt;=3.10,W24&gt;=0.05),"YES","NO")</x:f>
        <x:v>NO</x:v>
      </x:c>
      <x:c r="Z24" t="str">
        <x:f>IF(M24&gt;=1,"YES","NO")</x:f>
        <x:v>YES</x:v>
      </x:c>
      <x:c r="AA24" t="str">
        <x:f>IF(M24&gt;=3,"YES","NO")</x:f>
        <x:v>NO</x:v>
      </x:c>
      <x:c r="AB24" t="str">
        <x:f>IF(AND(X24="YES",Y24="YES",Z24="YES"),"YES","NO")</x:f>
        <x:v>NO</x:v>
      </x:c>
      <x:c r="AC24" t="str">
        <x:f>IF(AND(X24="YES",Y24="YES",AA24="YES"),"YES","NO")</x:f>
        <x:v>NO</x:v>
      </x:c>
      <x:c r="AD24" t="str">
        <x:f>IF(E24+F24&lt;=3,"WIN","LOSS")</x:f>
        <x:v>WIN</x:v>
      </x:c>
      <x:c r="AE24" s="30" t="str">
        <x:f>IF(AC24&lt;&gt;"YES","",IF(AD24="WIN",J24-1,-1))</x:f>
      </x:c>
      <x:c r="AF24" t="str">
        <x:f>IF(AA24&lt;&gt;"YES","WARMUP&lt;3",IF(X24&lt;&gt;"YES","PRICE",IF(Y24&lt;&gt;"YES","MODEL/LAMBDA","ELIGIBLE")))</x:f>
        <x:v>WARMUP&lt;3</x:v>
      </x:c>
      <x:c r="AG24" t="str">
        <x:v>https://footiqo.com/database/leagues/usa-mls/</x:v>
      </x:c>
      <x:c r="AH24" t="str">
        <x:v>Rolling stats use rows above only; no future-match leakage.</x:v>
      </x:c>
      <x:c r="AI24" t="n">
        <x:v>21</x:v>
      </x:c>
      <x:c r="AK24" s="427" t="str">
        <x:v>FOX U2.5</x:v>
      </x:c>
      <x:c r="AL24" s="30" t="n">
        <x:v>2.4</x:v>
      </x:c>
      <x:c r="AM24" t="str">
        <x:v>Same-source reference</x:v>
      </x:c>
      <x:c r="AN24" t="str">
        <x:v>FOX</x:v>
      </x:c>
    </x:row>
    <x:row r="25">
      <x:c r="A25" t="str">
        <x:f>'Normalized_History_v0.2.1'!A25</x:f>
        <x:v>98700</x:v>
      </x:c>
      <x:c r="B25" s="28" t="str">
        <x:f>'Normalized_History_v0.2.1'!B25</x:f>
        <x:v>2026-03-01</x:v>
      </x:c>
      <x:c r="C25" t="str">
        <x:f>'Normalized_History_v0.2.1'!D25</x:f>
        <x:v>FC Dallas</x:v>
      </x:c>
      <x:c r="D25" t="str">
        <x:f>'Normalized_History_v0.2.1'!E25</x:f>
        <x:v>Nashville SC</x:v>
      </x:c>
      <x:c r="E25" t="n">
        <x:f>'Normalized_History_v0.2.1'!F25</x:f>
        <x:v>0</x:v>
      </x:c>
      <x:c r="F25" t="n">
        <x:f>'Normalized_History_v0.2.1'!G25</x:f>
        <x:v>0</x:v>
      </x:c>
      <x:c r="G25" s="30" t="n">
        <x:f>'Normalized_History_v0.2.1'!I25</x:f>
        <x:v>1.89</x:v>
      </x:c>
      <x:c r="H25" s="30" t="n">
        <x:f>'Normalized_History_v0.2.1'!J25</x:f>
        <x:v>2</x:v>
      </x:c>
      <x:c r="I25" s="30" t="n">
        <x:f>'Normalized_History_v0.2.1'!K25</x:f>
        <x:v>3.01</x:v>
      </x:c>
      <x:c r="J25" s="30" t="n">
        <x:f>'Normalized_History_v0.2.1'!L25</x:f>
        <x:v>1.4</x:v>
      </x:c>
      <x:c r="K25" t="n">
        <x:f>COUNTIF($C$4:C24,C25)+COUNTIF($D$4:D24,C25)</x:f>
        <x:v>1</x:v>
      </x:c>
      <x:c r="L25" t="n">
        <x:f>COUNTIF($C$4:C24,D25)+COUNTIF($D$4:D24,D25)</x:f>
        <x:v>1</x:v>
      </x:c>
      <x:c r="M25" t="n">
        <x:f>MIN(K25,L25)</x:f>
        <x:v>1</x:v>
      </x:c>
      <x:c r="N25" s="30" t="n">
        <x:f>IF(K25=0,"",(SUMIF($C$4:C24,C25,$E$4:E24)+SUMIF($D$4:D24,C25,$F$4:F24))/K25)</x:f>
        <x:v>3</x:v>
      </x:c>
      <x:c r="O25" s="30" t="n">
        <x:f>IF(K25=0,"",(SUMIF($C$4:C24,C25,$F$4:F24)+SUMIF($D$4:D24,C25,$E$4:E24))/K25)</x:f>
        <x:v>2</x:v>
      </x:c>
      <x:c r="P25" s="30" t="n">
        <x:f>IF(L25=0,"",(SUMIF($C$4:C24,D25,$E$4:E24)+SUMIF($D$4:D24,D25,$F$4:F24))/L25)</x:f>
        <x:v>4</x:v>
      </x:c>
      <x:c r="Q25" s="30" t="n">
        <x:f>IF(L25=0,"",(SUMIF($C$4:C24,D25,$F$4:F24)+SUMIF($D$4:D24,D25,$E$4:E24))/L25)</x:f>
        <x:v>1</x:v>
      </x:c>
      <x:c r="R25" s="30" t="n">
        <x:f>IF(OR(N25="",Q25=""),"",AVERAGE(N25,Q25))</x:f>
        <x:v>2</x:v>
      </x:c>
      <x:c r="S25" s="30" t="n">
        <x:f>IF(OR(P25="",O25=""),"",AVERAGE(P25,O25))</x:f>
        <x:v>3</x:v>
      </x:c>
      <x:c r="T25" s="30" t="n">
        <x:f>IF(OR(R25="",S25=""),"",R25+S25)</x:f>
        <x:v>5</x:v>
      </x:c>
      <x:c r="U25" s="32" t="n">
        <x:f>IF(T25="","",EXP(-T25)*(1+T25+(T25^2)/2+(T25^3)/6))</x:f>
        <x:v>0.2650259152973617</x:v>
      </x:c>
      <x:c r="V25" s="32" t="n">
        <x:f>IF(OR(I25="",J25=""),"",(1/J25)/((1/J25)+(1/I25)))</x:f>
        <x:v>0.6825396825396824</x:v>
      </x:c>
      <x:c r="W25" s="32" t="n">
        <x:f>IF(OR(U25="",V25=""),"",U25-V25)</x:f>
        <x:v>-0.41751376724232075</x:v>
      </x:c>
      <x:c r="X25" t="str">
        <x:f>IF(AND(G25&lt;=1.60,J25&gt;=1.55,J25&lt;=1.75),"YES","NO")</x:f>
        <x:v>NO</x:v>
      </x:c>
      <x:c r="Y25" t="str">
        <x:f>IF(AND(T25&gt;=2.70,T25&lt;=3.10,W25&gt;=0.05),"YES","NO")</x:f>
        <x:v>NO</x:v>
      </x:c>
      <x:c r="Z25" t="str">
        <x:f>IF(M25&gt;=1,"YES","NO")</x:f>
        <x:v>YES</x:v>
      </x:c>
      <x:c r="AA25" t="str">
        <x:f>IF(M25&gt;=3,"YES","NO")</x:f>
        <x:v>NO</x:v>
      </x:c>
      <x:c r="AB25" t="str">
        <x:f>IF(AND(X25="YES",Y25="YES",Z25="YES"),"YES","NO")</x:f>
        <x:v>NO</x:v>
      </x:c>
      <x:c r="AC25" t="str">
        <x:f>IF(AND(X25="YES",Y25="YES",AA25="YES"),"YES","NO")</x:f>
        <x:v>NO</x:v>
      </x:c>
      <x:c r="AD25" t="str">
        <x:f>IF(E25+F25&lt;=3,"WIN","LOSS")</x:f>
        <x:v>WIN</x:v>
      </x:c>
      <x:c r="AE25" s="30" t="str">
        <x:f>IF(AC25&lt;&gt;"YES","",IF(AD25="WIN",J25-1,-1))</x:f>
      </x:c>
      <x:c r="AF25" t="str">
        <x:f>IF(AA25&lt;&gt;"YES","WARMUP&lt;3",IF(X25&lt;&gt;"YES","PRICE",IF(Y25&lt;&gt;"YES","MODEL/LAMBDA","ELIGIBLE")))</x:f>
        <x:v>WARMUP&lt;3</x:v>
      </x:c>
      <x:c r="AG25" t="str">
        <x:v>https://footiqo.com/database/leagues/usa-mls/</x:v>
      </x:c>
      <x:c r="AH25" t="str">
        <x:v>Rolling stats use rows above only; no future-match leakage.</x:v>
      </x:c>
      <x:c r="AI25" t="n">
        <x:v>22</x:v>
      </x:c>
      <x:c r="AK25" s="427" t="str">
        <x:v>FOX O3.5</x:v>
      </x:c>
      <x:c r="AL25" s="30" t="n">
        <x:v>2.2</x:v>
      </x:c>
      <x:c r="AM25" t="str">
        <x:v>Same-source reference</x:v>
      </x:c>
      <x:c r="AN25" t="str">
        <x:v>FOX</x:v>
      </x:c>
    </x:row>
    <x:row r="26">
      <x:c r="A26" t="str">
        <x:f>'Normalized_History_v0.2.1'!A26</x:f>
        <x:v>98701</x:v>
      </x:c>
      <x:c r="B26" s="28" t="str">
        <x:f>'Normalized_History_v0.2.1'!B26</x:f>
        <x:v>2026-03-01</x:v>
      </x:c>
      <x:c r="C26" t="str">
        <x:f>'Normalized_History_v0.2.1'!D26</x:f>
        <x:v>Houston Dynamo</x:v>
      </x:c>
      <x:c r="D26" t="str">
        <x:f>'Normalized_History_v0.2.1'!E26</x:f>
        <x:v>Los Angeles FC</x:v>
      </x:c>
      <x:c r="E26" t="n">
        <x:f>'Normalized_History_v0.2.1'!F26</x:f>
        <x:v>0</x:v>
      </x:c>
      <x:c r="F26" t="n">
        <x:f>'Normalized_History_v0.2.1'!G26</x:f>
        <x:v>2</x:v>
      </x:c>
      <x:c r="G26" s="30" t="n">
        <x:f>'Normalized_History_v0.2.1'!I26</x:f>
        <x:v>1.7</x:v>
      </x:c>
      <x:c r="H26" s="30" t="n">
        <x:f>'Normalized_History_v0.2.1'!J26</x:f>
        <x:v>2.18</x:v>
      </x:c>
      <x:c r="I26" s="30" t="n">
        <x:f>'Normalized_History_v0.2.1'!K26</x:f>
        <x:v>2.69</x:v>
      </x:c>
      <x:c r="J26" s="30" t="n">
        <x:f>'Normalized_History_v0.2.1'!L26</x:f>
        <x:v>1.48</x:v>
      </x:c>
      <x:c r="K26" t="n">
        <x:f>COUNTIF($C$4:C25,C26)+COUNTIF($D$4:D25,C26)</x:f>
        <x:v>1</x:v>
      </x:c>
      <x:c r="L26" t="n">
        <x:f>COUNTIF($C$4:C25,D26)+COUNTIF($D$4:D25,D26)</x:f>
        <x:v>1</x:v>
      </x:c>
      <x:c r="M26" t="n">
        <x:f>MIN(K26,L26)</x:f>
        <x:v>1</x:v>
      </x:c>
      <x:c r="N26" s="30" t="n">
        <x:f>IF(K26=0,"",(SUMIF($C$4:C25,C26,$E$4:E25)+SUMIF($D$4:D25,C26,$F$4:F25))/K26)</x:f>
        <x:v>2</x:v>
      </x:c>
      <x:c r="O26" s="30" t="n">
        <x:f>IF(K26=0,"",(SUMIF($C$4:C25,C26,$F$4:F25)+SUMIF($D$4:D25,C26,$E$4:E25))/K26)</x:f>
        <x:v>1</x:v>
      </x:c>
      <x:c r="P26" s="30" t="n">
        <x:f>IF(L26=0,"",(SUMIF($C$4:C25,D26,$E$4:E25)+SUMIF($D$4:D25,D26,$F$4:F25))/L26)</x:f>
        <x:v>3</x:v>
      </x:c>
      <x:c r="Q26" s="30" t="n">
        <x:f>IF(L26=0,"",(SUMIF($C$4:C25,D26,$F$4:F25)+SUMIF($D$4:D25,D26,$E$4:E25))/L26)</x:f>
        <x:v>0</x:v>
      </x:c>
      <x:c r="R26" s="30" t="str">
        <x:f>IF(OR(N26="",Q26=""),"",AVERAGE(N26,Q26))</x:f>
      </x:c>
      <x:c r="S26" s="30" t="n">
        <x:f>IF(OR(P26="",O26=""),"",AVERAGE(P26,O26))</x:f>
        <x:v>2</x:v>
      </x:c>
      <x:c r="T26" s="30" t="str">
        <x:f>IF(OR(R26="",S26=""),"",R26+S26)</x:f>
      </x:c>
      <x:c r="U26" s="32" t="str">
        <x:f>IF(T26="","",EXP(-T26)*(1+T26+(T26^2)/2+(T26^3)/6))</x:f>
      </x:c>
      <x:c r="V26" s="32" t="n">
        <x:f>IF(OR(I26="",J26=""),"",(1/J26)/((1/J26)+(1/I26)))</x:f>
        <x:v>0.645083932853717</x:v>
      </x:c>
      <x:c r="W26" s="32" t="str">
        <x:f>IF(OR(U26="",V26=""),"",U26-V26)</x:f>
      </x:c>
      <x:c r="X26" t="str">
        <x:f>IF(AND(G26&lt;=1.60,J26&gt;=1.55,J26&lt;=1.75),"YES","NO")</x:f>
        <x:v>NO</x:v>
      </x:c>
      <x:c r="Y26" t="str">
        <x:f>IF(AND(T26&gt;=2.70,T26&lt;=3.10,W26&gt;=0.05),"YES","NO")</x:f>
        <x:v>NO</x:v>
      </x:c>
      <x:c r="Z26" t="str">
        <x:f>IF(M26&gt;=1,"YES","NO")</x:f>
        <x:v>YES</x:v>
      </x:c>
      <x:c r="AA26" t="str">
        <x:f>IF(M26&gt;=3,"YES","NO")</x:f>
        <x:v>NO</x:v>
      </x:c>
      <x:c r="AB26" t="str">
        <x:f>IF(AND(X26="YES",Y26="YES",Z26="YES"),"YES","NO")</x:f>
        <x:v>NO</x:v>
      </x:c>
      <x:c r="AC26" t="str">
        <x:f>IF(AND(X26="YES",Y26="YES",AA26="YES"),"YES","NO")</x:f>
        <x:v>NO</x:v>
      </x:c>
      <x:c r="AD26" t="str">
        <x:f>IF(E26+F26&lt;=3,"WIN","LOSS")</x:f>
        <x:v>WIN</x:v>
      </x:c>
      <x:c r="AE26" s="30" t="str">
        <x:f>IF(AC26&lt;&gt;"YES","",IF(AD26="WIN",J26-1,-1))</x:f>
      </x:c>
      <x:c r="AF26" t="str">
        <x:f>IF(AA26&lt;&gt;"YES","WARMUP&lt;3",IF(X26&lt;&gt;"YES","PRICE",IF(Y26&lt;&gt;"YES","MODEL/LAMBDA","ELIGIBLE")))</x:f>
        <x:v>WARMUP&lt;3</x:v>
      </x:c>
      <x:c r="AG26" t="str">
        <x:v>https://footiqo.com/database/leagues/usa-mls/</x:v>
      </x:c>
      <x:c r="AH26" t="str">
        <x:v>Rolling stats use rows above only; no future-match leakage.</x:v>
      </x:c>
      <x:c r="AI26" t="n">
        <x:v>23</x:v>
      </x:c>
      <x:c r="AK26" s="427" t="str">
        <x:v>FOX U3.5</x:v>
      </x:c>
      <x:c r="AL26" s="30" t="n">
        <x:v>1.625</x:v>
      </x:c>
      <x:c r="AM26" t="str">
        <x:v>Same-source reference</x:v>
      </x:c>
      <x:c r="AN26" t="str">
        <x:v>FOX</x:v>
      </x:c>
    </x:row>
    <x:row r="27">
      <x:c r="A27" t="str">
        <x:f>'Normalized_History_v0.2.1'!A27</x:f>
        <x:v>98702</x:v>
      </x:c>
      <x:c r="B27" s="28" t="str">
        <x:f>'Normalized_History_v0.2.1'!B27</x:f>
        <x:v>2026-03-01</x:v>
      </x:c>
      <x:c r="C27" t="str">
        <x:f>'Normalized_History_v0.2.1'!D27</x:f>
        <x:v>Sporting Kansas City</x:v>
      </x:c>
      <x:c r="D27" t="str">
        <x:f>'Normalized_History_v0.2.1'!E27</x:f>
        <x:v>Columbus Crew</x:v>
      </x:c>
      <x:c r="E27" t="n">
        <x:f>'Normalized_History_v0.2.1'!F27</x:f>
        <x:v>2</x:v>
      </x:c>
      <x:c r="F27" t="n">
        <x:f>'Normalized_History_v0.2.1'!G27</x:f>
        <x:v>2</x:v>
      </x:c>
      <x:c r="G27" s="30" t="n">
        <x:f>'Normalized_History_v0.2.1'!I27</x:f>
        <x:v>1.49</x:v>
      </x:c>
      <x:c r="H27" s="30" t="n">
        <x:f>'Normalized_History_v0.2.1'!J27</x:f>
        <x:v>2.67</x:v>
      </x:c>
      <x:c r="I27" s="30" t="n">
        <x:f>'Normalized_History_v0.2.1'!K27</x:f>
        <x:v>2.16</x:v>
      </x:c>
      <x:c r="J27" s="30" t="n">
        <x:f>'Normalized_History_v0.2.1'!L27</x:f>
        <x:v>1.77</x:v>
      </x:c>
      <x:c r="K27" t="n">
        <x:f>COUNTIF($C$4:C26,C27)+COUNTIF($D$4:D26,C27)</x:f>
        <x:v>1</x:v>
      </x:c>
      <x:c r="L27" t="n">
        <x:f>COUNTIF($C$4:C26,D27)+COUNTIF($D$4:D26,D27)</x:f>
        <x:v>1</x:v>
      </x:c>
      <x:c r="M27" t="n">
        <x:f>MIN(K27,L27)</x:f>
        <x:v>1</x:v>
      </x:c>
      <x:c r="N27" s="30" t="n">
        <x:f>IF(K27=0,"",(SUMIF($C$4:C26,C27,$E$4:E26)+SUMIF($D$4:D26,C27,$F$4:F26))/K27)</x:f>
        <x:v>0</x:v>
      </x:c>
      <x:c r="O27" s="30" t="n">
        <x:f>IF(K27=0,"",(SUMIF($C$4:C26,C27,$F$4:F26)+SUMIF($D$4:D26,C27,$E$4:E26))/K27)</x:f>
        <x:v>3</x:v>
      </x:c>
      <x:c r="P27" s="30" t="n">
        <x:f>IF(L27=0,"",(SUMIF($C$4:C26,D27,$E$4:E26)+SUMIF($D$4:D26,D27,$F$4:F26))/L27)</x:f>
        <x:v>2</x:v>
      </x:c>
      <x:c r="Q27" s="30" t="n">
        <x:f>IF(L27=0,"",(SUMIF($C$4:C26,D27,$F$4:F26)+SUMIF($D$4:D26,D27,$E$4:E26))/L27)</x:f>
        <x:v>3</x:v>
      </x:c>
      <x:c r="R27" s="30" t="str">
        <x:f>IF(OR(N27="",Q27=""),"",AVERAGE(N27,Q27))</x:f>
      </x:c>
      <x:c r="S27" s="30" t="n">
        <x:f>IF(OR(P27="",O27=""),"",AVERAGE(P27,O27))</x:f>
        <x:v>2.5</x:v>
      </x:c>
      <x:c r="T27" s="30" t="str">
        <x:f>IF(OR(R27="",S27=""),"",R27+S27)</x:f>
      </x:c>
      <x:c r="U27" s="32" t="str">
        <x:f>IF(T27="","",EXP(-T27)*(1+T27+(T27^2)/2+(T27^3)/6))</x:f>
      </x:c>
      <x:c r="V27" s="32" t="n">
        <x:f>IF(OR(I27="",J27=""),"",(1/J27)/((1/J27)+(1/I27)))</x:f>
        <x:v>0.549618320610687</x:v>
      </x:c>
      <x:c r="W27" s="32" t="str">
        <x:f>IF(OR(U27="",V27=""),"",U27-V27)</x:f>
      </x:c>
      <x:c r="X27" t="str">
        <x:f>IF(AND(G27&lt;=1.60,J27&gt;=1.55,J27&lt;=1.75),"YES","NO")</x:f>
        <x:v>NO</x:v>
      </x:c>
      <x:c r="Y27" t="str">
        <x:f>IF(AND(T27&gt;=2.70,T27&lt;=3.10,W27&gt;=0.05),"YES","NO")</x:f>
        <x:v>NO</x:v>
      </x:c>
      <x:c r="Z27" t="str">
        <x:f>IF(M27&gt;=1,"YES","NO")</x:f>
        <x:v>YES</x:v>
      </x:c>
      <x:c r="AA27" t="str">
        <x:f>IF(M27&gt;=3,"YES","NO")</x:f>
        <x:v>NO</x:v>
      </x:c>
      <x:c r="AB27" t="str">
        <x:f>IF(AND(X27="YES",Y27="YES",Z27="YES"),"YES","NO")</x:f>
        <x:v>NO</x:v>
      </x:c>
      <x:c r="AC27" t="str">
        <x:f>IF(AND(X27="YES",Y27="YES",AA27="YES"),"YES","NO")</x:f>
        <x:v>NO</x:v>
      </x:c>
      <x:c r="AD27" t="str">
        <x:f>IF(E27+F27&lt;=3,"WIN","LOSS")</x:f>
        <x:v>LOSS</x:v>
      </x:c>
      <x:c r="AE27" s="30" t="str">
        <x:f>IF(AC27&lt;&gt;"YES","",IF(AD27="WIN",J27-1,-1))</x:f>
      </x:c>
      <x:c r="AF27" t="str">
        <x:f>IF(AA27&lt;&gt;"YES","WARMUP&lt;3",IF(X27&lt;&gt;"YES","PRICE",IF(Y27&lt;&gt;"YES","MODEL/LAMBDA","ELIGIBLE")))</x:f>
        <x:v>WARMUP&lt;3</x:v>
      </x:c>
      <x:c r="AG27" t="str">
        <x:v>https://footiqo.com/database/leagues/usa-mls/</x:v>
      </x:c>
      <x:c r="AH27" t="str">
        <x:v>Rolling stats use rows above only; no future-match leakage.</x:v>
      </x:c>
      <x:c r="AI27" t="n">
        <x:v>24</x:v>
      </x:c>
      <x:c r="AK27" s="427" t="str">
        <x:v>Conservative P U3.5</x:v>
      </x:c>
      <x:c r="AL27" s="32" t="n">
        <x:v>0.6258410276</x:v>
      </x:c>
      <x:c r="AM27" t="str">
        <x:v>Frozen model</x:v>
      </x:c>
      <x:c r="AN27" t="str">
        <x:v>Internal v0.1.6</x:v>
      </x:c>
    </x:row>
    <x:row r="28">
      <x:c r="A28" t="str">
        <x:f>'Normalized_History_v0.2.1'!A28</x:f>
        <x:v>98704</x:v>
      </x:c>
      <x:c r="B28" s="28" t="str">
        <x:f>'Normalized_History_v0.2.1'!B28</x:f>
        <x:v>2026-03-01</x:v>
      </x:c>
      <x:c r="C28" t="str">
        <x:f>'Normalized_History_v0.2.1'!D28</x:f>
        <x:v>Vancouver Whitecaps</x:v>
      </x:c>
      <x:c r="D28" t="str">
        <x:f>'Normalized_History_v0.2.1'!E28</x:f>
        <x:v>Toronto FC</x:v>
      </x:c>
      <x:c r="E28" t="n">
        <x:f>'Normalized_History_v0.2.1'!F28</x:f>
        <x:v>3</x:v>
      </x:c>
      <x:c r="F28" t="n">
        <x:f>'Normalized_History_v0.2.1'!G28</x:f>
        <x:v>0</x:v>
      </x:c>
      <x:c r="G28" s="30" t="n">
        <x:f>'Normalized_History_v0.2.1'!I28</x:f>
        <x:v>1.6</x:v>
      </x:c>
      <x:c r="H28" s="30" t="n">
        <x:f>'Normalized_History_v0.2.1'!J28</x:f>
        <x:v>2.38</x:v>
      </x:c>
      <x:c r="I28" s="30" t="n">
        <x:f>'Normalized_History_v0.2.1'!K28</x:f>
        <x:v>2.53</x:v>
      </x:c>
      <x:c r="J28" s="30" t="n">
        <x:f>'Normalized_History_v0.2.1'!L28</x:f>
        <x:v>1.54</x:v>
      </x:c>
      <x:c r="K28" t="n">
        <x:f>COUNTIF($C$4:C27,C28)+COUNTIF($D$4:D27,C28)</x:f>
        <x:v>1</x:v>
      </x:c>
      <x:c r="L28" t="n">
        <x:f>COUNTIF($C$4:C27,D28)+COUNTIF($D$4:D27,D28)</x:f>
        <x:v>1</x:v>
      </x:c>
      <x:c r="M28" t="n">
        <x:f>MIN(K28,L28)</x:f>
        <x:v>1</x:v>
      </x:c>
      <x:c r="N28" s="30" t="n">
        <x:f>IF(K28=0,"",(SUMIF($C$4:C27,C28,$E$4:E27)+SUMIF($D$4:D27,C28,$F$4:F27))/K28)</x:f>
        <x:v>1</x:v>
      </x:c>
      <x:c r="O28" s="30" t="n">
        <x:f>IF(K28=0,"",(SUMIF($C$4:C27,C28,$F$4:F27)+SUMIF($D$4:D27,C28,$E$4:E27))/K28)</x:f>
        <x:v>0</x:v>
      </x:c>
      <x:c r="P28" s="30" t="n">
        <x:f>IF(L28=0,"",(SUMIF($C$4:C27,D28,$E$4:E27)+SUMIF($D$4:D27,D28,$F$4:F27))/L28)</x:f>
        <x:v>2</x:v>
      </x:c>
      <x:c r="Q28" s="30" t="n">
        <x:f>IF(L28=0,"",(SUMIF($C$4:C27,D28,$F$4:F27)+SUMIF($D$4:D27,D28,$E$4:E27))/L28)</x:f>
        <x:v>3</x:v>
      </x:c>
      <x:c r="R28" s="30" t="n">
        <x:f>IF(OR(N28="",Q28=""),"",AVERAGE(N28,Q28))</x:f>
        <x:v>2</x:v>
      </x:c>
      <x:c r="S28" s="30" t="str">
        <x:f>IF(OR(P28="",O28=""),"",AVERAGE(P28,O28))</x:f>
      </x:c>
      <x:c r="T28" s="30" t="str">
        <x:f>IF(OR(R28="",S28=""),"",R28+S28)</x:f>
      </x:c>
      <x:c r="U28" s="32" t="str">
        <x:f>IF(T28="","",EXP(-T28)*(1+T28+(T28^2)/2+(T28^3)/6))</x:f>
      </x:c>
      <x:c r="V28" s="32" t="n">
        <x:f>IF(OR(I28="",J28=""),"",(1/J28)/((1/J28)+(1/I28)))</x:f>
        <x:v>0.6216216216216216</x:v>
      </x:c>
      <x:c r="W28" s="32" t="str">
        <x:f>IF(OR(U28="",V28=""),"",U28-V28)</x:f>
      </x:c>
      <x:c r="X28" t="str">
        <x:f>IF(AND(G28&lt;=1.60,J28&gt;=1.55,J28&lt;=1.75),"YES","NO")</x:f>
        <x:v>NO</x:v>
      </x:c>
      <x:c r="Y28" t="str">
        <x:f>IF(AND(T28&gt;=2.70,T28&lt;=3.10,W28&gt;=0.05),"YES","NO")</x:f>
        <x:v>NO</x:v>
      </x:c>
      <x:c r="Z28" t="str">
        <x:f>IF(M28&gt;=1,"YES","NO")</x:f>
        <x:v>YES</x:v>
      </x:c>
      <x:c r="AA28" t="str">
        <x:f>IF(M28&gt;=3,"YES","NO")</x:f>
        <x:v>NO</x:v>
      </x:c>
      <x:c r="AB28" t="str">
        <x:f>IF(AND(X28="YES",Y28="YES",Z28="YES"),"YES","NO")</x:f>
        <x:v>NO</x:v>
      </x:c>
      <x:c r="AC28" t="str">
        <x:f>IF(AND(X28="YES",Y28="YES",AA28="YES"),"YES","NO")</x:f>
        <x:v>NO</x:v>
      </x:c>
      <x:c r="AD28" t="str">
        <x:f>IF(E28+F28&lt;=3,"WIN","LOSS")</x:f>
        <x:v>WIN</x:v>
      </x:c>
      <x:c r="AE28" s="30" t="str">
        <x:f>IF(AC28&lt;&gt;"YES","",IF(AD28="WIN",J28-1,-1))</x:f>
      </x:c>
      <x:c r="AF28" t="str">
        <x:f>IF(AA28&lt;&gt;"YES","WARMUP&lt;3",IF(X28&lt;&gt;"YES","PRICE",IF(Y28&lt;&gt;"YES","MODEL/LAMBDA","ELIGIBLE")))</x:f>
        <x:v>WARMUP&lt;3</x:v>
      </x:c>
      <x:c r="AG28" t="str">
        <x:v>https://footiqo.com/database/leagues/usa-mls/</x:v>
      </x:c>
      <x:c r="AH28" t="str">
        <x:v>Rolling stats use rows above only; no future-match leakage.</x:v>
      </x:c>
      <x:c r="AI28" t="n">
        <x:v>25</x:v>
      </x:c>
      <x:c r="AK28" s="427" t="str">
        <x:v>FOX execution proxy EV</x:v>
      </x:c>
      <x:c r="AL28" s="32" t="n">
        <x:f>AL27*AL26-1</x:f>
        <x:v>0.016991669850000113</x:v>
      </x:c>
      <x:c r="AM28" t="str">
        <x:v>P × 1.625 − 1</x:v>
      </x:c>
      <x:c r="AN28" t="str">
        <x:v>Reference only</x:v>
      </x:c>
    </x:row>
    <x:row r="29">
      <x:c r="AK29" s="427" t="str">
        <x:v>Real execution odds</x:v>
      </x:c>
      <x:c r="AL29" t="str">
        <x:v>MISSING</x:v>
      </x:c>
      <x:c r="AM29" t="str">
        <x:v>Must be user's actual offered price</x:v>
      </x:c>
      <x:c r="AN29" t="str">
        <x:v>User input</x:v>
      </x:c>
    </x:row>
    <x:row r="30">
      <x:c r="AK30" s="427" t="str">
        <x:v>Real-money gate</x:v>
      </x:c>
      <x:c r="AL30" t="str">
        <x:v>NO</x:v>
      </x:c>
      <x:c r="AM30" t="str">
        <x:v>Historical validation + execution price required</x:v>
      </x:c>
      <x:c r="AN30" t="str">
        <x:v>System</x:v>
      </x:c>
    </x:row>
  </x:sheetData>
  <x:mergeCells>
    <x:mergeCell ref="A1:AI1"/>
  </x:mergeCells>
  <x:conditionalFormatting sqref="X4:X28">
    <x:cfRule type="expression" dxfId="41" priority="1">
      <x:formula>X4="YES"</x:formula>
    </x:cfRule>
  </x:conditionalFormatting>
  <x:conditionalFormatting sqref="Y4:Y28">
    <x:cfRule type="expression" dxfId="42" priority="2">
      <x:formula>Y4="YES"</x:formula>
    </x:cfRule>
  </x:conditionalFormatting>
  <x:conditionalFormatting sqref="Z4:Z28">
    <x:cfRule type="expression" dxfId="43" priority="3">
      <x:formula>Z4="YES"</x:formula>
    </x:cfRule>
  </x:conditionalFormatting>
  <x:conditionalFormatting sqref="AA4:AA28">
    <x:cfRule type="expression" dxfId="44" priority="4">
      <x:formula>AA4="YES"</x:formula>
    </x:cfRule>
  </x:conditionalFormatting>
  <x:conditionalFormatting sqref="AB4:AB28">
    <x:cfRule type="expression" dxfId="45" priority="5">
      <x:formula>AB4="YES"</x:formula>
    </x:cfRule>
  </x:conditionalFormatting>
  <x:conditionalFormatting sqref="AC4:AC28">
    <x:cfRule type="expression" dxfId="46" priority="6">
      <x:formula>AC4="YES"</x:formula>
    </x:cfRule>
    <x:cfRule type="expression" dxfId="47" priority="7">
      <x:formula>AC4="NO"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36" hidden="0" customWidth="1"/>
    <x:col min="5" max="5" width="24" hidden="0" customWidth="1"/>
    <x:col min="6" max="6" width="24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58" hidden="0" customWidth="1"/>
  </x:cols>
  <x:sheetData>
    <x:row r="1">
      <x:c r="A1" s="448" t="str">
        <x:v>BETTING INTELLIGENCE v0.3.0 — DATA SOURCE REGISTRY</x:v>
      </x:c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</x:row>
    <x:row r="3">
      <x:c r="A3" s="447" t="str">
        <x:v>Source_ID</x:v>
      </x:c>
      <x:c r="B3" s="447" t="str">
        <x:v>Source</x:v>
      </x:c>
      <x:c r="C3" s="447" t="str">
        <x:v>Role</x:v>
      </x:c>
      <x:c r="D3" s="447" t="str">
        <x:v>Data</x:v>
      </x:c>
      <x:c r="E3" s="447" t="str">
        <x:v>Time Resolution</x:v>
      </x:c>
      <x:c r="F3" s="447" t="str">
        <x:v>Historical Depth</x:v>
      </x:c>
      <x:c r="G3" s="447" t="str">
        <x:v>Trust Tier</x:v>
      </x:c>
      <x:c r="H3" s="447" t="str">
        <x:v>Training Use</x:v>
      </x:c>
      <x:c r="I3" s="447" t="str">
        <x:v>Live Use</x:v>
      </x:c>
      <x:c r="J3" s="447" t="str">
        <x:v>Status</x:v>
      </x:c>
      <x:c r="K3" s="447" t="str">
        <x:v>URL</x:v>
      </x:c>
    </x:row>
    <x:row r="4">
      <x:c r="A4" t="str">
        <x:v>SRC001</x:v>
      </x:c>
      <x:c r="B4" t="str">
        <x:v>MLS Official</x:v>
      </x:c>
      <x:c r="C4" t="str">
        <x:v>Ground truth</x:v>
      </x:c>
      <x:c r="D4" t="str">
        <x:v>Fixtures, availability, official league info</x:v>
      </x:c>
      <x:c r="E4" t="str">
        <x:v>Event/update</x:v>
      </x:c>
      <x:c r="F4" t="str">
        <x:v>Current/official archive</x:v>
      </x:c>
      <x:c r="G4" t="str">
        <x:v>A</x:v>
      </x:c>
      <x:c r="H4" t="str">
        <x:v>Yes for labels/context</x:v>
      </x:c>
      <x:c r="I4" t="str">
        <x:v>YES</x:v>
      </x:c>
      <x:c r="J4" t="str">
        <x:v>ACTIVE</x:v>
      </x:c>
      <x:c r="K4" t="str">
        <x:v>https://www.mlssoccer.com/news/mls-player-status-report-matchday-21-wednesday-august-19</x:v>
      </x:c>
    </x:row>
    <x:row r="5">
      <x:c r="A5" t="str">
        <x:v>SRC002</x:v>
      </x:c>
      <x:c r="B5" t="str">
        <x:v>The Odds API</x:v>
      </x:c>
      <x:c r="C5" t="str">
        <x:v>Market microstructure</x:v>
      </x:c>
      <x:c r="D5" t="str">
        <x:v>Bookmaker odds snapshots</x:v>
      </x:c>
      <x:c r="E5" t="str">
        <x:v>5 min historical snapshots since Sep 2022</x:v>
      </x:c>
      <x:c r="F5" t="str">
        <x:v>From Jun 2020; 5-min from Sep 2022</x:v>
      </x:c>
      <x:c r="G5" t="str">
        <x:v>A</x:v>
      </x:c>
      <x:c r="H5" t="str">
        <x:v>YES</x:v>
      </x:c>
      <x:c r="I5" t="str">
        <x:v>YES</x:v>
      </x:c>
      <x:c r="J5" t="str">
        <x:v>TARGET INTEGRATION</x:v>
      </x:c>
      <x:c r="K5" t="str">
        <x:v>https://the-odds-api.com/liveapi/guides/v4/</x:v>
      </x:c>
    </x:row>
    <x:row r="6">
      <x:c r="A6" t="str">
        <x:v>SRC003</x:v>
      </x:c>
      <x:c r="B6" t="str">
        <x:v>Sportmonks Football API</x:v>
      </x:c>
      <x:c r="C6" t="str">
        <x:v>Football state</x:v>
      </x:c>
      <x:c r="D6" t="str">
        <x:v>Fixtures, lineups, odds, advanced stats, xG</x:v>
      </x:c>
      <x:c r="E6" t="str">
        <x:v>API/live</x:v>
      </x:c>
      <x:c r="F6" t="str">
        <x:v>Provider coverage dependent</x:v>
      </x:c>
      <x:c r="G6" t="str">
        <x:v>A</x:v>
      </x:c>
      <x:c r="H6" t="str">
        <x:v>YES</x:v>
      </x:c>
      <x:c r="I6" t="str">
        <x:v>YES</x:v>
      </x:c>
      <x:c r="J6" t="str">
        <x:v>TARGET INTEGRATION</x:v>
      </x:c>
      <x:c r="K6" t="str">
        <x:v>https://docs.sportmonks.com/v3/welcome/getting-started</x:v>
      </x:c>
    </x:row>
    <x:row r="7">
      <x:c r="A7" t="str">
        <x:v>SRC004</x:v>
      </x:c>
      <x:c r="B7" t="str">
        <x:v>FOX Sports</x:v>
      </x:c>
      <x:c r="C7" t="str">
        <x:v>Reference market + match stats</x:v>
      </x:c>
      <x:c r="D7" t="str">
        <x:v>Odds, xG/game, goals/game, GA, shots, possession, chances</x:v>
      </x:c>
      <x:c r="E7" t="str">
        <x:v>Page refresh</x:v>
      </x:c>
      <x:c r="F7" t="str">
        <x:v>Current pages</x:v>
      </x:c>
      <x:c r="G7" t="str">
        <x:v>B</x:v>
      </x:c>
      <x:c r="H7" t="str">
        <x:v>NO as primary training feed</x:v>
      </x:c>
      <x:c r="I7" t="str">
        <x:v>YES</x:v>
      </x:c>
      <x:c r="J7" t="str">
        <x:v>ACTIVE REFERENCE</x:v>
      </x:c>
      <x:c r="K7" t="str">
        <x:v>https://www.foxsports.com/soccer/mls-sporting-kc-vs-saint-louis-city-sc-aug-19-2026-game-boxscore-647260?tab=boxscore</x:v>
      </x:c>
    </x:row>
    <x:row r="8">
      <x:c r="A8" t="str">
        <x:v>SRC005</x:v>
      </x:c>
      <x:c r="B8" t="str">
        <x:v>Footiqo</x:v>
      </x:c>
      <x:c r="C8" t="str">
        <x:v>Historical seed</x:v>
      </x:c>
      <x:c r="D8" t="str">
        <x:v>Closing O/U odds, results</x:v>
      </x:c>
      <x:c r="E8" t="str">
        <x:v>Closing</x:v>
      </x:c>
      <x:c r="F8" t="str">
        <x:v>Historical database</x:v>
      </x:c>
      <x:c r="G8" t="str">
        <x:v>B</x:v>
      </x:c>
      <x:c r="H8" t="str">
        <x:v>SEED / CROSS-CHECK</x:v>
      </x:c>
      <x:c r="I8" t="str">
        <x:v>NO</x:v>
      </x:c>
      <x:c r="J8" t="str">
        <x:v>ACTIVE SEED</x:v>
      </x:c>
      <x:c r="K8" t="str">
        <x:v>https://footiqo.com/database/leagues/usa-mls/</x:v>
      </x:c>
    </x:row>
    <x:row r="10">
      <x:c r="A10" t="str">
        <x:v>SRC006</x:v>
      </x:c>
      <x:c r="B10" t="str">
        <x:v>Sporting KC Official</x:v>
      </x:c>
      <x:c r="C10" t="str">
        <x:v>Fixture ground truth</x:v>
      </x:c>
      <x:c r="D10" t="str">
        <x:v>Official kickoff time</x:v>
      </x:c>
      <x:c r="E10" t="str">
        <x:v>Official</x:v>
      </x:c>
      <x:c r="F10" t="str">
        <x:v>Event archive</x:v>
      </x:c>
      <x:c r="G10" t="str">
        <x:v>A</x:v>
      </x:c>
      <x:c r="H10" t="str">
        <x:v>Labels/context</x:v>
      </x:c>
      <x:c r="I10" t="str">
        <x:v>YES</x:v>
      </x:c>
      <x:c r="J10" t="str">
        <x:v>ACTIVE</x:v>
      </x:c>
      <x:c r="K10" t="str">
        <x:v>https://www.sportingkc.com/news/preview-sporting-kc-hosts-rivals-st-louis-city-sc-on-wednesday-at-sporting-park</x:v>
      </x:c>
    </x:row>
    <x:row r="11">
      <x:c r="A11" t="str">
        <x:v>SRC007</x:v>
      </x:c>
      <x:c r="B11" t="str">
        <x:v>Eurosport Lineups</x:v>
      </x:c>
      <x:c r="C11" t="str">
        <x:v>Lineup cross-check</x:v>
      </x:c>
      <x:c r="D11" t="str">
        <x:v>Confirmed starting XI</x:v>
      </x:c>
      <x:c r="E11" t="str">
        <x:v>Event</x:v>
      </x:c>
      <x:c r="F11" t="str">
        <x:v>Current/archive</x:v>
      </x:c>
      <x:c r="G11" t="str">
        <x:v>B</x:v>
      </x:c>
      <x:c r="H11" t="str">
        <x:v>No primary training</x:v>
      </x:c>
      <x:c r="I11" t="str">
        <x:v>YES</x:v>
      </x:c>
      <x:c r="J11" t="str">
        <x:v>ACTIVE</x:v>
      </x:c>
      <x:c r="K11" t="str">
        <x:v>https://www.eurosport.nl/voetbal/mls/2026/live-sporting-kansas-city-st.-louis-city-sc_mtc1653994/live-lineup.shtml</x:v>
      </x:c>
    </x:row>
    <x:row r="12">
      <x:c r="A12" t="str">
        <x:v>SRC008</x:v>
      </x:c>
      <x:c r="B12" t="str">
        <x:v>FootyStats MLS 2026</x:v>
      </x:c>
      <x:c r="C12" t="str">
        <x:v>League prior</x:v>
      </x:c>
      <x:c r="D12" t="str">
        <x:v>908 goals / 284 matches; league totals</x:v>
      </x:c>
      <x:c r="E12" t="str">
        <x:v>Current crawl</x:v>
      </x:c>
      <x:c r="F12" t="str">
        <x:v>2026</x:v>
      </x:c>
      <x:c r="G12" t="str">
        <x:v>B</x:v>
      </x:c>
      <x:c r="H12" t="str">
        <x:v>Prior/backtest cross-check</x:v>
      </x:c>
      <x:c r="I12" t="str">
        <x:v>YES</x:v>
      </x:c>
      <x:c r="J12" t="str">
        <x:v>ACTIVE</x:v>
      </x:c>
      <x:c r="K12" t="str">
        <x:v>https://footystats.org/usa/mls</x:v>
      </x:c>
    </x:row>
    <x:row r="13">
      <x:c r="A13" t="str">
        <x:v>SRC009</x:v>
      </x:c>
      <x:c r="B13" t="str">
        <x:v>FootyStats Sporting KC</x:v>
      </x:c>
      <x:c r="C13" t="str">
        <x:v>Team memory</x:v>
      </x:c>
      <x:c r="D13" t="str">
        <x:v>19 matches; 18 GF; 48 GA; home 9 matches, 1.22 GF, 1.89 GA</x:v>
      </x:c>
      <x:c r="E13" t="str">
        <x:v>Current crawl</x:v>
      </x:c>
      <x:c r="F13" t="str">
        <x:v>2026</x:v>
      </x:c>
      <x:c r="G13" t="str">
        <x:v>B</x:v>
      </x:c>
      <x:c r="H13" t="str">
        <x:v>Historical feature source</x:v>
      </x:c>
      <x:c r="I13" t="str">
        <x:v>YES</x:v>
      </x:c>
      <x:c r="J13" t="str">
        <x:v>ACTIVE</x:v>
      </x:c>
      <x:c r="K13" t="str">
        <x:v>https://footystats.org/clubs/sporting-kansas-city-8</x:v>
      </x:c>
    </x:row>
    <x:row r="14">
      <x:c r="A14" t="str">
        <x:v>SRC010</x:v>
      </x:c>
      <x:c r="B14" t="str">
        <x:v>FootyStats St. Louis City</x:v>
      </x:c>
      <x:c r="C14" t="str">
        <x:v>Team memory</x:v>
      </x:c>
      <x:c r="D14" t="str">
        <x:v>19 matches; 27 GF; 25 GA; away 10 matches, 1.10 GF, 1.50 GA</x:v>
      </x:c>
      <x:c r="E14" t="str">
        <x:v>Current crawl</x:v>
      </x:c>
      <x:c r="F14" t="str">
        <x:v>2026</x:v>
      </x:c>
      <x:c r="G14" t="str">
        <x:v>B</x:v>
      </x:c>
      <x:c r="H14" t="str">
        <x:v>Historical feature source</x:v>
      </x:c>
      <x:c r="I14" t="str">
        <x:v>YES</x:v>
      </x:c>
      <x:c r="J14" t="str">
        <x:v>ACTIVE</x:v>
      </x:c>
      <x:c r="K14" t="str">
        <x:v>https://footystats.org/clubs/st-louis-city-sc-945555</x:v>
      </x:c>
    </x:row>
    <x:row r="15">
      <x:c r="A15" t="str">
        <x:v>SRC011</x:v>
      </x:c>
      <x:c r="B15" t="str">
        <x:v>FootyStats SKC chronology</x:v>
      </x:c>
      <x:c r="C15" t="str">
        <x:v>Exact team sequence</x:v>
      </x:c>
      <x:c r="D15" t="str">
        <x:v>19 completed pre-current MLS results</x:v>
      </x:c>
      <x:c r="E15" t="str">
        <x:v>Match-level</x:v>
      </x:c>
      <x:c r="F15" t="str">
        <x:v>2026 pre-current</x:v>
      </x:c>
      <x:c r="G15" t="str">
        <x:v>B</x:v>
      </x:c>
      <x:c r="H15" t="str">
        <x:v>Feature history</x:v>
      </x:c>
      <x:c r="I15" t="str">
        <x:v>YES</x:v>
      </x:c>
      <x:c r="J15" t="str">
        <x:v>ACTIVE</x:v>
      </x:c>
      <x:c r="K15" t="str">
        <x:v>https://footystats.org/clubs/sporting-kansas-city-8</x:v>
      </x:c>
    </x:row>
    <x:row r="16">
      <x:c r="A16" t="str">
        <x:v>SRC012</x:v>
      </x:c>
      <x:c r="B16" t="str">
        <x:v>FootyStats STL chronology</x:v>
      </x:c>
      <x:c r="C16" t="str">
        <x:v>Exact team sequence</x:v>
      </x:c>
      <x:c r="D16" t="str">
        <x:v>19 completed pre-current MLS results</x:v>
      </x:c>
      <x:c r="E16" t="str">
        <x:v>Match-level</x:v>
      </x:c>
      <x:c r="F16" t="str">
        <x:v>2026 pre-current</x:v>
      </x:c>
      <x:c r="G16" t="str">
        <x:v>B</x:v>
      </x:c>
      <x:c r="H16" t="str">
        <x:v>Feature history</x:v>
      </x:c>
      <x:c r="I16" t="str">
        <x:v>YES</x:v>
      </x:c>
      <x:c r="J16" t="str">
        <x:v>ACTIVE</x:v>
      </x:c>
      <x:c r="K16" t="str">
        <x:v>https://footystats.org/clubs/st-louis-city-sc-945555</x:v>
      </x:c>
    </x:row>
    <x:row r="17">
      <x:c r="A17" t="str">
        <x:v>SRC013</x:v>
      </x:c>
      <x:c r="B17" t="str">
        <x:v>ESPN + FOX live quorum</x:v>
      </x:c>
      <x:c r="C17" t="str">
        <x:v>Live observation</x:v>
      </x:c>
      <x:c r="D17" t="str">
        <x:v>0-0 @24' ESPN; FOX corroboration through 21'</x:v>
      </x:c>
      <x:c r="E17" t="str">
        <x:v>Event snapshot</x:v>
      </x:c>
      <x:c r="F17" t="str">
        <x:v>Current match</x:v>
      </x:c>
      <x:c r="G17" t="str">
        <x:v>A/B</x:v>
      </x:c>
      <x:c r="H17" t="str">
        <x:v>No pre-match training</x:v>
      </x:c>
      <x:c r="I17" t="str">
        <x:v>OBSERVATION</x:v>
      </x:c>
      <x:c r="J17" t="str">
        <x:v>ACTIVE</x:v>
      </x:c>
      <x:c r="K17" t="str">
        <x:v>https://www.espn.com/soccer/match/_/gameId/761732/st-louis-city-sc-sporting-kansas-city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11" hidden="0" customWidth="1"/>
    <x:col min="4" max="4" width="12" hidden="0" customWidth="1"/>
    <x:col min="5" max="5" width="18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  <x:col min="11" max="11" width="34" hidden="0" customWidth="1"/>
    <x:col min="12" max="12" width="34" hidden="0" customWidth="1"/>
  </x:cols>
  <x:sheetData>
    <x:row r="1">
      <x:c r="A1" s="448" t="str">
        <x:v>v0.3.0 — GROUNDED FEATURE STORE (CURRENT MATCH)</x:v>
      </x:c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  <x:c r="L1" s="448"/>
    </x:row>
    <x:row r="3">
      <x:c r="A3" s="447" t="str">
        <x:v>Feature</x:v>
      </x:c>
      <x:c r="B3" s="447" t="str">
        <x:v>SKC</x:v>
      </x:c>
      <x:c r="C3" s="447" t="str">
        <x:v>STL</x:v>
      </x:c>
      <x:c r="D3" s="447" t="str">
        <x:v>Unit</x:v>
      </x:c>
      <x:c r="E3" s="447" t="str">
        <x:v>Source</x:v>
      </x:c>
      <x:c r="F3" s="447" t="str">
        <x:v>Timestamp EAT</x:v>
      </x:c>
      <x:c r="G3" s="447" t="str">
        <x:v>Pre-kick?</x:v>
      </x:c>
      <x:c r="H3" s="447" t="str">
        <x:v>Quality</x:v>
      </x:c>
      <x:c r="I3" s="447" t="str">
        <x:v>Model Weight Now</x:v>
      </x:c>
      <x:c r="J3" s="447" t="str">
        <x:v>Activation Gate</x:v>
      </x:c>
      <x:c r="K3" s="447" t="str">
        <x:v>Derived Meaning</x:v>
      </x:c>
      <x:c r="L3" s="447" t="str">
        <x:v>Notes</x:v>
      </x:c>
    </x:row>
    <x:row r="4">
      <x:c r="A4" t="str">
        <x:v>Goals/Game</x:v>
      </x:c>
      <x:c r="B4" s="449" t="n">
        <x:v>0.9</x:v>
      </x:c>
      <x:c r="C4" s="449" t="n">
        <x:v>1.4</x:v>
      </x:c>
      <x:c r="D4" t="str">
        <x:v>goals</x:v>
      </x:c>
      <x:c r="E4" t="str">
        <x:v>FOX Sports</x:v>
      </x:c>
      <x:c r="F4" t="str">
        <x:v>2026-08-20 03:13</x:v>
      </x:c>
      <x:c r="G4" t="str">
        <x:v>YES</x:v>
      </x:c>
      <x:c r="H4" t="str">
        <x:v>GROUNDED</x:v>
      </x:c>
      <x:c r="I4" s="171" t="n">
        <x:v>0</x:v>
      </x:c>
      <x:c r="J4" t="str">
        <x:v>Calibrate historically</x:v>
      </x:c>
      <x:c r="K4" t="str">
        <x:v>Observed scoring output</x:v>
      </x:c>
      <x:c r="L4" t="str">
        <x:v>Descriptive until learned weight</x:v>
      </x:c>
    </x:row>
    <x:row r="5">
      <x:c r="A5" t="str">
        <x:v>xG/Game</x:v>
      </x:c>
      <x:c r="B5" s="449" t="n">
        <x:v>0.6</x:v>
      </x:c>
      <x:c r="C5" s="449" t="n">
        <x:v>1</x:v>
      </x:c>
      <x:c r="D5" t="str">
        <x:v>xG</x:v>
      </x:c>
      <x:c r="E5" t="str">
        <x:v>FOX Sports</x:v>
      </x:c>
      <x:c r="F5" t="str">
        <x:v>2026-08-20 03:13</x:v>
      </x:c>
      <x:c r="G5" t="str">
        <x:v>YES</x:v>
      </x:c>
      <x:c r="H5" t="str">
        <x:v>GROUNDED</x:v>
      </x:c>
      <x:c r="I5" s="171" t="n">
        <x:v>0</x:v>
      </x:c>
      <x:c r="J5" t="str">
        <x:v>Backfill xG history</x:v>
      </x:c>
      <x:c r="K5" t="str">
        <x:v>Chance quality</x:v>
      </x:c>
      <x:c r="L5" t="str">
        <x:v>Zero direct weight until same-source history exists</x:v>
      </x:c>
    </x:row>
    <x:row r="6">
      <x:c r="A6" t="str">
        <x:v>Goals Against/Game</x:v>
      </x:c>
      <x:c r="B6" s="449" t="n">
        <x:v>2.5</x:v>
      </x:c>
      <x:c r="C6" s="449" t="n">
        <x:v>1.3</x:v>
      </x:c>
      <x:c r="D6" t="str">
        <x:v>goals</x:v>
      </x:c>
      <x:c r="E6" t="str">
        <x:v>FOX Sports</x:v>
      </x:c>
      <x:c r="F6" t="str">
        <x:v>2026-08-20 03:13</x:v>
      </x:c>
      <x:c r="G6" t="str">
        <x:v>YES</x:v>
      </x:c>
      <x:c r="H6" t="str">
        <x:v>GROUNDED</x:v>
      </x:c>
      <x:c r="I6" s="171" t="n">
        <x:v>0</x:v>
      </x:c>
      <x:c r="J6" t="str">
        <x:v>Calibrate historically</x:v>
      </x:c>
      <x:c r="K6" t="str">
        <x:v>Defensive vulnerability</x:v>
      </x:c>
      <x:c r="L6" t="str">
        <x:v>Descriptive</x:v>
      </x:c>
    </x:row>
    <x:row r="7">
      <x:c r="A7" t="str">
        <x:v>Shots/Game</x:v>
      </x:c>
      <x:c r="B7" s="449" t="n">
        <x:v>7.1</x:v>
      </x:c>
      <x:c r="C7" s="449" t="n">
        <x:v>10.4</x:v>
      </x:c>
      <x:c r="D7" t="str">
        <x:v>shots</x:v>
      </x:c>
      <x:c r="E7" t="str">
        <x:v>FOX Sports</x:v>
      </x:c>
      <x:c r="F7" t="str">
        <x:v>2026-08-20 03:13</x:v>
      </x:c>
      <x:c r="G7" t="str">
        <x:v>YES</x:v>
      </x:c>
      <x:c r="H7" t="str">
        <x:v>GROUNDED</x:v>
      </x:c>
      <x:c r="I7" s="171" t="n">
        <x:v>0</x:v>
      </x:c>
      <x:c r="J7" t="str">
        <x:v>Backfill shot history</x:v>
      </x:c>
      <x:c r="K7" t="str">
        <x:v>Attack volume</x:v>
      </x:c>
      <x:c r="L7" t="str">
        <x:v>Descriptive</x:v>
      </x:c>
    </x:row>
    <x:row r="8">
      <x:c r="A8" t="str">
        <x:v>Possession</x:v>
      </x:c>
      <x:c r="B8" s="171" t="n">
        <x:v>0.47</x:v>
      </x:c>
      <x:c r="C8" s="171" t="n">
        <x:v>0.56</x:v>
      </x:c>
      <x:c r="D8" t="str">
        <x:v>%</x:v>
      </x:c>
      <x:c r="E8" t="str">
        <x:v>FOX Sports</x:v>
      </x:c>
      <x:c r="F8" t="str">
        <x:v>2026-08-20 03:13</x:v>
      </x:c>
      <x:c r="G8" t="str">
        <x:v>YES</x:v>
      </x:c>
      <x:c r="H8" t="str">
        <x:v>GROUNDED</x:v>
      </x:c>
      <x:c r="I8" s="171" t="n">
        <x:v>0</x:v>
      </x:c>
      <x:c r="J8" t="str">
        <x:v>Learn relationship to total goals</x:v>
      </x:c>
      <x:c r="K8" t="str">
        <x:v>Game-control proxy</x:v>
      </x:c>
      <x:c r="L8" t="str">
        <x:v>Descriptive</x:v>
      </x:c>
    </x:row>
    <x:row r="9">
      <x:c r="A9" t="str">
        <x:v>Chances Created/Game</x:v>
      </x:c>
      <x:c r="B9" s="449" t="n">
        <x:v>4.7</x:v>
      </x:c>
      <x:c r="C9" s="449" t="n">
        <x:v>7.1</x:v>
      </x:c>
      <x:c r="D9" t="str">
        <x:v>chances</x:v>
      </x:c>
      <x:c r="E9" t="str">
        <x:v>FOX Sports</x:v>
      </x:c>
      <x:c r="F9" t="str">
        <x:v>2026-08-20 03:13</x:v>
      </x:c>
      <x:c r="G9" t="str">
        <x:v>YES</x:v>
      </x:c>
      <x:c r="H9" t="str">
        <x:v>GROUNDED</x:v>
      </x:c>
      <x:c r="I9" s="171" t="n">
        <x:v>0</x:v>
      </x:c>
      <x:c r="J9" t="str">
        <x:v>Historical feature importance</x:v>
      </x:c>
      <x:c r="K9" t="str">
        <x:v>Chance volume</x:v>
      </x:c>
      <x:c r="L9" t="str">
        <x:v>Descriptive</x:v>
      </x:c>
    </x:row>
    <x:row r="10">
      <x:c r="A10" t="str">
        <x:v>Availability Out</x:v>
      </x:c>
      <x:c r="B10" t="n">
        <x:v>3</x:v>
      </x:c>
      <x:c r="C10" t="n">
        <x:v>3</x:v>
      </x:c>
      <x:c r="D10" t="str">
        <x:v>players</x:v>
      </x:c>
      <x:c r="E10" t="str">
        <x:v>MLS Official</x:v>
      </x:c>
      <x:c r="F10" t="str">
        <x:v>2026-08-20 03:13</x:v>
      </x:c>
      <x:c r="G10" t="str">
        <x:v>YES</x:v>
      </x:c>
      <x:c r="H10" t="str">
        <x:v>OFFICIAL</x:v>
      </x:c>
      <x:c r="I10" s="171" t="n">
        <x:v>0</x:v>
      </x:c>
      <x:c r="J10" t="str">
        <x:v>Player impact model</x:v>
      </x:c>
      <x:c r="K10" t="str">
        <x:v>Squad availability</x:v>
      </x:c>
      <x:c r="L10" t="str">
        <x:v>Do not count all absences equally</x:v>
      </x:c>
    </x:row>
    <x:row r="13">
      <x:c r="A13" s="453" t="str">
        <x:v>Derived Feature</x:v>
      </x:c>
      <x:c r="B13" s="453" t="str">
        <x:v>Value</x:v>
      </x:c>
      <x:c r="C13" s="453" t="str">
        <x:v>Rule</x:v>
      </x:c>
      <x:c r="D13" s="453" t="str">
        <x:v>Use Now?</x:v>
      </x:c>
      <x:c r="E13" s="453" t="str">
        <x:v>Risk</x:v>
      </x:c>
      <x:c r="F13" s="453" t="str">
        <x:v>Interpretation</x:v>
      </x:c>
    </x:row>
    <x:row r="14">
      <x:c r="A14" s="15" t="str">
        <x:v>SKC Goals/xG</x:v>
      </x:c>
      <x:c r="B14" s="90" t="n">
        <x:f>B4/B5</x:f>
        <x:v>1.5</x:v>
      </x:c>
      <x:c r="C14" s="15" t="str">
        <x:v>Goals ÷ xG</x:v>
      </x:c>
      <x:c r="D14" s="15" t="str">
        <x:v>NO</x:v>
      </x:c>
      <x:c r="E14" s="15" t="str">
        <x:v>Regression noise</x:v>
      </x:c>
      <x:c r="F14" s="15" t="str">
        <x:v>Scoring above xG</x:v>
      </x:c>
    </x:row>
    <x:row r="15">
      <x:c r="A15" s="15" t="str">
        <x:v>STL Goals/xG</x:v>
      </x:c>
      <x:c r="B15" s="90" t="n">
        <x:f>C4/C5</x:f>
        <x:v>1.4</x:v>
      </x:c>
      <x:c r="C15" s="15" t="str">
        <x:v>Goals ÷ xG</x:v>
      </x:c>
      <x:c r="D15" s="15" t="str">
        <x:v>NO</x:v>
      </x:c>
      <x:c r="E15" s="15" t="str">
        <x:v>Regression noise</x:v>
      </x:c>
      <x:c r="F15" s="15" t="str">
        <x:v>Scoring above xG</x:v>
      </x:c>
    </x:row>
    <x:row r="16">
      <x:c r="A16" s="15" t="str">
        <x:v>STL shot-volume advantage</x:v>
      </x:c>
      <x:c r="B16" s="90" t="n">
        <x:f>C7-B7</x:f>
        <x:v>3.3000000000000007</x:v>
      </x:c>
      <x:c r="C16" s="15" t="str">
        <x:v>STL shots - SKC shots</x:v>
      </x:c>
      <x:c r="D16" s="15" t="str">
        <x:v>NO</x:v>
      </x:c>
      <x:c r="E16" s="15" t="str">
        <x:v>Context dependent</x:v>
      </x:c>
      <x:c r="F16" s="15" t="str">
        <x:v>Attack-volume difference</x:v>
      </x:c>
    </x:row>
    <x:row r="17">
      <x:c r="A17" s="15" t="str">
        <x:v>STL chance-volume advantage</x:v>
      </x:c>
      <x:c r="B17" s="90" t="n">
        <x:f>C9-B9</x:f>
        <x:v>2.3999999999999995</x:v>
      </x:c>
      <x:c r="C17" s="15" t="str">
        <x:v>STL chances - SKC chances</x:v>
      </x:c>
      <x:c r="D17" s="15" t="str">
        <x:v>NO</x:v>
      </x:c>
      <x:c r="E17" s="15" t="str">
        <x:v>Context dependent</x:v>
      </x:c>
      <x:c r="F17" s="15" t="str">
        <x:v>Chance creation difference</x:v>
      </x:c>
    </x:row>
    <x:row r="18">
      <x:c r="A18" s="15" t="str">
        <x:v>Combined raw goals rate</x:v>
      </x:c>
      <x:c r="B18" s="90" t="n">
        <x:f>B4+C4</x:f>
        <x:v>2.3</x:v>
      </x:c>
      <x:c r="C18" s="15" t="str">
        <x:v>SKC GF + STL GF</x:v>
      </x:c>
      <x:c r="D18" s="15" t="str">
        <x:v>NO</x:v>
      </x:c>
      <x:c r="E18" s="15" t="str">
        <x:v>Ignores opponent defense</x:v>
      </x:c>
      <x:c r="F18" s="15" t="str">
        <x:v>Descriptive only</x:v>
      </x:c>
    </x:row>
    <x:row r="19">
      <x:c r="A19" s="15" t="str">
        <x:v>Combined raw GA rate</x:v>
      </x:c>
      <x:c r="B19" s="90" t="n">
        <x:f>B6+C6</x:f>
        <x:v>3.8</x:v>
      </x:c>
      <x:c r="C19" s="15" t="str">
        <x:v>SKC GA + STL GA</x:v>
      </x:c>
      <x:c r="D19" s="15" t="str">
        <x:v>NO</x:v>
      </x:c>
      <x:c r="E19" s="15" t="str">
        <x:v>Ignores venue/context</x:v>
      </x:c>
      <x:c r="F19" s="15" t="str">
        <x:v>Descriptive only</x:v>
      </x:c>
    </x:row>
  </x:sheetData>
  <x:mergeCells>
    <x:mergeCell ref="A1:L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16" hidden="0" customWidth="1"/>
    <x:col min="5" max="5" width="17" hidden="0" customWidth="1"/>
    <x:col min="6" max="6" width="17" hidden="0" customWidth="1"/>
    <x:col min="7" max="7" width="34" hidden="0" customWidth="1"/>
    <x:col min="8" max="8" width="34" hidden="0" customWidth="1"/>
    <x:col min="9" max="9" width="16" hidden="0" customWidth="1"/>
    <x:col min="10" max="10" width="34" hidden="0" customWidth="1"/>
    <x:col min="11" max="11" width="34" hidden="0" customWidth="1"/>
  </x:cols>
  <x:sheetData>
    <x:row r="1">
      <x:c r="A1" s="448" t="str">
        <x:v>v0.3.0 — MODEL REGISTRY &amp; ENSEMBLE CONTROL</x:v>
      </x:c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</x:row>
    <x:row r="3">
      <x:c r="A3" s="447" t="str">
        <x:v>Model_ID</x:v>
      </x:c>
      <x:c r="B3" s="447" t="str">
        <x:v>Model</x:v>
      </x:c>
      <x:c r="C3" s="447" t="str">
        <x:v>Purpose</x:v>
      </x:c>
      <x:c r="D3" s="447" t="str">
        <x:v>Current P(U3.5)</x:v>
      </x:c>
      <x:c r="E3" s="447" t="str">
        <x:v>Reliability State</x:v>
      </x:c>
      <x:c r="F3" s="447" t="str">
        <x:v>Current Weight</x:v>
      </x:c>
      <x:c r="G3" s="447" t="str">
        <x:v>Activation Gate</x:v>
      </x:c>
      <x:c r="H3" s="447" t="str">
        <x:v>Training Requirement</x:v>
      </x:c>
      <x:c r="I3" s="447" t="str">
        <x:v>Status</x:v>
      </x:c>
      <x:c r="J3" s="447" t="str">
        <x:v>Failure Mode</x:v>
      </x:c>
      <x:c r="K3" s="447" t="str">
        <x:v>Notes</x:v>
      </x:c>
    </x:row>
    <x:row r="4">
      <x:c r="A4" t="str">
        <x:v>M001</x:v>
      </x:c>
      <x:c r="B4" t="str">
        <x:v>Football-State Poisson</x:v>
      </x:c>
      <x:c r="C4" t="str">
        <x:v>Goals/xG/team-state probability</x:v>
      </x:c>
      <x:c r="D4" s="32" t="n">
        <x:v>0.6425271257</x:v>
      </x:c>
      <x:c r="E4" t="str">
        <x:v>UNVALIDATED</x:v>
      </x:c>
      <x:c r="F4" s="171" t="n">
        <x:v>0.35</x:v>
      </x:c>
      <x:c r="G4" t="str">
        <x:v>&gt;=30 independent qualifiers + calibration</x:v>
      </x:c>
      <x:c r="H4" t="str">
        <x:v>Chronological pre-match features</x:v>
      </x:c>
      <x:c r="I4" t="str">
        <x:v>ACTIVE-LIMITED</x:v>
      </x:c>
      <x:c r="J4" t="str">
        <x:v>Overfit / stale form</x:v>
      </x:c>
      <x:c r="K4" t="str">
        <x:v>Weight capped until validated</x:v>
      </x:c>
    </x:row>
    <x:row r="5">
      <x:c r="A5" t="str">
        <x:v>M002</x:v>
      </x:c>
      <x:c r="B5" t="str">
        <x:v>Market-Implied Poisson</x:v>
      </x:c>
      <x:c r="C5" t="str">
        <x:v>Convert de-vig O/U market to latent total λ</x:v>
      </x:c>
      <x:c r="D5" s="32"/>
      <x:c r="E5" t="str">
        <x:v>MARKET BASELINE</x:v>
      </x:c>
      <x:c r="F5" s="171" t="n">
        <x:v>0.65</x:v>
      </x:c>
      <x:c r="G5" t="str">
        <x:v>Paired same-book odds</x:v>
      </x:c>
      <x:c r="H5" t="str">
        <x:v>Timestamped odds</x:v>
      </x:c>
      <x:c r="I5" t="str">
        <x:v>ACTIVE</x:v>
      </x:c>
      <x:c r="J5" t="str">
        <x:v>Market bias / bookmaker margin</x:v>
      </x:c>
      <x:c r="K5" t="str">
        <x:v>Primary stabilizer while M001 immature</x:v>
      </x:c>
    </x:row>
    <x:row r="6">
      <x:c r="A6" t="str">
        <x:v>M003</x:v>
      </x:c>
      <x:c r="B6" t="str">
        <x:v>xG State-Space</x:v>
      </x:c>
      <x:c r="C6" t="str">
        <x:v>Latent attack/defense strength from xG/xGA</x:v>
      </x:c>
      <x:c r="D6" s="32"/>
      <x:c r="E6" t="str">
        <x:v>NOT TRAINED</x:v>
      </x:c>
      <x:c r="F6" s="171" t="n">
        <x:v>0</x:v>
      </x:c>
      <x:c r="G6" t="str">
        <x:v>Same-source historical xG</x:v>
      </x:c>
      <x:c r="H6" t="str">
        <x:v>100+ matches preferred</x:v>
      </x:c>
      <x:c r="I6" t="str">
        <x:v>OFF</x:v>
      </x:c>
      <x:c r="J6" t="str">
        <x:v>Provider inconsistency</x:v>
      </x:c>
      <x:c r="K6" t="str">
        <x:v>Future core model</x:v>
      </x:c>
    </x:row>
    <x:row r="7">
      <x:c r="A7" t="str">
        <x:v>M004</x:v>
      </x:c>
      <x:c r="B7" t="str">
        <x:v>Lineup Player Impact</x:v>
      </x:c>
      <x:c r="C7" t="str">
        <x:v>Player-specific attack/defense deltas</x:v>
      </x:c>
      <x:c r="D7" s="32"/>
      <x:c r="E7" t="str">
        <x:v>NOT TRAINED</x:v>
      </x:c>
      <x:c r="F7" s="171" t="n">
        <x:v>0</x:v>
      </x:c>
      <x:c r="G7" t="str">
        <x:v>Player minutes + xG/xA + absences</x:v>
      </x:c>
      <x:c r="H7" t="str">
        <x:v>Large player history</x:v>
      </x:c>
      <x:c r="I7" t="str">
        <x:v>OFF</x:v>
      </x:c>
      <x:c r="J7" t="str">
        <x:v>Equal-weight absence fallacy</x:v>
      </x:c>
      <x:c r="K7" t="str">
        <x:v>Future</x:v>
      </x:c>
    </x:row>
    <x:row r="8">
      <x:c r="A8" t="str">
        <x:v>M005</x:v>
      </x:c>
      <x:c r="B8" t="str">
        <x:v>Schedule/Travel/Fatigue</x:v>
      </x:c>
      <x:c r="C8" t="str">
        <x:v>Rest/travel/time-zone effects</x:v>
      </x:c>
      <x:c r="D8" s="32"/>
      <x:c r="E8" t="str">
        <x:v>NOT TRAINED</x:v>
      </x:c>
      <x:c r="F8" s="171" t="n">
        <x:v>0</x:v>
      </x:c>
      <x:c r="G8" t="str">
        <x:v>Historical travel/rest features</x:v>
      </x:c>
      <x:c r="H8" t="str">
        <x:v>Multi-season</x:v>
      </x:c>
      <x:c r="I8" t="str">
        <x:v>OFF</x:v>
      </x:c>
      <x:c r="J8" t="str">
        <x:v>Confounding</x:v>
      </x:c>
      <x:c r="K8" t="str">
        <x:v>Future</x:v>
      </x:c>
    </x:row>
    <x:row r="9">
      <x:c r="A9" t="str">
        <x:v>M006</x:v>
      </x:c>
      <x:c r="B9" t="str">
        <x:v>Market Microstructure</x:v>
      </x:c>
      <x:c r="C9" t="str">
        <x:v>Line movement, dispersion, sharp-vs-public signals</x:v>
      </x:c>
      <x:c r="D9" s="32"/>
      <x:c r="E9" t="str">
        <x:v>NOT TRAINED</x:v>
      </x:c>
      <x:c r="F9" s="171" t="n">
        <x:v>0</x:v>
      </x:c>
      <x:c r="G9" t="str">
        <x:v>5-min bookmaker snapshots</x:v>
      </x:c>
      <x:c r="H9" t="str">
        <x:v>Historical odds snapshots</x:v>
      </x:c>
      <x:c r="I9" t="str">
        <x:v>OFF</x:v>
      </x:c>
      <x:c r="J9" t="str">
        <x:v>False sharp-money inference</x:v>
      </x:c>
      <x:c r="K9" t="str">
        <x:v>Future</x:v>
      </x:c>
    </x:row>
    <x:row r="10">
      <x:c r="A10" t="str">
        <x:v>M007</x:v>
      </x:c>
      <x:c r="B10" t="str">
        <x:v>Similarity Retrieval</x:v>
      </x:c>
      <x:c r="C10" t="str">
        <x:v>Nearest historical match states</x:v>
      </x:c>
      <x:c r="D10" s="32"/>
      <x:c r="E10" t="str">
        <x:v>NOT TRAINED</x:v>
      </x:c>
      <x:c r="F10" s="171" t="n">
        <x:v>0</x:v>
      </x:c>
      <x:c r="G10" t="str">
        <x:v>Normalized feature store</x:v>
      </x:c>
      <x:c r="H10" t="str">
        <x:v>1000+ matches</x:v>
      </x:c>
      <x:c r="I10" t="str">
        <x:v>OFF</x:v>
      </x:c>
      <x:c r="J10" t="str">
        <x:v>Curse of dimensionality</x:v>
      </x:c>
      <x:c r="K10" t="str">
        <x:v>Future</x:v>
      </x:c>
    </x:row>
    <x:row r="11">
      <x:c r="A11" t="str">
        <x:v>M011</x:v>
      </x:c>
      <x:c r="B11" t="str">
        <x:v>Bayesian Team Memory</x:v>
      </x:c>
      <x:c r="C11" t="str">
        <x:v>Hierarchical attack/defense latent-rate memory</x:v>
      </x:c>
      <x:c r="D11" s="32" t="n">
        <x:f>'Dynamic_Strength_v0.4.1'!I5</x:f>
        <x:v>0.7352050952475568</x:v>
      </x:c>
      <x:c r="E11" t="str">
        <x:v>WALK-FORWARD FAIL vs MARKET</x:v>
      </x:c>
      <x:c r="F11" s="171" t="n">
        <x:v>0</x:v>
      </x:c>
      <x:c r="G11" t="str">
        <x:v>Chronological walk-forward + calibrated uncertainty</x:v>
      </x:c>
      <x:c r="H11" t="str">
        <x:v>Match-by-match GF/GA; later xG</x:v>
      </x:c>
      <x:c r="I11" t="str">
        <x:v>DIAGNOSTIC</x:v>
      </x:c>
      <x:c r="J11" t="str">
        <x:v>Small-sample/context overreaction</x:v>
      </x:c>
      <x:c r="K11" t="str">
        <x:v>v0.4.2: current chronological seed scores slightly worse than market; no promotion.</x:v>
      </x:c>
    </x:row>
    <x:row r="12">
      <x:c r="A12" t="str">
        <x:v>M012</x:v>
      </x:c>
      <x:c r="B12" t="str">
        <x:v>Exponential Recency Memory</x:v>
      </x:c>
      <x:c r="C12" t="str">
        <x:v>Time-decayed attack/defense state from exact team sequence</x:v>
      </x:c>
      <x:c r="D12" s="32" t="n">
        <x:f>MAX('Decay_Memory_v0.4.3'!M4:M8)</x:f>
        <x:v>0.6133175542982181</x:v>
      </x:c>
      <x:c r="E12" t="str">
        <x:v>UNVALIDATED</x:v>
      </x:c>
      <x:c r="F12" s="171" t="n">
        <x:v>0</x:v>
      </x:c>
      <x:c r="G12" t="str">
        <x:v>Walk-forward half-life selection + OOS market benchmark</x:v>
      </x:c>
      <x:c r="H12" t="str">
        <x:v>Chronological team match sequences</x:v>
      </x:c>
      <x:c r="I12" t="str">
        <x:v>DIAGNOSTIC</x:v>
      </x:c>
      <x:c r="J12" t="str">
        <x:v>Half-life overfit / opponent confounding</x:v>
      </x:c>
      <x:c r="K12" t="str">
        <x:v>v0.4.3 sensitivity 3–20 matches; no decision weight</x:v>
      </x:c>
    </x:row>
    <x:row r="13">
      <x:c r="A13" s="457" t="str">
        <x:v>MARKET MODEL INPUT</x:v>
      </x:c>
      <x:c r="B13" s="457" t="str">
        <x:v>Value</x:v>
      </x:c>
      <x:c r="C13" s="457" t="str">
        <x:v>Formula</x:v>
      </x:c>
      <x:c r="D13" s="457" t="str">
        <x:v>Meaning</x:v>
      </x:c>
      <x:c r="E13" s="457" t="str">
        <x:v>Source</x:v>
      </x:c>
      <x:c r="F13" s="457" t="str">
        <x:v>Status</x:v>
      </x:c>
    </x:row>
    <x:row r="14">
      <x:c r="A14" s="15" t="str">
        <x:v>FOX O2.5 decimal</x:v>
      </x:c>
      <x:c r="B14" s="15" t="n">
        <x:v>1.5405405405405406</x:v>
      </x:c>
      <x:c r="C14" s="15" t="str">
        <x:v>-185 → decimal</x:v>
      </x:c>
      <x:c r="D14" s="15" t="str">
        <x:v>Same-book Over price</x:v>
      </x:c>
      <x:c r="E14" s="15" t="str">
        <x:v>FOX</x:v>
      </x:c>
      <x:c r="F14" s="15" t="str">
        <x:v>PASS</x:v>
      </x:c>
    </x:row>
    <x:row r="15">
      <x:c r="A15" s="15" t="str">
        <x:v>FOX U2.5 decimal</x:v>
      </x:c>
      <x:c r="B15" s="15" t="n">
        <x:v>2.4</x:v>
      </x:c>
      <x:c r="C15" s="15" t="str">
        <x:v>+140 → decimal</x:v>
      </x:c>
      <x:c r="D15" s="15" t="str">
        <x:v>Same-book Under price</x:v>
      </x:c>
      <x:c r="E15" s="15" t="str">
        <x:v>FOX</x:v>
      </x:c>
      <x:c r="F15" s="15" t="str">
        <x:v>PASS</x:v>
      </x:c>
    </x:row>
    <x:row r="16">
      <x:c r="A16" s="15" t="str">
        <x:v>Fair P Over2.5</x:v>
      </x:c>
      <x:c r="B16" s="125" t="n">
        <x:f>(1/B14)/((1/B14)+(1/B15))</x:f>
        <x:v>0.6090534979423868</x:v>
      </x:c>
      <x:c r="C16" s="15" t="str">
        <x:v>de-vig paired line</x:v>
      </x:c>
      <x:c r="D16" s="15" t="str">
        <x:v>Market probability</x:v>
      </x:c>
      <x:c r="E16" s="15" t="str">
        <x:v>FOX</x:v>
      </x:c>
      <x:c r="F16" s="15" t="str"/>
    </x:row>
    <x:row r="17">
      <x:c r="A17" s="15" t="str">
        <x:v>Market-implied λ</x:v>
      </x:c>
      <x:c r="B17" s="15" t="n">
        <x:v>3.1476018922</x:v>
      </x:c>
      <x:c r="C17" s="15" t="str">
        <x:v>Solve Poisson P(Total&gt;=3)=fair P</x:v>
      </x:c>
      <x:c r="D17" s="15" t="str">
        <x:v>Latent expected total goals</x:v>
      </x:c>
      <x:c r="E17" s="15" t="str">
        <x:v>Derived</x:v>
      </x:c>
      <x:c r="F17" s="15" t="str"/>
    </x:row>
    <x:row r="18">
      <x:c r="A18" s="15" t="str">
        <x:v>Market P Under3.5</x:v>
      </x:c>
      <x:c r="B18" s="125" t="n">
        <x:f>EXP(-B17)*(1+B17+(B17^2)/2+(B17^3)/6)</x:f>
        <x:v>0.6142019213617994</x:v>
      </x:c>
      <x:c r="C18" s="15" t="str">
        <x:v>Poisson CDF at 3</x:v>
      </x:c>
      <x:c r="D18" s="15" t="str">
        <x:v>Market-model probability</x:v>
      </x:c>
      <x:c r="E18" s="15" t="str">
        <x:v>Derived</x:v>
      </x:c>
      <x:c r="F18" s="15" t="str"/>
    </x:row>
    <x:row r="19">
      <x:c r="A19" s="15" t="str">
        <x:v>Football-model λ</x:v>
      </x:c>
      <x:c r="B19" s="15" t="n">
        <x:v>3.021</x:v>
      </x:c>
      <x:c r="C19" s="15" t="str">
        <x:v>Frozen v0.1.6</x:v>
      </x:c>
      <x:c r="D19" s="15" t="str">
        <x:v>Football state</x:v>
      </x:c>
      <x:c r="E19" s="15" t="str">
        <x:v>Internal</x:v>
      </x:c>
      <x:c r="F19" s="15" t="str"/>
    </x:row>
    <x:row r="20">
      <x:c r="A20" s="15" t="str">
        <x:v>Football P Under3.5</x:v>
      </x:c>
      <x:c r="B20" s="125" t="n">
        <x:v>0.6425271257</x:v>
      </x:c>
      <x:c r="C20" s="15" t="str">
        <x:v>Frozen</x:v>
      </x:c>
      <x:c r="D20" s="15" t="str">
        <x:v>Football model</x:v>
      </x:c>
      <x:c r="E20" s="15" t="str">
        <x:v>Internal</x:v>
      </x:c>
      <x:c r="F20" s="15" t="str"/>
    </x:row>
    <x:row r="21">
      <x:c r="A21" s="15" t="str">
        <x:v>Ensemble P Under3.5</x:v>
      </x:c>
      <x:c r="B21" s="125" t="n">
        <x:f>$F$4*$D$4+$F$5*B18</x:f>
        <x:v>0.6241157428801696</x:v>
      </x:c>
      <x:c r="C21" s="15" t="str">
        <x:v>weighted M001+M002</x:v>
      </x:c>
      <x:c r="D21" s="15" t="str">
        <x:v>Current meta-model</x:v>
      </x:c>
      <x:c r="E21" s="15" t="str">
        <x:v>Derived</x:v>
      </x:c>
      <x:c r="F21" s="15" t="str"/>
    </x:row>
    <x:row r="22">
      <x:c r="A22" s="15" t="str">
        <x:v>Model disagreement</x:v>
      </x:c>
      <x:c r="B22" s="125" t="n">
        <x:f>ABS($D$4-B18)</x:f>
        <x:v>0.028325204338200627</x:v>
      </x:c>
      <x:c r="C22" s="15" t="str">
        <x:v>|M001-M002|</x:v>
      </x:c>
      <x:c r="D22" s="15" t="str">
        <x:v>Uncertainty signal</x:v>
      </x:c>
      <x:c r="E22" s="15" t="str">
        <x:v>Derived</x:v>
      </x:c>
      <x:c r="F22" s="15" t="str"/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34" hidden="0" customWidth="1"/>
    <x:col min="7" max="7" width="34" hidden="0" customWidth="1"/>
    <x:col min="8" max="8" width="26" hidden="0" customWidth="1"/>
    <x:col min="9" max="9" width="24" hidden="0" customWidth="1"/>
    <x:col min="10" max="10" width="24" hidden="0" customWidth="1"/>
    <x:col min="12" max="12" width="25" hidden="0" customWidth="1"/>
    <x:col min="13" max="13" width="20" hidden="0" customWidth="1"/>
    <x:col min="14" max="14" width="20" hidden="0" customWidth="1"/>
    <x:col min="15" max="15" width="14" hidden="0" customWidth="1"/>
    <x:col min="16" max="16" width="34" hidden="0" customWidth="1"/>
    <x:col min="17" max="17" width="34" hidden="0" customWidth="1"/>
  </x:cols>
  <x:sheetData>
    <x:row r="1">
      <x:c r="A1" s="448" t="str">
        <x:v>v0.3.0 — CALIBRATION, UNCERTAINTY &amp; DRIFT MONITOR</x:v>
      </x:c>
      <x:c r="B1" s="448"/>
      <x:c r="C1" s="448"/>
      <x:c r="D1" s="448"/>
      <x:c r="E1" s="448"/>
      <x:c r="F1" s="448"/>
      <x:c r="G1" s="448"/>
      <x:c r="H1" s="448"/>
      <x:c r="I1" s="448"/>
      <x:c r="J1" s="448"/>
    </x:row>
    <x:row r="3">
      <x:c r="A3" s="447" t="str">
        <x:v>Monitor</x:v>
      </x:c>
      <x:c r="B3" s="447" t="str">
        <x:v>Current</x:v>
      </x:c>
      <x:c r="C3" s="447" t="str">
        <x:v>Baseline/Threshold</x:v>
      </x:c>
      <x:c r="D3" s="447" t="str">
        <x:v>Signal</x:v>
      </x:c>
      <x:c r="E3" s="447" t="str">
        <x:v>Status</x:v>
      </x:c>
      <x:c r="F3" s="447" t="str">
        <x:v>Meaning</x:v>
      </x:c>
      <x:c r="G3" s="447" t="str">
        <x:v>Action if Triggered</x:v>
      </x:c>
      <x:c r="H3" s="447" t="str">
        <x:v>Source</x:v>
      </x:c>
      <x:c r="I3" s="447" t="str">
        <x:v>Model Impact</x:v>
      </x:c>
      <x:c r="J3" s="447" t="str">
        <x:v>Notes</x:v>
      </x:c>
      <x:c r="L3" s="506" t="str">
        <x:v>v0.3.1 METRICS</x:v>
      </x:c>
      <x:c r="M3" s="506" t="str">
        <x:v>Current</x:v>
      </x:c>
      <x:c r="N3" s="506" t="str">
        <x:v>Target</x:v>
      </x:c>
      <x:c r="O3" s="506" t="str">
        <x:v>Status</x:v>
      </x:c>
      <x:c r="P3" s="506" t="str">
        <x:v>Purpose</x:v>
      </x:c>
      <x:c r="Q3" s="506" t="str">
        <x:v>Activation</x:v>
      </x:c>
    </x:row>
    <x:row r="4">
      <x:c r="A4" t="str">
        <x:v>Model disagreement</x:v>
      </x:c>
      <x:c r="B4" s="32" t="n">
        <x:f>'Model_Registry_v0.3.0'!B22</x:f>
        <x:v>0.028325204338200627</x:v>
      </x:c>
      <x:c r="C4" t="str">
        <x:v>WATCH &gt;5pp; FAIL &gt;10pp</x:v>
      </x:c>
      <x:c r="D4" t="str">
        <x:f>IF(B4&gt;0.10,"FAIL",IF(B4&gt;0.05,"WATCH","OK"))</x:f>
        <x:v>OK</x:v>
      </x:c>
      <x:c r="E4" t="str">
        <x:f>D4</x:f>
        <x:v>OK</x:v>
      </x:c>
      <x:c r="F4" t="str">
        <x:v>Difference between football and market models</x:v>
      </x:c>
      <x:c r="G4" t="str">
        <x:v>Reduce model weight / no-bet</x:v>
      </x:c>
      <x:c r="H4" t="str">
        <x:v>Internal</x:v>
      </x:c>
      <x:c r="I4"/>
      <x:c r="J4" t="str"/>
      <x:c r="L4" s="509" t="str">
        <x:v>Brier Score</x:v>
      </x:c>
      <x:c r="M4" s="15" t="str">
        <x:v>N/A</x:v>
      </x:c>
      <x:c r="N4" s="15" t="str">
        <x:v>Lower than market baseline</x:v>
      </x:c>
      <x:c r="O4" s="15" t="str">
        <x:v>PENDING</x:v>
      </x:c>
      <x:c r="P4" s="15" t="str">
        <x:v>Probability accuracy</x:v>
      </x:c>
      <x:c r="Q4" s="15" t="str">
        <x:v>After settled paper bets</x:v>
      </x:c>
    </x:row>
    <x:row r="5">
      <x:c r="A5" t="str">
        <x:v>League-prior drift</x:v>
      </x:c>
      <x:c r="B5" t="str">
        <x:v>10pp observed early→late 2025</x:v>
      </x:c>
      <x:c r="C5" t="str">
        <x:v>WATCH &gt;5pp</x:v>
      </x:c>
      <x:c r="D5" t="str">
        <x:v>DRIFT</x:v>
      </x:c>
      <x:c r="E5" t="str">
        <x:v>WATCH</x:v>
      </x:c>
      <x:c r="F5" t="str">
        <x:v>League goal regime changed materially</x:v>
      </x:c>
      <x:c r="G5" t="str">
        <x:v>Use rolling priors</x:v>
      </x:c>
      <x:c r="H5" t="str">
        <x:v>Historical audit</x:v>
      </x:c>
      <x:c r="I5"/>
      <x:c r="J5" t="str"/>
      <x:c r="L5" s="509" t="str">
        <x:v>Log Loss</x:v>
      </x:c>
      <x:c r="M5" s="15" t="str">
        <x:v>N/A</x:v>
      </x:c>
      <x:c r="N5" s="15" t="str">
        <x:v>Lower than market baseline</x:v>
      </x:c>
      <x:c r="O5" s="15" t="str">
        <x:v>PENDING</x:v>
      </x:c>
      <x:c r="P5" s="15" t="str">
        <x:v>Punish overconfidence</x:v>
      </x:c>
      <x:c r="Q5" s="15" t="str">
        <x:v>After settled paper bets</x:v>
      </x:c>
    </x:row>
    <x:row r="6">
      <x:c r="A6" t="str">
        <x:v>Historical validation N</x:v>
      </x:c>
      <x:c r="B6" t="n">
        <x:v>0</x:v>
      </x:c>
      <x:c r="C6" t="str">
        <x:v>&gt;=30 independent qualifiers</x:v>
      </x:c>
      <x:c r="D6" t="str">
        <x:v>LOW N</x:v>
      </x:c>
      <x:c r="E6" t="str">
        <x:v>FAIL</x:v>
      </x:c>
      <x:c r="F6" t="str">
        <x:v>Model maturity insufficient</x:v>
      </x:c>
      <x:c r="G6" t="str">
        <x:v>Paper only</x:v>
      </x:c>
      <x:c r="H6" t="str">
        <x:v>Internal</x:v>
      </x:c>
      <x:c r="I6"/>
      <x:c r="J6" t="str"/>
      <x:c r="L6" s="509" t="str">
        <x:v>Calibration Error</x:v>
      </x:c>
      <x:c r="M6" s="15" t="str">
        <x:v>N/A</x:v>
      </x:c>
      <x:c r="N6" s="15" t="str">
        <x:v>&lt;3pp preferred</x:v>
      </x:c>
      <x:c r="O6" s="15" t="str">
        <x:v>PENDING</x:v>
      </x:c>
      <x:c r="P6" s="15" t="str">
        <x:v>Predicted vs observed frequency</x:v>
      </x:c>
      <x:c r="Q6" s="15" t="str">
        <x:v>After sufficient bins</x:v>
      </x:c>
    </x:row>
    <x:row r="7">
      <x:c r="A7" t="str">
        <x:v>xG source consistency</x:v>
      </x:c>
      <x:c r="B7" t="str">
        <x:v>Not backfilled</x:v>
      </x:c>
      <x:c r="C7" t="str">
        <x:v>Same provider across train/live</x:v>
      </x:c>
      <x:c r="D7" t="str">
        <x:v>MISSING</x:v>
      </x:c>
      <x:c r="E7" t="str">
        <x:v>FAIL</x:v>
      </x:c>
      <x:c r="F7" t="str">
        <x:v>Prevents provider-scale mismatch</x:v>
      </x:c>
      <x:c r="G7" t="str">
        <x:v>Zero xG model weight</x:v>
      </x:c>
      <x:c r="H7" t="str">
        <x:v>Data registry</x:v>
      </x:c>
      <x:c r="I7"/>
      <x:c r="J7" t="str"/>
      <x:c r="L7" s="509" t="str">
        <x:v>CLV</x:v>
      </x:c>
      <x:c r="M7" s="15" t="str">
        <x:v>N/A</x:v>
      </x:c>
      <x:c r="N7" s="15" t="str">
        <x:v>&gt;0 long-run</x:v>
      </x:c>
      <x:c r="O7" s="15" t="str">
        <x:v>PENDING</x:v>
      </x:c>
      <x:c r="P7" s="15" t="str">
        <x:v>Price quality independent of result</x:v>
      </x:c>
      <x:c r="Q7" s="15" t="str">
        <x:v>After closing snapshots</x:v>
      </x:c>
    </x:row>
    <x:row r="8">
      <x:c r="A8" t="str">
        <x:v>Odds snapshot resolution</x:v>
      </x:c>
      <x:c r="B8" t="str">
        <x:v>Target 5 min</x:v>
      </x:c>
      <x:c r="C8" t="str">
        <x:v>5 min historical</x:v>
      </x:c>
      <x:c r="D8" t="str">
        <x:v>AVAILABLE</x:v>
      </x:c>
      <x:c r="E8" t="str">
        <x:v>PASS</x:v>
      </x:c>
      <x:c r="F8" t="str">
        <x:v>Needed for line-movement model</x:v>
      </x:c>
      <x:c r="G8" t="str">
        <x:v>Integrate timestamped odds</x:v>
      </x:c>
      <x:c r="H8" t="str">
        <x:v>The Odds API</x:v>
      </x:c>
      <x:c r="I8"/>
      <x:c r="J8" t="str"/>
      <x:c r="L8" s="509" t="str">
        <x:v>ROI</x:v>
      </x:c>
      <x:c r="M8" s="15" t="str">
        <x:v>N/A</x:v>
      </x:c>
      <x:c r="N8" s="15" t="str">
        <x:v>&gt;0 OOS</x:v>
      </x:c>
      <x:c r="O8" s="15" t="str">
        <x:v>PENDING</x:v>
      </x:c>
      <x:c r="P8" s="15" t="str">
        <x:v>Economic value</x:v>
      </x:c>
      <x:c r="Q8" s="15" t="str">
        <x:v>After enough paper bets</x:v>
      </x:c>
    </x:row>
    <x:row r="9">
      <x:c r="A9" t="str">
        <x:v>Data freshness</x:v>
      </x:c>
      <x:c r="B9" t="str">
        <x:v>&lt;5 min desired</x:v>
      </x:c>
      <x:c r="C9" t="str">
        <x:v>WARN &gt;5 min</x:v>
      </x:c>
      <x:c r="D9" t="str">
        <x:v>LIVE</x:v>
      </x:c>
      <x:c r="E9" t="str">
        <x:v>PASS</x:v>
      </x:c>
      <x:c r="F9" t="str">
        <x:v>Stale prices can erase edge</x:v>
      </x:c>
      <x:c r="G9" t="str">
        <x:v>Refresh / no execution</x:v>
      </x:c>
      <x:c r="H9" t="str">
        <x:v>System</x:v>
      </x:c>
      <x:c r="I9"/>
      <x:c r="J9" t="str"/>
      <x:c r="L9" s="509" t="str">
        <x:v>Worst-block ROI</x:v>
      </x:c>
      <x:c r="M9" s="15" t="str">
        <x:v>N/A</x:v>
      </x:c>
      <x:c r="N9" s="15" t="str">
        <x:v>No catastrophic regime</x:v>
      </x:c>
      <x:c r="O9" s="15" t="str">
        <x:v>PENDING</x:v>
      </x:c>
      <x:c r="P9" s="15" t="str">
        <x:v>Robustness</x:v>
      </x:c>
      <x:c r="Q9" s="15" t="str">
        <x:v>After time splits</x:v>
      </x:c>
    </x:row>
    <x:row r="10">
      <x:c r="L10" s="509" t="str">
        <x:v>Model weight learning</x:v>
      </x:c>
      <x:c r="M10" s="15" t="str">
        <x:v>MANUAL</x:v>
      </x:c>
      <x:c r="N10" s="15" t="str">
        <x:v>OOS learned</x:v>
      </x:c>
      <x:c r="O10" s="15" t="str">
        <x:v>BLOCKED</x:v>
      </x:c>
      <x:c r="P10" s="15" t="str">
        <x:v>Remove arbitrary weights</x:v>
      </x:c>
      <x:c r="Q10" s="15" t="str">
        <x:v>After model OOS predictions</x:v>
      </x:c>
    </x:row>
    <x:row r="12">
      <x:c r="A12" s="461" t="str">
        <x:v>Bet_ID</x:v>
      </x:c>
      <x:c r="B12" s="461" t="str">
        <x:v>Selection</x:v>
      </x:c>
      <x:c r="C12" s="461" t="str">
        <x:v>Predicted_P</x:v>
      </x:c>
      <x:c r="D12" s="461" t="str">
        <x:v>Outcome_1_0</x:v>
      </x:c>
      <x:c r="E12" s="461" t="str">
        <x:v>Brier</x:v>
      </x:c>
      <x:c r="F12" s="461" t="str">
        <x:v>LogLoss</x:v>
      </x:c>
      <x:c r="G12" s="461" t="str">
        <x:v>Reference_Odds</x:v>
      </x:c>
      <x:c r="H12" s="461" t="str">
        <x:v>Profit_1u</x:v>
      </x:c>
      <x:c r="I12" s="461" t="str">
        <x:v>Closing_Odds</x:v>
      </x:c>
      <x:c r="J12" s="461" t="str">
        <x:v>CLV</x:v>
      </x:c>
    </x:row>
    <x:row r="13">
      <x:c r="A13" t="str">
        <x:v>PB-0001</x:v>
      </x:c>
      <x:c r="B13" t="str">
        <x:v>Under 3.5</x:v>
      </x:c>
      <x:c r="C13" s="32" t="n">
        <x:f>'Model_Registry_v0.3.0'!B21</x:f>
        <x:v>0.6241157428801696</x:v>
      </x:c>
      <x:c r="D13"/>
      <x:c r="E13" s="96" t="str">
        <x:f>IF(D13="","",(C13-D13)^2)</x:f>
      </x:c>
      <x:c r="F13" s="96" t="str">
        <x:f>IF(D13="","",-1*(D13*LN(C13)+(1-D13)*LN(1-C13)))</x:f>
      </x:c>
      <x:c r="G13" s="30" t="n">
        <x:v>1.625</x:v>
      </x:c>
      <x:c r="H13" s="30" t="str">
        <x:f>IF(D13="","",IF(D13=1,G13-1,-1))</x:f>
      </x:c>
      <x:c r="I13" s="30"/>
      <x:c r="J13" s="30" t="str">
        <x:f>IF(OR(G13="",I13=""),"",G13/I13-1)</x:f>
      </x:c>
    </x:row>
  </x:sheetData>
  <x:mergeCells>
    <x:mergeCell ref="A1:J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2" hidden="0" customWidth="1"/>
    <x:col min="4" max="4" width="24" hidden="0" customWidth="1"/>
    <x:col min="5" max="5" width="14" hidden="0" customWidth="1"/>
    <x:col min="6" max="6" width="38" hidden="0" customWidth="1"/>
    <x:col min="7" max="7" width="38" hidden="0" customWidth="1"/>
    <x:col min="8" max="8" width="28" hidden="0" customWidth="1"/>
  </x:cols>
  <x:sheetData>
    <x:row r="1">
      <x:c r="A1" s="448" t="str">
        <x:v>v0.3.0 — MULTI-LAYER DECISION ENGINE</x:v>
      </x:c>
      <x:c r="B1" s="448"/>
      <x:c r="C1" s="448"/>
      <x:c r="D1" s="448"/>
      <x:c r="E1" s="448"/>
      <x:c r="F1" s="448"/>
      <x:c r="G1" s="448"/>
      <x:c r="H1" s="448"/>
    </x:row>
    <x:row r="3">
      <x:c r="A3" s="447" t="str">
        <x:v>Gate</x:v>
      </x:c>
      <x:c r="B3" s="447" t="str">
        <x:v>Metric</x:v>
      </x:c>
      <x:c r="C3" s="447" t="str">
        <x:v>Current</x:v>
      </x:c>
      <x:c r="D3" s="447" t="str">
        <x:v>Requirement</x:v>
      </x:c>
      <x:c r="E3" s="447" t="str">
        <x:v>Status</x:v>
      </x:c>
      <x:c r="F3" s="447" t="str">
        <x:v>Reason</x:v>
      </x:c>
      <x:c r="G3" s="447" t="str">
        <x:v>System Action</x:v>
      </x:c>
      <x:c r="H3" s="447" t="str">
        <x:v>Source</x:v>
      </x:c>
    </x:row>
    <x:row r="4">
      <x:c r="A4" t="str">
        <x:v>Integrity</x:v>
      </x:c>
      <x:c r="B4" t="str">
        <x:v>Paired odds same source</x:v>
      </x:c>
      <x:c r="C4" t="str">
        <x:v>FOX O2.5/U2.5</x:v>
      </x:c>
      <x:c r="D4" t="str">
        <x:v>Required</x:v>
      </x:c>
      <x:c r="E4" t="str">
        <x:v>PASS</x:v>
      </x:c>
      <x:c r="F4" t="str">
        <x:v>No cross-book de-vig</x:v>
      </x:c>
      <x:c r="G4" t="str">
        <x:v>Continue</x:v>
      </x:c>
      <x:c r="H4" t="str">
        <x:v>FOX</x:v>
      </x:c>
    </x:row>
    <x:row r="5">
      <x:c r="A5" t="str">
        <x:v>Integrity</x:v>
      </x:c>
      <x:c r="B5" t="str">
        <x:v>Pre-kick timestamp</x:v>
      </x:c>
      <x:c r="C5" t="str">
        <x:v>03:13 EAT</x:v>
      </x:c>
      <x:c r="D5" t="str">
        <x:v>Before 03:25</x:v>
      </x:c>
      <x:c r="E5" t="str">
        <x:v>PASS</x:v>
      </x:c>
      <x:c r="F5" t="str">
        <x:v>No hindsight</x:v>
      </x:c>
      <x:c r="G5" t="str">
        <x:v>Continue</x:v>
      </x:c>
      <x:c r="H5" t="str">
        <x:v>System</x:v>
      </x:c>
    </x:row>
    <x:row r="6">
      <x:c r="A6" t="str">
        <x:v>Lineup</x:v>
      </x:c>
      <x:c r="B6" t="str">
        <x:v>Confirmed XI</x:v>
      </x:c>
      <x:c r="C6" t="str">
        <x:v>Confirmed</x:v>
      </x:c>
      <x:c r="D6" t="str">
        <x:v>Required</x:v>
      </x:c>
      <x:c r="E6" t="str">
        <x:v>PASS</x:v>
      </x:c>
      <x:c r="F6" t="str">
        <x:v>Lineup known</x:v>
      </x:c>
      <x:c r="G6" t="str">
        <x:v>Continue</x:v>
      </x:c>
      <x:c r="H6" t="str">
        <x:v>FOX/current lineup</x:v>
      </x:c>
    </x:row>
    <x:row r="7">
      <x:c r="A7" t="str">
        <x:v>Football Model</x:v>
      </x:c>
      <x:c r="B7" t="str">
        <x:v>P Under3.5</x:v>
      </x:c>
      <x:c r="C7" s="32" t="n">
        <x:f>'Model_Registry_v0.3.0'!D4</x:f>
        <x:v>0.6425271257</x:v>
      </x:c>
      <x:c r="D7" t="str">
        <x:v>Informational</x:v>
      </x:c>
      <x:c r="E7" t="str">
        <x:v>INFO</x:v>
      </x:c>
      <x:c r="F7" t="str">
        <x:v>Unvalidated model</x:v>
      </x:c>
      <x:c r="G7" t="str">
        <x:v>Cap weight at 35%</x:v>
      </x:c>
      <x:c r="H7" t="str">
        <x:v>Internal</x:v>
      </x:c>
    </x:row>
    <x:row r="8">
      <x:c r="A8" t="str">
        <x:v>Market Model</x:v>
      </x:c>
      <x:c r="B8" t="str">
        <x:v>P Under3.5</x:v>
      </x:c>
      <x:c r="C8" s="32" t="n">
        <x:f>'Model_Registry_v0.3.0'!B18</x:f>
        <x:v>0.6142019213617994</x:v>
      </x:c>
      <x:c r="D8" t="str">
        <x:v>Baseline</x:v>
      </x:c>
      <x:c r="E8" t="str">
        <x:v>PASS</x:v>
      </x:c>
      <x:c r="F8" t="str">
        <x:v>Market stabilizer</x:v>
      </x:c>
      <x:c r="G8" t="str">
        <x:v>Weight 65%</x:v>
      </x:c>
      <x:c r="H8" t="str">
        <x:v>FOX</x:v>
      </x:c>
    </x:row>
    <x:row r="9">
      <x:c r="A9" t="str">
        <x:v>Ensemble</x:v>
      </x:c>
      <x:c r="B9" t="str">
        <x:v>P Under3.5</x:v>
      </x:c>
      <x:c r="C9" s="32" t="n">
        <x:f>'Model_Registry_v0.3.0'!B21</x:f>
        <x:v>0.6241157428801696</x:v>
      </x:c>
      <x:c r="D9" t="str">
        <x:v>Research estimate</x:v>
      </x:c>
      <x:c r="E9" t="str">
        <x:v>INFO</x:v>
      </x:c>
      <x:c r="F9" t="str">
        <x:v>Weighted meta-model</x:v>
      </x:c>
      <x:c r="G9" t="str">
        <x:v>Use for paper EV</x:v>
      </x:c>
      <x:c r="H9" t="str">
        <x:v>Derived</x:v>
      </x:c>
    </x:row>
    <x:row r="10">
      <x:c r="A10" t="str">
        <x:v>Uncertainty</x:v>
      </x:c>
      <x:c r="B10" t="str">
        <x:v>Model disagreement</x:v>
      </x:c>
      <x:c r="C10" s="32" t="n">
        <x:f>'Model_Registry_v0.3.0'!B22</x:f>
        <x:v>0.028325204338200627</x:v>
      </x:c>
      <x:c r="D10" t="str">
        <x:v>&lt;5pp preferred</x:v>
      </x:c>
      <x:c r="E10" t="str">
        <x:f>IF(C10&lt;0.05,"PASS",IF(C10&lt;0.10,"WATCH","FAIL"))</x:f>
        <x:v>PASS</x:v>
      </x:c>
      <x:c r="F10" t="str">
        <x:v>High disagreement means uncertainty</x:v>
      </x:c>
      <x:c r="G10" t="str">
        <x:v>Reduce confidence</x:v>
      </x:c>
      <x:c r="H10" t="str">
        <x:v>Derived</x:v>
      </x:c>
    </x:row>
    <x:row r="11">
      <x:c r="A11" t="str">
        <x:v>Reference EV</x:v>
      </x:c>
      <x:c r="B11" t="str">
        <x:v>At FOX U3.5 1.625</x:v>
      </x:c>
      <x:c r="C11" s="32" t="n">
        <x:f>C9*1.625-1</x:f>
        <x:v>0.014188082180275563</x:v>
      </x:c>
      <x:c r="D11" t="str">
        <x:v>&gt;=+3% preferred</x:v>
      </x:c>
      <x:c r="E11" t="str">
        <x:f>IF(C11&gt;=0.03,"PASS",IF(C11&gt;0,"WATCH","FAIL"))</x:f>
        <x:v>WATCH</x:v>
      </x:c>
      <x:c r="F11" t="str">
        <x:v>Price must justify risk</x:v>
      </x:c>
      <x:c r="G11" t="str">
        <x:v>Paper gate only</x:v>
      </x:c>
      <x:c r="H11" t="str">
        <x:v>Derived</x:v>
      </x:c>
    </x:row>
    <x:row r="12">
      <x:c r="A12" t="str">
        <x:v>Historical Validation</x:v>
      </x:c>
      <x:c r="B12" t="str">
        <x:v>Independent qualifying N</x:v>
      </x:c>
      <x:c r="C12" t="n">
        <x:v>0</x:v>
      </x:c>
      <x:c r="D12" t="str">
        <x:v>&gt;=30</x:v>
      </x:c>
      <x:c r="E12" t="str">
        <x:v>FAIL</x:v>
      </x:c>
      <x:c r="F12" t="str">
        <x:v>No robust validation</x:v>
      </x:c>
      <x:c r="G12" t="str">
        <x:v>Block real-money promotion</x:v>
      </x:c>
      <x:c r="H12" t="str">
        <x:v>Internal</x:v>
      </x:c>
    </x:row>
    <x:row r="13">
      <x:c r="A13" t="str">
        <x:v>Drift</x:v>
      </x:c>
      <x:c r="B13" t="str">
        <x:v>League/time robustness</x:v>
      </x:c>
      <x:c r="C13" t="str">
        <x:v>Not proven</x:v>
      </x:c>
      <x:c r="D13" t="str">
        <x:v>Stable blocks</x:v>
      </x:c>
      <x:c r="E13" t="str">
        <x:v>FAIL</x:v>
      </x:c>
      <x:c r="F13" t="str">
        <x:v>Regime drift observed</x:v>
      </x:c>
      <x:c r="G13" t="str">
        <x:v>Use rolling priors</x:v>
      </x:c>
      <x:c r="H13" t="str">
        <x:v>Internal</x:v>
      </x:c>
    </x:row>
    <x:row r="14">
      <x:c r="A14" t="str">
        <x:v>Execution</x:v>
      </x:c>
      <x:c r="B14" t="str">
        <x:v>Actual bookmaker + odds</x:v>
      </x:c>
      <x:c r="C14" t="str">
        <x:v>MISSING</x:v>
      </x:c>
      <x:c r="D14" t="str">
        <x:v>Required</x:v>
      </x:c>
      <x:c r="E14" t="str">
        <x:v>FAIL</x:v>
      </x:c>
      <x:c r="F14" t="str">
        <x:v>Reference price is not executable price</x:v>
      </x:c>
      <x:c r="G14" t="str">
        <x:v>Block execution</x:v>
      </x:c>
      <x:c r="H14" t="str">
        <x:v>User input</x:v>
      </x:c>
    </x:row>
    <x:row r="15">
      <x:c r="A15" t="str">
        <x:v>FINAL</x:v>
      </x:c>
      <x:c r="B15" t="str">
        <x:v>Real-money promotion</x:v>
      </x:c>
      <x:c r="C15" t="str">
        <x:v>NO</x:v>
      </x:c>
      <x:c r="D15" t="str">
        <x:v>All critical gates PASS</x:v>
      </x:c>
      <x:c r="E15" t="str">
        <x:v>FAIL</x:v>
      </x:c>
      <x:c r="F15" t="str">
        <x:v>Model maturity insufficient</x:v>
      </x:c>
      <x:c r="G15" t="str">
        <x:v>PAPER ONLY</x:v>
      </x:c>
      <x:c r="H15" t="str">
        <x:v>System</x:v>
      </x:c>
    </x:row>
    <x:row r="18">
      <x:c r="A18" s="464" t="str">
        <x:v>CURRENT GROUNDED SNAPSHOT</x:v>
      </x:c>
      <x:c r="B18" t="str"/>
      <x:c r="C18" t="str"/>
      <x:c r="D18" t="str"/>
      <x:c r="E18" t="str"/>
      <x:c r="F18" t="str"/>
      <x:c r="G18" t="str"/>
      <x:c r="H18" t="str"/>
    </x:row>
    <x:row r="19">
      <x:c r="A19" s="15" t="str">
        <x:v>SKC team stats</x:v>
      </x:c>
      <x:c r="B19" s="15" t="str">
        <x:v>0.9 G/g; 0.6 xG/g; 2.5 GA/g; 7.1 shots/g; 47% possession; 4.7 chances/g</x:v>
      </x:c>
      <x:c r="C19" s="15" t="str"/>
      <x:c r="D19" s="15" t="str"/>
      <x:c r="E19" s="15" t="str"/>
      <x:c r="F19" s="15" t="str"/>
      <x:c r="G19" s="15" t="str"/>
      <x:c r="H19" s="15" t="str">
        <x:v>FOX</x:v>
      </x:c>
    </x:row>
    <x:row r="20">
      <x:c r="A20" s="15" t="str">
        <x:v>STL team stats</x:v>
      </x:c>
      <x:c r="B20" s="15" t="str">
        <x:v>1.4 G/g; 1.0 xG/g; 1.3 GA/g; 10.4 shots/g; 56% possession; 7.1 chances/g</x:v>
      </x:c>
      <x:c r="C20" s="15" t="str"/>
      <x:c r="D20" s="15" t="str"/>
      <x:c r="E20" s="15" t="str"/>
      <x:c r="F20" s="15" t="str"/>
      <x:c r="G20" s="15" t="str"/>
      <x:c r="H20" s="15" t="str">
        <x:v>FOX</x:v>
      </x:c>
    </x:row>
    <x:row r="21">
      <x:c r="A21" s="15" t="str">
        <x:v>FOX O/U 2.5</x:v>
      </x:c>
      <x:c r="B21" s="15" t="str">
        <x:v>Over -185 / Under +140</x:v>
      </x:c>
      <x:c r="C21" s="15" t="str"/>
      <x:c r="D21" s="15" t="str"/>
      <x:c r="E21" s="15" t="str"/>
      <x:c r="F21" s="15" t="str"/>
      <x:c r="G21" s="15" t="str"/>
      <x:c r="H21" s="15" t="str">
        <x:v>FOX</x:v>
      </x:c>
    </x:row>
    <x:row r="22">
      <x:c r="A22" s="15" t="str">
        <x:v>MLS availability</x:v>
      </x:c>
      <x:c r="B22" s="15" t="str">
        <x:v>SKC: Agyabeng, Andre Luiz, Mosquera out; Blorian had been questionable. STL: Pompeu, McSorley, Hiebert out.</x:v>
      </x:c>
      <x:c r="C22" s="15" t="str"/>
      <x:c r="D22" s="15" t="str"/>
      <x:c r="E22" s="15" t="str"/>
      <x:c r="F22" s="15" t="str"/>
      <x:c r="G22" s="15" t="str"/>
      <x:c r="H22" s="15" t="str">
        <x:v>MLS Official</x:v>
      </x:c>
    </x:row>
    <x:row r="23">
      <x:c r="A23" s="15" t="str">
        <x:v>Odds-history capability</x:v>
      </x:c>
      <x:c r="B23" s="15" t="str">
        <x:v>5-minute historical snapshots available from Sep 2022 via The Odds API</x:v>
      </x:c>
      <x:c r="C23" s="15" t="str"/>
      <x:c r="D23" s="15" t="str"/>
      <x:c r="E23" s="15" t="str"/>
      <x:c r="F23" s="15" t="str"/>
      <x:c r="G23" s="15" t="str"/>
      <x:c r="H23" s="15" t="str">
        <x:v>The Odds API</x:v>
      </x:c>
    </x:row>
    <x:row r="24">
      <x:c r="A24" s="15" t="str">
        <x:v>Advanced data capability</x:v>
      </x:c>
      <x:c r="B24" s="15" t="str">
        <x:v>Sportmonks supports fixtures, lineups, odds, advanced stats and xG</x:v>
      </x:c>
      <x:c r="C24" s="15" t="str"/>
      <x:c r="D24" s="15" t="str"/>
      <x:c r="E24" s="15" t="str"/>
      <x:c r="F24" s="15" t="str"/>
      <x:c r="G24" s="15" t="str"/>
      <x:c r="H24" s="15" t="str">
        <x:v>Sportmonks</x:v>
      </x:c>
    </x:row>
  </x:sheetData>
  <x:mergeCells>
    <x:mergeCell ref="A1:H1"/>
    <x:mergeCell ref="A18:H18"/>
  </x:mergeCells>
  <x:conditionalFormatting sqref="E4:E15">
    <x:cfRule type="expression" dxfId="48" priority="1">
      <x:formula>E4="PASS"</x:formula>
    </x:cfRule>
    <x:cfRule type="expression" dxfId="49" priority="2">
      <x:formula>E4="WATCH"</x:formula>
    </x:cfRule>
    <x:cfRule type="expression" dxfId="50" priority="3">
      <x:formula>E4="FAIL"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23" hidden="0" customWidth="1"/>
    <x:col min="5" max="5" width="18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20" hidden="0" customWidth="1"/>
  </x:cols>
  <x:sheetData>
    <x:row r="1">
      <x:c r="A1" s="478" t="str">
        <x:v>BETTING INTELLIGENCE v0.3.1 — TEMPORAL DATA PIPELINE</x:v>
      </x:c>
      <x:c r="B1" s="478"/>
      <x:c r="C1" s="478"/>
      <x:c r="D1" s="478"/>
      <x:c r="E1" s="478"/>
      <x:c r="F1" s="478"/>
      <x:c r="G1" s="478"/>
      <x:c r="H1" s="478"/>
      <x:c r="I1" s="478"/>
      <x:c r="J1" s="478"/>
      <x:c r="K1" s="478"/>
      <x:c r="L1" s="478"/>
      <x:c r="M1" s="478"/>
    </x:row>
    <x:row r="3">
      <x:c r="A3" s="483" t="str">
        <x:v>Snapshot</x:v>
      </x:c>
      <x:c r="B3" s="483" t="str">
        <x:v>Target Time</x:v>
      </x:c>
      <x:c r="C3" s="483" t="str">
        <x:v>Actual Time EAT</x:v>
      </x:c>
      <x:c r="D3" s="483" t="str">
        <x:v>Status</x:v>
      </x:c>
      <x:c r="E3" s="483" t="str">
        <x:v>Fixture</x:v>
      </x:c>
      <x:c r="F3" s="483" t="str">
        <x:v>Odds Pair 2.5</x:v>
      </x:c>
      <x:c r="G3" s="483" t="str">
        <x:v>Odds Pair 3.5</x:v>
      </x:c>
      <x:c r="H3" s="483" t="str">
        <x:v>Lineup State</x:v>
      </x:c>
      <x:c r="I3" s="483" t="str">
        <x:v>Availability</x:v>
      </x:c>
      <x:c r="J3" s="483" t="str">
        <x:v>Feature Completeness</x:v>
      </x:c>
      <x:c r="K3" s="483" t="str">
        <x:v>Leakage Check</x:v>
      </x:c>
      <x:c r="L3" s="483" t="str">
        <x:v>Source Set</x:v>
      </x:c>
      <x:c r="M3" s="483" t="str">
        <x:v>Training Use</x:v>
      </x:c>
    </x:row>
    <x:row r="4">
      <x:c r="A4" s="15" t="str">
        <x:v>T-24h</x:v>
      </x:c>
      <x:c r="B4" s="15" t="str">
        <x:v>24h before kickoff</x:v>
      </x:c>
      <x:c r="C4" s="15" t="str"/>
      <x:c r="D4" s="15" t="str">
        <x:v>HISTORICAL NOT CAPTURED</x:v>
      </x:c>
      <x:c r="E4" s="15" t="str">
        <x:v>SKC vs STL</x:v>
      </x:c>
      <x:c r="F4" s="15" t="str"/>
      <x:c r="G4" s="15" t="str"/>
      <x:c r="H4" s="15" t="str">
        <x:v>Predicted/unknown</x:v>
      </x:c>
      <x:c r="I4" s="15" t="str">
        <x:v>Known at that time</x:v>
      </x:c>
      <x:c r="J4" s="15" t="str">
        <x:v>PARTIAL</x:v>
      </x:c>
      <x:c r="K4" s="15" t="str">
        <x:v>PASS if sourced by timestamp</x:v>
      </x:c>
      <x:c r="L4" s="15" t="str">
        <x:v>Official + odds API target</x:v>
      </x:c>
      <x:c r="M4" s="15" t="str">
        <x:v>NO for current match</x:v>
      </x:c>
    </x:row>
    <x:row r="5">
      <x:c r="A5" s="15" t="str">
        <x:v>T-6h</x:v>
      </x:c>
      <x:c r="B5" s="15" t="str">
        <x:v>6h before kickoff</x:v>
      </x:c>
      <x:c r="C5" s="15" t="str"/>
      <x:c r="D5" s="15" t="str">
        <x:v>HISTORICAL NOT CAPTURED</x:v>
      </x:c>
      <x:c r="E5" s="15" t="str">
        <x:v>SKC vs STL</x:v>
      </x:c>
      <x:c r="F5" s="15" t="str"/>
      <x:c r="G5" s="15" t="str"/>
      <x:c r="H5" s="15" t="str">
        <x:v>Predicted/unknown</x:v>
      </x:c>
      <x:c r="I5" s="15" t="str">
        <x:v>Known at that time</x:v>
      </x:c>
      <x:c r="J5" s="15" t="str">
        <x:v>PARTIAL</x:v>
      </x:c>
      <x:c r="K5" s="15" t="str">
        <x:v>PASS if sourced by timestamp</x:v>
      </x:c>
      <x:c r="L5" s="15" t="str">
        <x:v>Official + odds API target</x:v>
      </x:c>
      <x:c r="M5" s="15" t="str">
        <x:v>NO for current match</x:v>
      </x:c>
    </x:row>
    <x:row r="6">
      <x:c r="A6" s="15" t="str">
        <x:v>T-60m</x:v>
      </x:c>
      <x:c r="B6" s="15" t="str">
        <x:v>60m before kickoff</x:v>
      </x:c>
      <x:c r="C6" s="15" t="str">
        <x:v>~02:25</x:v>
      </x:c>
      <x:c r="D6" s="15" t="str">
        <x:v>PARTIAL</x:v>
      </x:c>
      <x:c r="E6" s="15" t="str">
        <x:v>SKC vs STL</x:v>
      </x:c>
      <x:c r="F6" s="15" t="str">
        <x:v>Observed around O1.47/U2.60</x:v>
      </x:c>
      <x:c r="G6" s="15" t="str">
        <x:v>Observed around O2.40/U1.61</x:v>
      </x:c>
      <x:c r="H6" s="15" t="str">
        <x:v>Lineups emerging</x:v>
      </x:c>
      <x:c r="I6" s="15" t="str">
        <x:v>Official availability</x:v>
      </x:c>
      <x:c r="J6" s="15" t="str">
        <x:v>MEDIUM</x:v>
      </x:c>
      <x:c r="K6" s="15" t="str">
        <x:v>PASS</x:v>
      </x:c>
      <x:c r="L6" s="15" t="str">
        <x:v>Multiple pre-kick sources</x:v>
      </x:c>
      <x:c r="M6" s="15" t="str">
        <x:v>PAPER ONLY</x:v>
      </x:c>
    </x:row>
    <x:row r="7">
      <x:c r="A7" s="15" t="str">
        <x:v>T-30m</x:v>
      </x:c>
      <x:c r="B7" s="15" t="str">
        <x:v>30m before kickoff</x:v>
      </x:c>
      <x:c r="C7" s="15" t="str">
        <x:v>~02:55</x:v>
      </x:c>
      <x:c r="D7" s="15" t="str">
        <x:v>PARTIAL</x:v>
      </x:c>
      <x:c r="E7" s="15" t="str">
        <x:v>SKC vs STL</x:v>
      </x:c>
      <x:c r="F7" s="15" t="str">
        <x:v>FOX approx O1.54/U2.40</x:v>
      </x:c>
      <x:c r="G7" s="15" t="str">
        <x:v>FOX approx O2.20/U1.625</x:v>
      </x:c>
      <x:c r="H7" s="15" t="str">
        <x:v>Confirmed</x:v>
      </x:c>
      <x:c r="I7" s="15" t="str">
        <x:v>Official availability</x:v>
      </x:c>
      <x:c r="J7" s="15" t="str">
        <x:v>HIGH</x:v>
      </x:c>
      <x:c r="K7" s="15" t="str">
        <x:v>PASS</x:v>
      </x:c>
      <x:c r="L7" s="15" t="str">
        <x:v>FOX + official</x:v>
      </x:c>
      <x:c r="M7" s="15" t="str">
        <x:v>PAPER ONLY</x:v>
      </x:c>
    </x:row>
    <x:row r="8">
      <x:c r="A8" s="15" t="str">
        <x:v>T-10m</x:v>
      </x:c>
      <x:c r="B8" s="15" t="str">
        <x:v>10m before kickoff</x:v>
      </x:c>
      <x:c r="C8" s="15" t="str">
        <x:v>03:13</x:v>
      </x:c>
      <x:c r="D8" s="15" t="str">
        <x:v>CAPTURED</x:v>
      </x:c>
      <x:c r="E8" s="15" t="str">
        <x:v>SKC vs STL</x:v>
      </x:c>
      <x:c r="F8" s="15" t="str">
        <x:v>FOX O2.5 1.541 / U2.5 2.40</x:v>
      </x:c>
      <x:c r="G8" s="15" t="str">
        <x:v>FOX O3.5 2.20 / U3.5 1.625</x:v>
      </x:c>
      <x:c r="H8" s="15" t="str">
        <x:v>Confirmed</x:v>
      </x:c>
      <x:c r="I8" s="15" t="str">
        <x:v>Official availability</x:v>
      </x:c>
      <x:c r="J8" s="15" t="str">
        <x:v>HIGH</x:v>
      </x:c>
      <x:c r="K8" s="15" t="str">
        <x:v>PASS</x:v>
      </x:c>
      <x:c r="L8" s="15" t="str">
        <x:v>FOX + official + lineup source</x:v>
      </x:c>
      <x:c r="M8" s="15" t="str">
        <x:v>PAPER ONLY</x:v>
      </x:c>
    </x:row>
    <x:row r="9">
      <x:c r="A9" s="15" t="str">
        <x:v>T-5m</x:v>
      </x:c>
      <x:c r="B9" s="15" t="str">
        <x:v>5m before kickoff</x:v>
      </x:c>
      <x:c r="C9" s="15" t="str">
        <x:v>03:20</x:v>
      </x:c>
      <x:c r="D9" s="15" t="str">
        <x:v>LOCKED FINAL PRE-KICK</x:v>
      </x:c>
      <x:c r="E9" s="15" t="str">
        <x:v>SKC vs STL</x:v>
      </x:c>
      <x:c r="F9" s="15" t="str">
        <x:v>FOX O2.5 1.541 / U2.5 2.40</x:v>
      </x:c>
      <x:c r="G9" s="15" t="str">
        <x:v>FOX O3.5 2.20 / U3.5 1.625</x:v>
      </x:c>
      <x:c r="H9" s="15" t="str">
        <x:v>Confirmed</x:v>
      </x:c>
      <x:c r="I9" s="15" t="str">
        <x:v>Official availability</x:v>
      </x:c>
      <x:c r="J9" s="15" t="str">
        <x:v>HIGH</x:v>
      </x:c>
      <x:c r="K9" s="15" t="str">
        <x:v>PASS</x:v>
      </x:c>
      <x:c r="L9" s="15" t="str">
        <x:v>FOX + official + lineup source</x:v>
      </x:c>
      <x:c r="M9" s="15" t="str">
        <x:v>PAPER ONLY</x:v>
      </x:c>
    </x:row>
    <x:row r="10">
      <x:c r="A10" s="15" t="str">
        <x:v>CLOSE</x:v>
      </x:c>
      <x:c r="B10" s="15" t="str">
        <x:v>Last available pre-kick</x:v>
      </x:c>
      <x:c r="C10" s="15" t="str">
        <x:v>PENDING</x:v>
      </x:c>
      <x:c r="D10" s="15" t="str">
        <x:v>PENDING</x:v>
      </x:c>
      <x:c r="E10" s="15" t="str">
        <x:v>SKC vs STL</x:v>
      </x:c>
      <x:c r="F10" s="15" t="str"/>
      <x:c r="G10" s="15" t="str"/>
      <x:c r="H10" s="15" t="str">
        <x:v>Confirmed</x:v>
      </x:c>
      <x:c r="I10" s="15" t="str">
        <x:v>Official availability</x:v>
      </x:c>
      <x:c r="J10" s="15" t="str"/>
      <x:c r="K10" s="15" t="str">
        <x:v>Must precede kickoff</x:v>
      </x:c>
      <x:c r="L10" s="15" t="str">
        <x:v>Timestamped odds feed required</x:v>
      </x:c>
      <x:c r="M10" s="15" t="str">
        <x:v>CLV benchmark only</x:v>
      </x:c>
    </x:row>
    <x:row r="13">
      <x:c r="A13" s="487" t="str">
        <x:v>PIPELINE CONTRACT</x:v>
      </x:c>
      <x:c r="B13" s="487" t="str">
        <x:v>Rule</x:v>
      </x:c>
      <x:c r="C13" s="487" t="str">
        <x:v>Why</x:v>
      </x:c>
      <x:c r="D13" s="487" t="str">
        <x:v>Failure Action</x:v>
      </x:c>
      <x:c r="E13" s="487" t="str">
        <x:v>Owner</x:v>
      </x:c>
      <x:c r="F13" s="487" t="str">
        <x:v>Required for Training?</x:v>
      </x:c>
      <x:c r="G13" s="487" t="str">
        <x:v>Required for Live?</x:v>
      </x:c>
      <x:c r="H13" s="487" t="str">
        <x:v>Timestamped?</x:v>
      </x:c>
      <x:c r="I13" s="487" t="str">
        <x:v>Same Provider?</x:v>
      </x:c>
      <x:c r="J13" s="487" t="str">
        <x:v>Null Policy</x:v>
      </x:c>
      <x:c r="K13" s="487" t="str">
        <x:v>Version</x:v>
      </x:c>
      <x:c r="L13" s="487" t="str">
        <x:v>Status</x:v>
      </x:c>
      <x:c r="M13" s="487" t="str">
        <x:v>Notes</x:v>
      </x:c>
    </x:row>
    <x:row r="14">
      <x:c r="A14" s="15" t="str">
        <x:v>No-future-data</x:v>
      </x:c>
      <x:c r="B14" s="15" t="str">
        <x:v>Every feature must exist before snapshot time</x:v>
      </x:c>
      <x:c r="C14" s="15" t="str">
        <x:v>Prevents leakage</x:v>
      </x:c>
      <x:c r="D14" s="15" t="str">
        <x:v>Drop row/feature</x:v>
      </x:c>
      <x:c r="E14" s="15" t="str">
        <x:v>System</x:v>
      </x:c>
      <x:c r="F14" s="15" t="str">
        <x:v>YES</x:v>
      </x:c>
      <x:c r="G14" s="15" t="str">
        <x:v>YES</x:v>
      </x:c>
      <x:c r="H14" s="15" t="str">
        <x:v>YES</x:v>
      </x:c>
      <x:c r="I14" s="15" t="str">
        <x:v>N/A</x:v>
      </x:c>
      <x:c r="J14" s="15" t="str">
        <x:v>Never impute from future</x:v>
      </x:c>
      <x:c r="K14" s="15" t="str">
        <x:v>v0.3.1</x:v>
      </x:c>
      <x:c r="L14" s="15" t="str">
        <x:v>LOCKED</x:v>
      </x:c>
      <x:c r="M14" s="15" t="str"/>
    </x:row>
    <x:row r="15">
      <x:c r="A15" s="15" t="str">
        <x:v>Odds pairing</x:v>
      </x:c>
      <x:c r="B15" s="15" t="str">
        <x:v>Over and Under from same book+timestamp</x:v>
      </x:c>
      <x:c r="C15" s="15" t="str">
        <x:v>Correct de-vig</x:v>
      </x:c>
      <x:c r="D15" s="15" t="str">
        <x:v>Reject probability</x:v>
      </x:c>
      <x:c r="E15" s="15" t="str">
        <x:v>System</x:v>
      </x:c>
      <x:c r="F15" s="15" t="str">
        <x:v>YES</x:v>
      </x:c>
      <x:c r="G15" s="15" t="str">
        <x:v>YES</x:v>
      </x:c>
      <x:c r="H15" s="15" t="str">
        <x:v>YES</x:v>
      </x:c>
      <x:c r="I15" s="15" t="str">
        <x:v>YES</x:v>
      </x:c>
      <x:c r="J15" s="15" t="str">
        <x:v>Reject pair</x:v>
      </x:c>
      <x:c r="K15" s="15" t="str">
        <x:v>v0.3.1</x:v>
      </x:c>
      <x:c r="L15" s="15" t="str">
        <x:v>LOCKED</x:v>
      </x:c>
      <x:c r="M15" s="15" t="str"/>
    </x:row>
    <x:row r="16">
      <x:c r="A16" s="15" t="str">
        <x:v>Feature provenance</x:v>
      </x:c>
      <x:c r="B16" s="15" t="str">
        <x:v>source + timestamp + raw value</x:v>
      </x:c>
      <x:c r="C16" s="15" t="str">
        <x:v>Auditability</x:v>
      </x:c>
      <x:c r="D16" s="15" t="str">
        <x:v>Zero model weight</x:v>
      </x:c>
      <x:c r="E16" s="15" t="str">
        <x:v>System</x:v>
      </x:c>
      <x:c r="F16" s="15" t="str">
        <x:v>YES</x:v>
      </x:c>
      <x:c r="G16" s="15" t="str">
        <x:v>YES</x:v>
      </x:c>
      <x:c r="H16" s="15" t="str">
        <x:v>YES</x:v>
      </x:c>
      <x:c r="I16" s="15" t="str">
        <x:v>Preferred</x:v>
      </x:c>
      <x:c r="J16" s="15" t="str">
        <x:v>Keep null + flag</x:v>
      </x:c>
      <x:c r="K16" s="15" t="str">
        <x:v>v0.3.1</x:v>
      </x:c>
      <x:c r="L16" s="15" t="str">
        <x:v>LOCKED</x:v>
      </x:c>
      <x:c r="M16" s="15" t="str"/>
    </x:row>
    <x:row r="17">
      <x:c r="A17" s="15" t="str">
        <x:v>Provider consistency</x:v>
      </x:c>
      <x:c r="B17" s="15" t="str">
        <x:v>Train/live metric semantics identical</x:v>
      </x:c>
      <x:c r="C17" s="15" t="str">
        <x:v>Avoid scale mismatch</x:v>
      </x:c>
      <x:c r="D17" s="15" t="str">
        <x:v>Zero affected model</x:v>
      </x:c>
      <x:c r="E17" s="15" t="str">
        <x:v>System</x:v>
      </x:c>
      <x:c r="F17" s="15" t="str">
        <x:v>YES</x:v>
      </x:c>
      <x:c r="G17" s="15" t="str">
        <x:v>YES</x:v>
      </x:c>
      <x:c r="H17" s="15" t="str">
        <x:v>YES</x:v>
      </x:c>
      <x:c r="I17" s="15" t="str">
        <x:v>YES for xG</x:v>
      </x:c>
      <x:c r="J17" s="15" t="str">
        <x:v>Do not map guessed scales</x:v>
      </x:c>
      <x:c r="K17" s="15" t="str">
        <x:v>v0.3.1</x:v>
      </x:c>
      <x:c r="L17" s="15" t="str">
        <x:v>LOCKED</x:v>
      </x:c>
      <x:c r="M17" s="15" t="str"/>
    </x:row>
    <x:row r="18">
      <x:c r="A18" s="15" t="str">
        <x:v>Current-match isolation</x:v>
      </x:c>
      <x:c r="B18" s="15" t="str">
        <x:v>Current paper match never enters training before settlement</x:v>
      </x:c>
      <x:c r="C18" s="15" t="str">
        <x:v>Avoid contamination</x:v>
      </x:c>
      <x:c r="D18" s="15" t="str">
        <x:v>Block training job</x:v>
      </x:c>
      <x:c r="E18" s="15" t="str">
        <x:v>System</x:v>
      </x:c>
      <x:c r="F18" s="15" t="str">
        <x:v>YES</x:v>
      </x:c>
      <x:c r="G18" s="15" t="str">
        <x:v>YES</x:v>
      </x:c>
      <x:c r="H18" s="15" t="str">
        <x:v>YES</x:v>
      </x:c>
      <x:c r="I18" s="15" t="str">
        <x:v>N/A</x:v>
      </x:c>
      <x:c r="J18" s="15" t="str">
        <x:v>Quarantine current row</x:v>
      </x:c>
      <x:c r="K18" s="15" t="str">
        <x:v>v0.3.1</x:v>
      </x:c>
      <x:c r="L18" s="15" t="str">
        <x:v>LOCKED</x:v>
      </x:c>
      <x:c r="M18" s="15" t="str"/>
    </x:row>
  </x:sheetData>
  <x:mergeCells>
    <x:mergeCell ref="A1:M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14" hidden="0" customWidth="1"/>
    <x:col min="5" max="5" width="38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94" t="str">
        <x:v>v0.3.1 — MARKET SURFACE &amp; DISTRIBUTION CONSISTENCY</x:v>
      </x:c>
      <x:c r="B1" s="494"/>
      <x:c r="C1" s="494"/>
      <x:c r="D1" s="494"/>
      <x:c r="E1" s="494"/>
      <x:c r="F1" s="494"/>
      <x:c r="G1" s="478"/>
      <x:c r="H1" s="478"/>
      <x:c r="I1" s="478"/>
      <x:c r="J1" s="478"/>
    </x:row>
    <x:row r="3">
      <x:c r="A3" s="483" t="str">
        <x:v>Line</x:v>
      </x:c>
      <x:c r="B3" s="483" t="str">
        <x:v>Over Odds</x:v>
      </x:c>
      <x:c r="C3" s="483" t="str">
        <x:v>Under Odds</x:v>
      </x:c>
      <x:c r="D3" s="483" t="str">
        <x:v>Fair Over P</x:v>
      </x:c>
      <x:c r="E3" s="483" t="str">
        <x:v>Fair Under P</x:v>
      </x:c>
      <x:c r="F3" s="483" t="str">
        <x:v>Poisson-Implied λ</x:v>
      </x:c>
      <x:c r="G3" s="483" t="str">
        <x:v>Direct Market Use</x:v>
      </x:c>
      <x:c r="H3" s="483" t="str">
        <x:v>Cross-Line Role</x:v>
      </x:c>
      <x:c r="I3" s="483" t="str">
        <x:v>Status</x:v>
      </x:c>
      <x:c r="J3" s="483" t="str">
        <x:v>Source</x:v>
      </x:c>
    </x:row>
    <x:row r="4">
      <x:c r="A4" t="str">
        <x:v>2.5</x:v>
      </x:c>
      <x:c r="B4" s="30" t="n">
        <x:v>1.5405405405405406</x:v>
      </x:c>
      <x:c r="C4" s="30" t="n">
        <x:v>2.4</x:v>
      </x:c>
      <x:c r="D4" s="32" t="n">
        <x:f>(1/B4)/((1/B4)+(1/C4))</x:f>
        <x:v>0.6090534979423868</x:v>
      </x:c>
      <x:c r="E4" s="32" t="n">
        <x:f>(1/C4)/((1/B4)+(1/C4))</x:f>
        <x:v>0.39094650205761317</x:v>
      </x:c>
      <x:c r="F4" s="96" t="n">
        <x:v>3.1476018922</x:v>
      </x:c>
      <x:c r="G4" t="str">
        <x:v>Primary only for O/U2.5</x:v>
      </x:c>
      <x:c r="H4" t="str">
        <x:v>Shape check for 3.5</x:v>
      </x:c>
      <x:c r="I4" t="str">
        <x:v>ACTIVE</x:v>
      </x:c>
      <x:c r="J4" t="str">
        <x:v>FOX Sports</x:v>
      </x:c>
    </x:row>
    <x:row r="5">
      <x:c r="A5" t="str">
        <x:v>3.5</x:v>
      </x:c>
      <x:c r="B5" s="30" t="n">
        <x:v>2.2</x:v>
      </x:c>
      <x:c r="C5" s="30" t="n">
        <x:v>1.625</x:v>
      </x:c>
      <x:c r="D5" s="32" t="n">
        <x:f>(1/B5)/((1/B5)+(1/C5))</x:f>
        <x:v>0.4248366013071895</x:v>
      </x:c>
      <x:c r="E5" s="32" t="n">
        <x:f>(1/C5)/((1/B5)+(1/C5))</x:f>
        <x:v>0.5751633986928104</x:v>
      </x:c>
      <x:c r="F5" s="96" t="n">
        <x:v>3.3234503026</x:v>
      </x:c>
      <x:c r="G5" t="str">
        <x:v>PRIMARY for U3.5 decision</x:v>
      </x:c>
      <x:c r="H5" t="str">
        <x:v>Shape check vs 2.5</x:v>
      </x:c>
      <x:c r="I5" t="str">
        <x:v>ACTIVE</x:v>
      </x:c>
      <x:c r="J5" t="str">
        <x:v>FOX Sports</x:v>
      </x:c>
    </x:row>
    <x:row r="8">
      <x:c r="A8" s="491" t="str">
        <x:v>SURFACE DIAGNOSTIC</x:v>
      </x:c>
      <x:c r="B8" s="491" t="str">
        <x:v>Value</x:v>
      </x:c>
      <x:c r="C8" s="491" t="str">
        <x:v>Threshold</x:v>
      </x:c>
      <x:c r="D8" s="491" t="str">
        <x:v>Status</x:v>
      </x:c>
      <x:c r="E8" s="491" t="str">
        <x:v>Interpretation</x:v>
      </x:c>
      <x:c r="F8" s="491" t="str">
        <x:v>Action</x:v>
      </x:c>
      <x:c r="H8" s="498" t="str">
        <x:v>KEY CORRECTION</x:v>
      </x:c>
      <x:c r="I8" s="498" t="str">
        <x:v>Old v0.3.0</x:v>
      </x:c>
      <x:c r="J8" s="498" t="str">
        <x:v>New v0.3.1</x:v>
      </x:c>
    </x:row>
    <x:row r="9">
      <x:c r="A9" s="493" t="str">
        <x:v>λ from 2.5 line</x:v>
      </x:c>
      <x:c r="B9" s="96" t="n">
        <x:f>F4</x:f>
        <x:v>3.1476018922</x:v>
      </x:c>
      <x:c r="C9" t="str"/>
      <x:c r="D9" t="str">
        <x:v>INFO</x:v>
      </x:c>
      <x:c r="E9" t="str">
        <x:v>Latent total if Poisson fits 2.5</x:v>
      </x:c>
      <x:c r="F9" t="str"/>
      <x:c r="H9" s="501" t="str">
        <x:v>U3.5 market anchor</x:v>
      </x:c>
      <x:c r="I9" s="15" t="str">
        <x:v>Derived indirectly from O/U2.5 Poisson</x:v>
      </x:c>
      <x:c r="J9" s="15" t="str">
        <x:v>Direct de-vig O/U3.5</x:v>
      </x:c>
    </x:row>
    <x:row r="10">
      <x:c r="A10" s="493" t="str">
        <x:v>λ from 3.5 line</x:v>
      </x:c>
      <x:c r="B10" s="96" t="n">
        <x:f>F5</x:f>
        <x:v>3.3234503026</x:v>
      </x:c>
      <x:c r="C10" t="str"/>
      <x:c r="D10" t="str">
        <x:v>INFO</x:v>
      </x:c>
      <x:c r="E10" t="str">
        <x:v>Latent total if Poisson fits 3.5</x:v>
      </x:c>
      <x:c r="F10" t="str"/>
      <x:c r="H10" s="501" t="str">
        <x:v>Old market P U3.5</x:v>
      </x:c>
      <x:c r="I10" s="15" t="str">
        <x:v>~61.4%</x:v>
      </x:c>
      <x:c r="J10" s="15" t="str">
        <x:v>Replaced</x:v>
      </x:c>
    </x:row>
    <x:row r="11">
      <x:c r="A11" s="493" t="str">
        <x:v>λ surface gap</x:v>
      </x:c>
      <x:c r="B11" s="96" t="n">
        <x:f>ABS(B10-B9)</x:f>
        <x:v>0.1758484104</x:v>
      </x:c>
      <x:c r="C11" t="str">
        <x:v>&gt;0.10 WATCH; &gt;0.25 FAIL</x:v>
      </x:c>
      <x:c r="D11" t="str">
        <x:f>IF(B11&gt;0.25,"FAIL",IF(B11&gt;0.10,"WATCH","PASS"))</x:f>
        <x:v>WATCH</x:v>
      </x:c>
      <x:c r="E11" t="str">
        <x:v>Cross-threshold distribution mismatch</x:v>
      </x:c>
      <x:c r="F11" t="str">
        <x:v>Increase uncertainty</x:v>
      </x:c>
      <x:c r="H11" s="501" t="str">
        <x:v>Direct market P U3.5</x:v>
      </x:c>
      <x:c r="I11" s="15" t="str">
        <x:v>N/A</x:v>
      </x:c>
      <x:c r="J11" s="15" t="str">
        <x:v>~57.5%</x:v>
      </x:c>
    </x:row>
    <x:row r="12">
      <x:c r="A12" s="493" t="str">
        <x:v>Direct fair P U3.5</x:v>
      </x:c>
      <x:c r="B12" s="32" t="n">
        <x:f>E5</x:f>
        <x:v>0.5751633986928104</x:v>
      </x:c>
      <x:c r="C12" t="str">
        <x:v>Use this for U3.5 market anchor</x:v>
      </x:c>
      <x:c r="D12" t="str">
        <x:v>PASS</x:v>
      </x:c>
      <x:c r="E12" t="str">
        <x:v>Do not infer U3.5 only from O2.5</x:v>
      </x:c>
      <x:c r="F12" t="str">
        <x:v>Primary anchor</x:v>
      </x:c>
      <x:c r="H12" s="501" t="str">
        <x:v>Reason</x:v>
      </x:c>
      <x:c r="I12" s="15" t="str">
        <x:v>Assumed one Poisson λ fits every total line</x:v>
      </x:c>
      <x:c r="J12" s="15" t="str">
        <x:v>Observed market surface disagrees</x:v>
      </x:c>
    </x:row>
    <x:row r="13">
      <x:c r="A13" s="493" t="str">
        <x:v>Football P U3.5</x:v>
      </x:c>
      <x:c r="B13" s="32" t="n">
        <x:v>0.6425271257</x:v>
      </x:c>
      <x:c r="C13" t="str">
        <x:v>Internal model</x:v>
      </x:c>
      <x:c r="D13" t="str">
        <x:v>INFO</x:v>
      </x:c>
      <x:c r="E13" t="str">
        <x:v>Independent football-state estimate</x:v>
      </x:c>
      <x:c r="F13" t="str">
        <x:v>Capped weight</x:v>
      </x:c>
      <x:c r="H13" s="501" t="str">
        <x:v>Effect on ensemble</x:v>
      </x:c>
      <x:c r="I13" s="15" t="str">
        <x:v>~62.4%</x:v>
      </x:c>
      <x:c r="J13" s="15" t="str">
        <x:v>~59.9%</x:v>
      </x:c>
    </x:row>
    <x:row r="14">
      <x:c r="A14" s="493" t="str">
        <x:v>Market-anchor P U3.5</x:v>
      </x:c>
      <x:c r="B14" s="32" t="n">
        <x:f>B12</x:f>
        <x:v>0.5751633986928104</x:v>
      </x:c>
      <x:c r="C14" t="str">
        <x:v>Direct same-market de-vig</x:v>
      </x:c>
      <x:c r="D14" t="str">
        <x:v>PASS</x:v>
      </x:c>
      <x:c r="E14" t="str">
        <x:v>Strongest price-aware baseline</x:v>
      </x:c>
      <x:c r="F14" t="str">
        <x:v>65% weight</x:v>
      </x:c>
      <x:c r="H14" s="501" t="str">
        <x:v>Effect on EV @1.625</x:v>
      </x:c>
      <x:c r="I14" s="15" t="str">
        <x:v>~+1.4%</x:v>
      </x:c>
      <x:c r="J14" s="15" t="str">
        <x:v>~-2.7%</x:v>
      </x:c>
    </x:row>
    <x:row r="15">
      <x:c r="A15" s="493" t="str">
        <x:v>Reliability ensemble P</x:v>
      </x:c>
      <x:c r="B15" s="32" t="n">
        <x:f>0.35*B13+0.65*B14</x:f>
        <x:v>0.5987407031453268</x:v>
      </x:c>
      <x:c r="C15" t="str">
        <x:v>35% football + 65% direct market</x:v>
      </x:c>
      <x:c r="D15" t="str">
        <x:v>INFO</x:v>
      </x:c>
      <x:c r="E15" t="str">
        <x:v>Conservative meta-estimate</x:v>
      </x:c>
      <x:c r="F15" t="str">
        <x:v>Paper evaluation</x:v>
      </x:c>
      <x:c r="H15" s="501" t="str">
        <x:v>Decision impact</x:v>
      </x:c>
      <x:c r="I15" s="15" t="str">
        <x:v>WATCH</x:v>
      </x:c>
      <x:c r="J15" s="15" t="str">
        <x:v>FAIL / NO VALUE</x:v>
      </x:c>
    </x:row>
    <x:row r="16">
      <x:c r="A16" s="493" t="str">
        <x:v>EV @ FOX U3.5 1.625</x:v>
      </x:c>
      <x:c r="B16" s="32" t="n">
        <x:f>B15*C5-1</x:f>
        <x:v>-0.027046357388843978</x:v>
      </x:c>
      <x:c r="C16" t="str">
        <x:v>&gt;=3% preferred</x:v>
      </x:c>
      <x:c r="D16" t="str">
        <x:f>IF(B16&gt;=0.03,"PASS",IF(B16&gt;0,"WATCH","FAIL"))</x:f>
        <x:v>FAIL</x:v>
      </x:c>
      <x:c r="E16" t="str">
        <x:v>Executable only if same price obtainable</x:v>
      </x:c>
      <x:c r="F16" t="str">
        <x:v>No promotion</x:v>
      </x:c>
    </x:row>
  </x:sheetData>
  <x:mergeCells>
    <x:mergeCell ref="A1:J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30" hidden="0" customWidth="1"/>
    <x:col min="5" max="5" width="24" hidden="0" customWidth="1"/>
    <x:col min="6" max="6" width="28" hidden="0" customWidth="1"/>
    <x:col min="7" max="7" width="28" hidden="0" customWidth="1"/>
    <x:col min="8" max="8" width="24" hidden="0" customWidth="1"/>
    <x:col min="9" max="9" width="22" hidden="0" customWidth="1"/>
    <x:col min="10" max="10" width="28" hidden="0" customWidth="1"/>
    <x:col min="11" max="11" width="28" hidden="0" customWidth="1"/>
  </x:cols>
  <x:sheetData>
    <x:row r="1">
      <x:c r="A1" s="494" t="str">
        <x:v>v0.3.1 — MODEL TRAINING, CALIBRATION &amp; PROMOTION ENGINE</x:v>
      </x:c>
      <x:c r="B1" s="494"/>
      <x:c r="C1" s="494"/>
      <x:c r="D1" s="494"/>
      <x:c r="E1" s="494"/>
      <x:c r="F1" s="494"/>
      <x:c r="G1" s="494"/>
      <x:c r="H1" s="494"/>
      <x:c r="I1" s="494"/>
      <x:c r="J1" s="494"/>
      <x:c r="K1" s="494"/>
    </x:row>
    <x:row r="3">
      <x:c r="A3" s="483" t="str">
        <x:v>Stage</x:v>
      </x:c>
      <x:c r="B3" s="483" t="str">
        <x:v>Data Split</x:v>
      </x:c>
      <x:c r="C3" s="483" t="str">
        <x:v>Objective</x:v>
      </x:c>
      <x:c r="D3" s="483" t="str">
        <x:v>Models</x:v>
      </x:c>
      <x:c r="E3" s="483" t="str">
        <x:v>Metric</x:v>
      </x:c>
      <x:c r="F3" s="483" t="str">
        <x:v>Minimum Evidence</x:v>
      </x:c>
      <x:c r="G3" s="483" t="str">
        <x:v>Promotion Rule</x:v>
      </x:c>
      <x:c r="H3" s="483" t="str">
        <x:v>Leakage Guard</x:v>
      </x:c>
      <x:c r="I3" s="483" t="str">
        <x:v>Current State</x:v>
      </x:c>
      <x:c r="J3" s="483" t="str">
        <x:v>Automation Target</x:v>
      </x:c>
      <x:c r="K3" s="483" t="str">
        <x:v>Notes</x:v>
      </x:c>
    </x:row>
    <x:row r="4">
      <x:c r="A4" t="str">
        <x:v>0. Ingest</x:v>
      </x:c>
      <x:c r="B4" t="str">
        <x:v>Raw timestamped snapshots</x:v>
      </x:c>
      <x:c r="C4" t="str">
        <x:v>Completeness + provenance</x:v>
      </x:c>
      <x:c r="D4" t="str">
        <x:v>None</x:v>
      </x:c>
      <x:c r="E4" t="str">
        <x:v>Missingness/source integrity</x:v>
      </x:c>
      <x:c r="F4" t="str">
        <x:v>Every row timestamped</x:v>
      </x:c>
      <x:c r="G4" t="str">
        <x:v>100% provenance critical fields</x:v>
      </x:c>
      <x:c r="H4" t="str">
        <x:v>Event-time cutoffs</x:v>
      </x:c>
      <x:c r="I4" t="str">
        <x:v>SCHEMA READY</x:v>
      </x:c>
      <x:c r="J4" t="str">
        <x:v>Automatic API ingestion</x:v>
      </x:c>
      <x:c r="K4" t="str"/>
    </x:row>
    <x:row r="5">
      <x:c r="A5" t="str">
        <x:v>1. Feature Build</x:v>
      </x:c>
      <x:c r="B5" t="str">
        <x:v>Train period only</x:v>
      </x:c>
      <x:c r="C5" t="str">
        <x:v>Rolling pre-match state</x:v>
      </x:c>
      <x:c r="D5" t="str">
        <x:v>M001/M003/M004/M005</x:v>
      </x:c>
      <x:c r="E5" t="str">
        <x:v>Leakage tests</x:v>
      </x:c>
      <x:c r="F5" t="str">
        <x:v>3+ prior matches minimum</x:v>
      </x:c>
      <x:c r="G5" t="str">
        <x:v>No future references</x:v>
      </x:c>
      <x:c r="H5" t="str">
        <x:v>Chronological features</x:v>
      </x:c>
      <x:c r="I5" t="str">
        <x:v>PARTIAL</x:v>
      </x:c>
      <x:c r="J5" t="str">
        <x:v>Feature jobs per snapshot</x:v>
      </x:c>
      <x:c r="K5" t="str"/>
    </x:row>
    <x:row r="6">
      <x:c r="A6" t="str">
        <x:v>2. Fit</x:v>
      </x:c>
      <x:c r="B6" t="str">
        <x:v>Oldest chronological block</x:v>
      </x:c>
      <x:c r="C6" t="str">
        <x:v>Learn parameters</x:v>
      </x:c>
      <x:c r="D6" t="str">
        <x:v>Poisson, NB, state-space, GBM</x:v>
      </x:c>
      <x:c r="E6" t="str">
        <x:v>Log loss + Brier</x:v>
      </x:c>
      <x:c r="F6" t="str">
        <x:v>Hundreds of matches preferred</x:v>
      </x:c>
      <x:c r="G6" t="str">
        <x:v>Beat simple baselines</x:v>
      </x:c>
      <x:c r="H6" t="str">
        <x:v>No validation access</x:v>
      </x:c>
      <x:c r="I6" t="str">
        <x:v>NOT STARTED</x:v>
      </x:c>
      <x:c r="J6" t="str">
        <x:v>Scheduled retraining</x:v>
      </x:c>
      <x:c r="K6" t="str"/>
    </x:row>
    <x:row r="7">
      <x:c r="A7" t="str">
        <x:v>3. Calibrate</x:v>
      </x:c>
      <x:c r="B7" t="str">
        <x:v>Separate calibration block</x:v>
      </x:c>
      <x:c r="C7" t="str">
        <x:v>Probability calibration</x:v>
      </x:c>
      <x:c r="D7" t="str">
        <x:v>Beta/isotonic calibration</x:v>
      </x:c>
      <x:c r="E7" t="str">
        <x:v>ECE + Brier</x:v>
      </x:c>
      <x:c r="F7" t="str">
        <x:v>Adequate probability bins</x:v>
      </x:c>
      <x:c r="G7" t="str">
        <x:v>Calibration improves OOS scores</x:v>
      </x:c>
      <x:c r="H7" t="str">
        <x:v>No test access</x:v>
      </x:c>
      <x:c r="I7" t="str">
        <x:v>NOT STARTED</x:v>
      </x:c>
      <x:c r="J7" t="str">
        <x:v>Calibration job</x:v>
      </x:c>
      <x:c r="K7" t="str"/>
    </x:row>
    <x:row r="8">
      <x:c r="A8" t="str">
        <x:v>4. Stack</x:v>
      </x:c>
      <x:c r="B8" t="str">
        <x:v>Separate stacking block</x:v>
      </x:c>
      <x:c r="C8" t="str">
        <x:v>Learn model weights</x:v>
      </x:c>
      <x:c r="D8" t="str">
        <x:v>Market + football models</x:v>
      </x:c>
      <x:c r="E8" t="str">
        <x:v>Log loss</x:v>
      </x:c>
      <x:c r="F8" t="str">
        <x:v>OOS predictions only</x:v>
      </x:c>
      <x:c r="G8" t="str">
        <x:v>Weights learned, not guessed</x:v>
      </x:c>
      <x:c r="H8" t="str">
        <x:v>No raw outcome leakage</x:v>
      </x:c>
      <x:c r="I8" t="str">
        <x:v>CURRENT WEIGHTS MANUAL</x:v>
      </x:c>
      <x:c r="J8" t="str">
        <x:v>Stacking optimizer</x:v>
      </x:c>
      <x:c r="K8" t="str"/>
    </x:row>
    <x:row r="9">
      <x:c r="A9" t="str">
        <x:v>5. Validate</x:v>
      </x:c>
      <x:c r="B9" t="str">
        <x:v>Unseen season/time block</x:v>
      </x:c>
      <x:c r="C9" t="str">
        <x:v>Generalization</x:v>
      </x:c>
      <x:c r="D9" t="str">
        <x:v>Full ensemble</x:v>
      </x:c>
      <x:c r="E9" t="str">
        <x:v>ROI + CLV + Brier + LogLoss</x:v>
      </x:c>
      <x:c r="F9" t="str">
        <x:v>30+ qualifiers minimum</x:v>
      </x:c>
      <x:c r="G9" t="str">
        <x:v>Stable across thresholds/time</x:v>
      </x:c>
      <x:c r="H9" t="str">
        <x:v>Frozen model</x:v>
      </x:c>
      <x:c r="I9" t="str">
        <x:v>NOT READY</x:v>
      </x:c>
      <x:c r="J9" t="str">
        <x:v>Walk-forward evaluation</x:v>
      </x:c>
      <x:c r="K9" t="str"/>
    </x:row>
    <x:row r="10">
      <x:c r="A10" t="str">
        <x:v>6. Stress</x:v>
      </x:c>
      <x:c r="B10" t="str">
        <x:v>Regime/time/provider shifts</x:v>
      </x:c>
      <x:c r="C10" t="str">
        <x:v>Robustness</x:v>
      </x:c>
      <x:c r="D10" t="str">
        <x:v>Full ensemble</x:v>
      </x:c>
      <x:c r="E10" t="str">
        <x:v>Worst-block ROI/calibration</x:v>
      </x:c>
      <x:c r="F10" t="str">
        <x:v>Multiple time blocks</x:v>
      </x:c>
      <x:c r="G10" t="str">
        <x:v>No catastrophic block</x:v>
      </x:c>
      <x:c r="H10" t="str">
        <x:v>Frozen model</x:v>
      </x:c>
      <x:c r="I10" t="str">
        <x:v>NOT READY</x:v>
      </x:c>
      <x:c r="J10" t="str">
        <x:v>Drift tests</x:v>
      </x:c>
      <x:c r="K10" t="str"/>
    </x:row>
    <x:row r="11">
      <x:c r="A11" t="str">
        <x:v>7. Promote</x:v>
      </x:c>
      <x:c r="B11" t="str">
        <x:v>Live paper stream</x:v>
      </x:c>
      <x:c r="C11" t="str">
        <x:v>Execution readiness</x:v>
      </x:c>
      <x:c r="D11" t="str">
        <x:v>Full ensemble</x:v>
      </x:c>
      <x:c r="E11" t="str">
        <x:v>CLV + realized ROI</x:v>
      </x:c>
      <x:c r="F11" t="str">
        <x:v>Large paper sample</x:v>
      </x:c>
      <x:c r="G11" t="str">
        <x:v>All critical gates pass</x:v>
      </x:c>
      <x:c r="H11" t="str">
        <x:v>No manual overrides</x:v>
      </x:c>
      <x:c r="I11" t="str">
        <x:v>BLOCKED</x:v>
      </x:c>
      <x:c r="J11" t="str">
        <x:v>Promotion controller</x:v>
      </x:c>
      <x:c r="K11" t="str"/>
    </x:row>
    <x:row r="14">
      <x:c r="A14" s="487" t="str">
        <x:v>MODEL</x:v>
      </x:c>
      <x:c r="B14" s="487" t="str">
        <x:v>Class</x:v>
      </x:c>
      <x:c r="C14" s="487" t="str">
        <x:v>Active?</x:v>
      </x:c>
      <x:c r="D14" s="487" t="str">
        <x:v>Weight Method</x:v>
      </x:c>
      <x:c r="E14" s="487" t="str">
        <x:v>Calibration</x:v>
      </x:c>
      <x:c r="F14" s="487" t="str">
        <x:v>Uncertainty</x:v>
      </x:c>
      <x:c r="G14" s="487" t="str">
        <x:v>Drift Sensitivity</x:v>
      </x:c>
      <x:c r="H14" s="487" t="str">
        <x:v>Data Needed</x:v>
      </x:c>
      <x:c r="I14" s="487" t="str">
        <x:v>Current Weight</x:v>
      </x:c>
      <x:c r="J14" s="487" t="str">
        <x:v>Max Until Validated</x:v>
      </x:c>
      <x:c r="K14" s="487" t="str">
        <x:v>Status</x:v>
      </x:c>
    </x:row>
    <x:row r="15">
      <x:c r="A15" s="15" t="str">
        <x:v>M001 Football-State</x:v>
      </x:c>
      <x:c r="B15" s="15" t="str">
        <x:v>Poisson/state</x:v>
      </x:c>
      <x:c r="C15" s="15" t="str">
        <x:v>YES</x:v>
      </x:c>
      <x:c r="D15" s="15" t="str">
        <x:v>Manual cap today</x:v>
      </x:c>
      <x:c r="E15" s="15" t="str">
        <x:v>None yet</x:v>
      </x:c>
      <x:c r="F15" s="15" t="str">
        <x:v>Parameter + model disagreement</x:v>
      </x:c>
      <x:c r="G15" s="15" t="str">
        <x:v>High</x:v>
      </x:c>
      <x:c r="H15" s="15" t="str">
        <x:v>Rolling goals/xG</x:v>
      </x:c>
      <x:c r="I15" s="502" t="n">
        <x:v>0.35</x:v>
      </x:c>
      <x:c r="J15" s="502" t="n">
        <x:v>0.35</x:v>
      </x:c>
      <x:c r="K15" s="15" t="str">
        <x:v>LIMITED</x:v>
      </x:c>
    </x:row>
    <x:row r="16">
      <x:c r="A16" s="15" t="str">
        <x:v>M002 Direct Market</x:v>
      </x:c>
      <x:c r="B16" s="15" t="str">
        <x:v>Market anchor</x:v>
      </x:c>
      <x:c r="C16" s="15" t="str">
        <x:v>YES</x:v>
      </x:c>
      <x:c r="D16" s="15" t="str">
        <x:v>Reliability anchor</x:v>
      </x:c>
      <x:c r="E16" s="15" t="str">
        <x:v>Market itself</x:v>
      </x:c>
      <x:c r="F16" s="15" t="str">
        <x:v>Book dispersion/surface</x:v>
      </x:c>
      <x:c r="G16" s="15" t="str">
        <x:v>Medium</x:v>
      </x:c>
      <x:c r="H16" s="15" t="str">
        <x:v>Same-book paired odds</x:v>
      </x:c>
      <x:c r="I16" s="502" t="n">
        <x:v>0.65</x:v>
      </x:c>
      <x:c r="J16" s="502" t="n">
        <x:v>1</x:v>
      </x:c>
      <x:c r="K16" s="15" t="str">
        <x:v>ACTIVE</x:v>
      </x:c>
    </x:row>
    <x:row r="17">
      <x:c r="A17" s="15" t="str">
        <x:v>M003 Dynamic xG</x:v>
      </x:c>
      <x:c r="B17" s="15" t="str">
        <x:v>Bayesian state-space</x:v>
      </x:c>
      <x:c r="C17" s="15" t="str">
        <x:v>NO</x:v>
      </x:c>
      <x:c r="D17" s="15" t="str">
        <x:v>Learned OOS</x:v>
      </x:c>
      <x:c r="E17" s="15" t="str">
        <x:v>Required</x:v>
      </x:c>
      <x:c r="F17" s="15" t="str">
        <x:v>Posterior intervals</x:v>
      </x:c>
      <x:c r="G17" s="15" t="str">
        <x:v>High</x:v>
      </x:c>
      <x:c r="H17" s="15" t="str">
        <x:v>Same-provider xG history</x:v>
      </x:c>
      <x:c r="I17" s="502" t="n">
        <x:v>0</x:v>
      </x:c>
      <x:c r="J17" s="502" t="n">
        <x:v>0</x:v>
      </x:c>
      <x:c r="K17" s="15" t="str">
        <x:v>WAIT DATA</x:v>
      </x:c>
    </x:row>
    <x:row r="18">
      <x:c r="A18" s="15" t="str">
        <x:v>M004 Player Impact</x:v>
      </x:c>
      <x:c r="B18" s="15" t="str">
        <x:v>Hierarchical player model</x:v>
      </x:c>
      <x:c r="C18" s="15" t="str">
        <x:v>NO</x:v>
      </x:c>
      <x:c r="D18" s="15" t="str">
        <x:v>Learned OOS</x:v>
      </x:c>
      <x:c r="E18" s="15" t="str">
        <x:v>Required</x:v>
      </x:c>
      <x:c r="F18" s="15" t="str">
        <x:v>Player uncertainty</x:v>
      </x:c>
      <x:c r="G18" s="15" t="str">
        <x:v>High</x:v>
      </x:c>
      <x:c r="H18" s="15" t="str">
        <x:v>Minutes/xG/xA/roles</x:v>
      </x:c>
      <x:c r="I18" s="502" t="n">
        <x:v>0</x:v>
      </x:c>
      <x:c r="J18" s="502" t="n">
        <x:v>0</x:v>
      </x:c>
      <x:c r="K18" s="15" t="str">
        <x:v>WAIT DATA</x:v>
      </x:c>
    </x:row>
    <x:row r="19">
      <x:c r="A19" s="15" t="str">
        <x:v>M005 Fatigue/Travel</x:v>
      </x:c>
      <x:c r="B19" s="15" t="str">
        <x:v>Regression/GBM</x:v>
      </x:c>
      <x:c r="C19" s="15" t="str">
        <x:v>NO</x:v>
      </x:c>
      <x:c r="D19" s="15" t="str">
        <x:v>Learned OOS</x:v>
      </x:c>
      <x:c r="E19" s="15" t="str">
        <x:v>Required</x:v>
      </x:c>
      <x:c r="F19" s="15" t="str">
        <x:v>Feature uncertainty</x:v>
      </x:c>
      <x:c r="G19" s="15" t="str">
        <x:v>Medium</x:v>
      </x:c>
      <x:c r="H19" s="15" t="str">
        <x:v>Travel/rest/calendar</x:v>
      </x:c>
      <x:c r="I19" s="502" t="n">
        <x:v>0</x:v>
      </x:c>
      <x:c r="J19" s="502" t="n">
        <x:v>0</x:v>
      </x:c>
      <x:c r="K19" s="15" t="str">
        <x:v>WAIT DATA</x:v>
      </x:c>
    </x:row>
    <x:row r="20">
      <x:c r="A20" s="15" t="str">
        <x:v>M006 Market Microstructure</x:v>
      </x:c>
      <x:c r="B20" s="15" t="str">
        <x:v>Time-series</x:v>
      </x:c>
      <x:c r="C20" s="15" t="str">
        <x:v>NO</x:v>
      </x:c>
      <x:c r="D20" s="15" t="str">
        <x:v>Learned OOS</x:v>
      </x:c>
      <x:c r="E20" s="15" t="str">
        <x:v>Required</x:v>
      </x:c>
      <x:c r="F20" s="15" t="str">
        <x:v>Book dispersion</x:v>
      </x:c>
      <x:c r="G20" s="15" t="str">
        <x:v>High</x:v>
      </x:c>
      <x:c r="H20" s="15" t="str">
        <x:v>5-min snapshots</x:v>
      </x:c>
      <x:c r="I20" s="502" t="n">
        <x:v>0</x:v>
      </x:c>
      <x:c r="J20" s="502" t="n">
        <x:v>0</x:v>
      </x:c>
      <x:c r="K20" s="15" t="str">
        <x:v>WAIT DATA</x:v>
      </x:c>
    </x:row>
    <x:row r="21">
      <x:c r="A21" s="15" t="str">
        <x:v>M007 Similarity Retrieval</x:v>
      </x:c>
      <x:c r="B21" s="15" t="str">
        <x:v>kNN/metric learning</x:v>
      </x:c>
      <x:c r="C21" s="15" t="str">
        <x:v>NO</x:v>
      </x:c>
      <x:c r="D21" s="15" t="str">
        <x:v>Learned OOS</x:v>
      </x:c>
      <x:c r="E21" s="15" t="str">
        <x:v>Empirical</x:v>
      </x:c>
      <x:c r="F21" s="15" t="str">
        <x:v>Neighbour variance</x:v>
      </x:c>
      <x:c r="G21" s="15" t="str">
        <x:v>High</x:v>
      </x:c>
      <x:c r="H21" s="15" t="str">
        <x:v>Large normalized store</x:v>
      </x:c>
      <x:c r="I21" s="502" t="n">
        <x:v>0</x:v>
      </x:c>
      <x:c r="J21" s="502" t="n">
        <x:v>0</x:v>
      </x:c>
      <x:c r="K21" s="15" t="str">
        <x:v>WAIT DATA</x:v>
      </x:c>
    </x:row>
    <x:row r="22">
      <x:c r="A22" s="15" t="str">
        <x:v>M008 Goal Distribution</x:v>
      </x:c>
      <x:c r="B22" s="15" t="str">
        <x:v>Poisson/NB/mixture</x:v>
      </x:c>
      <x:c r="C22" s="15" t="str">
        <x:v>NO</x:v>
      </x:c>
      <x:c r="D22" s="15" t="str">
        <x:v>Model selection OOS</x:v>
      </x:c>
      <x:c r="E22" s="15" t="str">
        <x:v>Required</x:v>
      </x:c>
      <x:c r="F22" s="15" t="str">
        <x:v>Tail uncertainty</x:v>
      </x:c>
      <x:c r="G22" s="15" t="str">
        <x:v>High</x:v>
      </x:c>
      <x:c r="H22" s="15" t="str">
        <x:v>Multi-line totals history</x:v>
      </x:c>
      <x:c r="I22" s="502" t="n">
        <x:v>0</x:v>
      </x:c>
      <x:c r="J22" s="502" t="n">
        <x:v>0</x:v>
      </x:c>
      <x:c r="K22" s="15" t="str">
        <x:v>NEW PRIORITY</x:v>
      </x:c>
    </x:row>
    <x:row r="23">
      <x:c r="A23" s="15" t="str">
        <x:v>M009 Calibration Stacker</x:v>
      </x:c>
      <x:c r="B23" s="15" t="str">
        <x:v>Meta-model</x:v>
      </x:c>
      <x:c r="C23" s="15" t="str">
        <x:v>NO</x:v>
      </x:c>
      <x:c r="D23" s="15" t="str">
        <x:v>OOS optimizer</x:v>
      </x:c>
      <x:c r="E23" s="15" t="str">
        <x:v>Core purpose</x:v>
      </x:c>
      <x:c r="F23" s="15" t="str">
        <x:v>Bootstrap intervals</x:v>
      </x:c>
      <x:c r="G23" s="15" t="str">
        <x:v>High</x:v>
      </x:c>
      <x:c r="H23" s="15" t="str">
        <x:v>OOS predictions from all models</x:v>
      </x:c>
      <x:c r="I23" s="502" t="n">
        <x:v>0</x:v>
      </x:c>
      <x:c r="J23" s="502" t="n">
        <x:v>0</x:v>
      </x:c>
      <x:c r="K23" s="15" t="str">
        <x:v>FUTURE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22" hidden="0" customWidth="1"/>
    <x:col min="5" max="5" width="14" hidden="0" customWidth="1"/>
    <x:col min="6" max="6" width="20" hidden="0" customWidth="1"/>
    <x:col min="7" max="7" width="34" hidden="0" customWidth="1"/>
    <x:col min="8" max="8" width="24" hidden="0" customWidth="1"/>
    <x:col min="9" max="9" width="38" hidden="0" customWidth="1"/>
  </x:cols>
  <x:sheetData>
    <x:row r="1">
      <x:c r="A1" s="494" t="str">
        <x:v>v0.3.1 — RELIABILITY-WEIGHTED DECISION ENGINE</x:v>
      </x:c>
      <x:c r="B1" s="494"/>
      <x:c r="C1" s="494"/>
      <x:c r="D1" s="494"/>
      <x:c r="E1" s="494"/>
      <x:c r="F1" s="494"/>
      <x:c r="G1" s="494"/>
      <x:c r="H1" s="494"/>
      <x:c r="I1" s="494"/>
    </x:row>
    <x:row r="3">
      <x:c r="A3" s="483" t="str">
        <x:v>Gate</x:v>
      </x:c>
      <x:c r="B3" s="483" t="str">
        <x:v>Metric</x:v>
      </x:c>
      <x:c r="C3" s="483" t="str">
        <x:v>Current</x:v>
      </x:c>
      <x:c r="D3" s="483" t="str">
        <x:v>Threshold</x:v>
      </x:c>
      <x:c r="E3" s="483" t="str">
        <x:v>Status</x:v>
      </x:c>
      <x:c r="F3" s="483" t="str">
        <x:v>Confidence Impact</x:v>
      </x:c>
      <x:c r="G3" s="483" t="str">
        <x:v>Action</x:v>
      </x:c>
      <x:c r="H3" s="483" t="str">
        <x:v>Source</x:v>
      </x:c>
      <x:c r="I3" s="483" t="str">
        <x:v>Why</x:v>
      </x:c>
    </x:row>
    <x:row r="4">
      <x:c r="A4" t="str">
        <x:v>Time integrity</x:v>
      </x:c>
      <x:c r="B4" t="str">
        <x:v>Final pre-kick lock</x:v>
      </x:c>
      <x:c r="C4" t="str">
        <x:v>03:20 EAT</x:v>
      </x:c>
      <x:c r="D4" t="str">
        <x:v>Before 03:25</x:v>
      </x:c>
      <x:c r="E4" t="str">
        <x:v>PASS</x:v>
      </x:c>
      <x:c r="F4" t="str">
        <x:v>0</x:v>
      </x:c>
      <x:c r="G4" t="str">
        <x:v>Freeze snapshot</x:v>
      </x:c>
      <x:c r="H4" t="str">
        <x:v>System</x:v>
      </x:c>
      <x:c r="I4" t="str">
        <x:v>No hindsight</x:v>
      </x:c>
    </x:row>
    <x:row r="5">
      <x:c r="A5" t="str">
        <x:v>Odds integrity</x:v>
      </x:c>
      <x:c r="B5" t="str">
        <x:v>3.5 paired line</x:v>
      </x:c>
      <x:c r="C5" t="str">
        <x:v>FOX O2.20 / U1.625</x:v>
      </x:c>
      <x:c r="D5" t="str">
        <x:v>Same book+time</x:v>
      </x:c>
      <x:c r="E5" t="str">
        <x:v>PASS</x:v>
      </x:c>
      <x:c r="F5" t="str">
        <x:v>0</x:v>
      </x:c>
      <x:c r="G5" t="str">
        <x:v>Use direct 3.5 de-vig</x:v>
      </x:c>
      <x:c r="H5" t="str">
        <x:v>FOX</x:v>
      </x:c>
      <x:c r="I5" t="str">
        <x:v>Correct market anchor</x:v>
      </x:c>
    </x:row>
    <x:row r="6">
      <x:c r="A6" t="str">
        <x:v>Market surface</x:v>
      </x:c>
      <x:c r="B6" t="str">
        <x:v>λ2.5 vs λ3.5 gap</x:v>
      </x:c>
      <x:c r="C6" s="96" t="n">
        <x:f>'Market_Surface_v0.3.1'!B11</x:f>
        <x:v>0.1758484104</x:v>
      </x:c>
      <x:c r="D6" t="str">
        <x:v>WATCH &gt;0.10</x:v>
      </x:c>
      <x:c r="E6" t="str">
        <x:f>IF(C6&gt;0.25,"FAIL",IF(C6&gt;0.10,"WATCH","PASS"))</x:f>
        <x:v>WATCH</x:v>
      </x:c>
      <x:c r="F6" t="str">
        <x:v>-1 level</x:v>
      </x:c>
      <x:c r="G6" t="str">
        <x:v>Increase distribution uncertainty</x:v>
      </x:c>
      <x:c r="H6" t="str">
        <x:v>Derived</x:v>
      </x:c>
      <x:c r="I6" t="str">
        <x:v>One Poisson λ does not fit surface</x:v>
      </x:c>
    </x:row>
    <x:row r="7">
      <x:c r="A7" t="str">
        <x:v>Football model</x:v>
      </x:c>
      <x:c r="B7" t="str">
        <x:v>P U3.5</x:v>
      </x:c>
      <x:c r="C7" s="32" t="n">
        <x:v>0.6425271257</x:v>
      </x:c>
      <x:c r="D7" t="str">
        <x:v>Capped until validated</x:v>
      </x:c>
      <x:c r="E7" t="str">
        <x:v>INFO</x:v>
      </x:c>
      <x:c r="F7" t="str">
        <x:v>Limited</x:v>
      </x:c>
      <x:c r="G7" t="str">
        <x:v>+35% max</x:v>
      </x:c>
      <x:c r="H7" t="str">
        <x:v>Internal</x:v>
      </x:c>
      <x:c r="I7" t="str">
        <x:v>Useful but immature</x:v>
      </x:c>
    </x:row>
    <x:row r="8">
      <x:c r="A8" t="str">
        <x:v>Direct market anchor</x:v>
      </x:c>
      <x:c r="B8" t="str">
        <x:v>Fair P U3.5</x:v>
      </x:c>
      <x:c r="C8" s="32" t="n">
        <x:f>'Market_Surface_v0.3.1'!B12</x:f>
        <x:v>0.5751633986928104</x:v>
      </x:c>
      <x:c r="D8" t="str">
        <x:v>Primary baseline</x:v>
      </x:c>
      <x:c r="E8" t="str">
        <x:v>PASS</x:v>
      </x:c>
      <x:c r="F8" t="str">
        <x:v>High</x:v>
      </x:c>
      <x:c r="G8" t="str">
        <x:v>+65% weight</x:v>
      </x:c>
      <x:c r="H8" t="str">
        <x:v>FOX</x:v>
      </x:c>
      <x:c r="I8" t="str">
        <x:v>Same market being evaluated</x:v>
      </x:c>
    </x:row>
    <x:row r="9">
      <x:c r="A9" t="str">
        <x:v>Reliability ensemble</x:v>
      </x:c>
      <x:c r="B9" t="str">
        <x:v>P U3.5</x:v>
      </x:c>
      <x:c r="C9" s="32" t="n">
        <x:f>'Market_Surface_v0.3.1'!B15</x:f>
        <x:v>0.5987407031453268</x:v>
      </x:c>
      <x:c r="D9" t="str">
        <x:v>Research only</x:v>
      </x:c>
      <x:c r="E9" t="str">
        <x:v>INFO</x:v>
      </x:c>
      <x:c r="F9" t="str">
        <x:v>Moderate</x:v>
      </x:c>
      <x:c r="G9" t="str">
        <x:v>Calculate paper EV</x:v>
      </x:c>
      <x:c r="H9" t="str">
        <x:v>Derived</x:v>
      </x:c>
      <x:c r="I9" t="str">
        <x:v>Market-shrunk probability</x:v>
      </x:c>
    </x:row>
    <x:row r="10">
      <x:c r="A10" t="str">
        <x:v>Reference EV</x:v>
      </x:c>
      <x:c r="B10" t="str">
        <x:v>At 1.625</x:v>
      </x:c>
      <x:c r="C10" s="32" t="n">
        <x:f>'Market_Surface_v0.3.1'!B16</x:f>
        <x:v>-0.027046357388843978</x:v>
      </x:c>
      <x:c r="D10" t="str">
        <x:v>&gt;=+3% preferred</x:v>
      </x:c>
      <x:c r="E10" t="str">
        <x:f>IF(C10&gt;=0.03,"PASS",IF(C10&gt;0,"WATCH","FAIL"))</x:f>
        <x:v>FAIL</x:v>
      </x:c>
      <x:c r="F10" t="str">
        <x:v>Price-sensitive</x:v>
      </x:c>
      <x:c r="G10" t="str">
        <x:v>No value if negative</x:v>
      </x:c>
      <x:c r="H10" t="str">
        <x:v>Derived</x:v>
      </x:c>
      <x:c r="I10" t="str">
        <x:v>Probability alone is insufficient</x:v>
      </x:c>
    </x:row>
    <x:row r="11">
      <x:c r="A11" t="str">
        <x:v>Historical validation</x:v>
      </x:c>
      <x:c r="B11" t="str">
        <x:v>Full P002 N</x:v>
      </x:c>
      <x:c r="C11" t="n">
        <x:v>0</x:v>
      </x:c>
      <x:c r="D11" t="str">
        <x:v>&gt;=30 unseen</x:v>
      </x:c>
      <x:c r="E11" t="str">
        <x:v>FAIL</x:v>
      </x:c>
      <x:c r="F11" t="str">
        <x:v>Severe</x:v>
      </x:c>
      <x:c r="G11" t="str">
        <x:v>Block promotion</x:v>
      </x:c>
      <x:c r="H11" t="str">
        <x:v>Internal</x:v>
      </x:c>
      <x:c r="I11" t="str">
        <x:v>No robust OOS evidence</x:v>
      </x:c>
    </x:row>
    <x:row r="12">
      <x:c r="A12" t="str">
        <x:v>Calibration</x:v>
      </x:c>
      <x:c r="B12" t="str">
        <x:v>Brier/LogLoss OOS</x:v>
      </x:c>
      <x:c r="C12" t="str">
        <x:v>Not available</x:v>
      </x:c>
      <x:c r="D12" t="str">
        <x:v>Required</x:v>
      </x:c>
      <x:c r="E12" t="str">
        <x:v>FAIL</x:v>
      </x:c>
      <x:c r="F12" t="str">
        <x:v>Severe</x:v>
      </x:c>
      <x:c r="G12" t="str">
        <x:v>Block promotion</x:v>
      </x:c>
      <x:c r="H12" t="str">
        <x:v>Internal</x:v>
      </x:c>
      <x:c r="I12" t="str">
        <x:v>Unknown probability quality</x:v>
      </x:c>
    </x:row>
    <x:row r="13">
      <x:c r="A13" t="str">
        <x:v>Execution</x:v>
      </x:c>
      <x:c r="B13" t="str">
        <x:v>Actual user book/odds</x:v>
      </x:c>
      <x:c r="C13" t="str">
        <x:v>Missing</x:v>
      </x:c>
      <x:c r="D13" t="str">
        <x:v>Required</x:v>
      </x:c>
      <x:c r="E13" t="str">
        <x:v>FAIL</x:v>
      </x:c>
      <x:c r="F13" t="str">
        <x:v>Severe</x:v>
      </x:c>
      <x:c r="G13" t="str">
        <x:v>Block real-money action</x:v>
      </x:c>
      <x:c r="H13" t="str">
        <x:v>User</x:v>
      </x:c>
      <x:c r="I13" t="str">
        <x:v>Reference odds may be unavailable</x:v>
      </x:c>
    </x:row>
    <x:row r="14">
      <x:c r="A14" t="str">
        <x:v>FINAL</x:v>
      </x:c>
      <x:c r="B14" t="str">
        <x:v>System mode</x:v>
      </x:c>
      <x:c r="C14" t="str">
        <x:v>PAPER / LEARNING</x:v>
      </x:c>
      <x:c r="D14" t="str">
        <x:v>All critical PASS</x:v>
      </x:c>
      <x:c r="E14" t="str">
        <x:v>FAIL</x:v>
      </x:c>
      <x:c r="F14" t="str">
        <x:v>N/A</x:v>
      </x:c>
      <x:c r="G14" t="str">
        <x:v>Do not promote</x:v>
      </x:c>
      <x:c r="H14" t="str">
        <x:v>System</x:v>
      </x:c>
      <x:c r="I14" t="str">
        <x:v>System is learning, not execution-ready</x:v>
      </x:c>
    </x:row>
  </x:sheetData>
  <x:mergeCells>
    <x:mergeCell ref="A1:I1"/>
  </x:mergeCells>
  <x:conditionalFormatting sqref="E4:E14">
    <x:cfRule type="expression" dxfId="51" priority="1">
      <x:formula>E4="PASS"</x:formula>
    </x:cfRule>
    <x:cfRule type="expression" dxfId="52" priority="2">
      <x:formula>E4="WATCH"</x:formula>
    </x:cfRule>
    <x:cfRule type="expression" dxfId="53" priority="3">
      <x:formula>E4="FAIL"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12" hidden="0" customWidth="1"/>
  </x:cols>
  <x:sheetData>
    <x:row r="1">
      <x:c r="A1" s="531" t="str">
        <x:v>BETTING INTELLIGENCE v0.3.2 — IMMUTABLE PRE-MATCH LOCK</x:v>
      </x:c>
      <x:c r="B1" s="531"/>
      <x:c r="C1" s="531"/>
      <x:c r="D1" s="531"/>
      <x:c r="E1" s="531"/>
      <x:c r="F1" s="531"/>
      <x:c r="G1" s="531"/>
      <x:c r="H1" s="531"/>
      <x:c r="I1" s="531"/>
      <x:c r="J1" s="531"/>
    </x:row>
    <x:row r="3">
      <x:c r="A3" s="530" t="str">
        <x:v>Field</x:v>
      </x:c>
      <x:c r="B3" s="530" t="str">
        <x:v>Locked Value</x:v>
      </x:c>
      <x:c r="C3" s="530" t="str">
        <x:v>Timestamp EAT</x:v>
      </x:c>
      <x:c r="D3" s="530" t="str">
        <x:v>Source</x:v>
      </x:c>
      <x:c r="E3" s="530" t="str">
        <x:v>Mutable After Kickoff?</x:v>
      </x:c>
      <x:c r="F3" s="530" t="str">
        <x:v>Used For Training?</x:v>
      </x:c>
      <x:c r="G3" s="530" t="str">
        <x:v>Used For Live Model?</x:v>
      </x:c>
      <x:c r="H3" s="530" t="str">
        <x:v>Integrity State</x:v>
      </x:c>
      <x:c r="I3" s="530" t="str">
        <x:v>Reason</x:v>
      </x:c>
      <x:c r="J3" s="530" t="str">
        <x:v>Version</x:v>
      </x:c>
    </x:row>
    <x:row r="4">
      <x:c r="A4" t="str">
        <x:v>Fixture</x:v>
      </x:c>
      <x:c r="B4" t="str">
        <x:v>Sporting Kansas City vs St. Louis CITY SC</x:v>
      </x:c>
      <x:c r="C4" t="str">
        <x:v>2026-08-20 03:20</x:v>
      </x:c>
      <x:c r="D4" t="str">
        <x:v>Official fixture</x:v>
      </x:c>
      <x:c r="E4" t="str">
        <x:v>NO</x:v>
      </x:c>
      <x:c r="F4" t="str">
        <x:v>YES</x:v>
      </x:c>
      <x:c r="G4" t="str">
        <x:v>YES</x:v>
      </x:c>
      <x:c r="H4" t="str">
        <x:v>LOCKED</x:v>
      </x:c>
      <x:c r="I4" t="str">
        <x:v>Identity must never change</x:v>
      </x:c>
      <x:c r="J4" t="str">
        <x:v>v0.3.2</x:v>
      </x:c>
    </x:row>
    <x:row r="5">
      <x:c r="A5" t="str">
        <x:v>Kickoff</x:v>
      </x:c>
      <x:c r="B5" t="str">
        <x:v>2026-08-20 03:25 EAT</x:v>
      </x:c>
      <x:c r="C5" t="str">
        <x:v>2026-08-20 03:20</x:v>
      </x:c>
      <x:c r="D5" t="str">
        <x:v>Sporting KC official</x:v>
      </x:c>
      <x:c r="E5" t="str">
        <x:v>NO</x:v>
      </x:c>
      <x:c r="F5" t="str">
        <x:v>YES</x:v>
      </x:c>
      <x:c r="G5" t="str">
        <x:v>YES</x:v>
      </x:c>
      <x:c r="H5" t="str">
        <x:v>LOCKED</x:v>
      </x:c>
      <x:c r="I5" t="str">
        <x:v>Event-time boundary</x:v>
      </x:c>
      <x:c r="J5" t="str">
        <x:v>v0.3.2</x:v>
      </x:c>
    </x:row>
    <x:row r="6">
      <x:c r="A6" t="str">
        <x:v>Market O2.5</x:v>
      </x:c>
      <x:c r="B6" t="str">
        <x:v>1.541</x:v>
      </x:c>
      <x:c r="C6" t="str">
        <x:v>2026-08-20 03:20</x:v>
      </x:c>
      <x:c r="D6" t="str">
        <x:v>FOX</x:v>
      </x:c>
      <x:c r="E6" t="str">
        <x:v>NO</x:v>
      </x:c>
      <x:c r="F6" t="str">
        <x:v>YES</x:v>
      </x:c>
      <x:c r="G6" t="str">
        <x:v>YES</x:v>
      </x:c>
      <x:c r="H6" t="str">
        <x:v>LOCKED</x:v>
      </x:c>
      <x:c r="I6" t="str">
        <x:v>Same-book final pre-kick reference</x:v>
      </x:c>
      <x:c r="J6" t="str">
        <x:v>v0.3.2</x:v>
      </x:c>
    </x:row>
    <x:row r="7">
      <x:c r="A7" t="str">
        <x:v>Market U2.5</x:v>
      </x:c>
      <x:c r="B7" t="str">
        <x:v>2.40</x:v>
      </x:c>
      <x:c r="C7" t="str">
        <x:v>2026-08-20 03:20</x:v>
      </x:c>
      <x:c r="D7" t="str">
        <x:v>FOX</x:v>
      </x:c>
      <x:c r="E7" t="str">
        <x:v>NO</x:v>
      </x:c>
      <x:c r="F7" t="str">
        <x:v>YES</x:v>
      </x:c>
      <x:c r="G7" t="str">
        <x:v>YES</x:v>
      </x:c>
      <x:c r="H7" t="str">
        <x:v>LOCKED</x:v>
      </x:c>
      <x:c r="I7" t="str">
        <x:v>Same-book final pre-kick reference</x:v>
      </x:c>
      <x:c r="J7" t="str">
        <x:v>v0.3.2</x:v>
      </x:c>
    </x:row>
    <x:row r="8">
      <x:c r="A8" t="str">
        <x:v>Market O3.5</x:v>
      </x:c>
      <x:c r="B8" t="str">
        <x:v>2.20</x:v>
      </x:c>
      <x:c r="C8" t="str">
        <x:v>2026-08-20 03:20</x:v>
      </x:c>
      <x:c r="D8" t="str">
        <x:v>FOX</x:v>
      </x:c>
      <x:c r="E8" t="str">
        <x:v>NO</x:v>
      </x:c>
      <x:c r="F8" t="str">
        <x:v>YES</x:v>
      </x:c>
      <x:c r="G8" t="str">
        <x:v>YES</x:v>
      </x:c>
      <x:c r="H8" t="str">
        <x:v>LOCKED</x:v>
      </x:c>
      <x:c r="I8" t="str">
        <x:v>Same-book final pre-kick reference</x:v>
      </x:c>
      <x:c r="J8" t="str">
        <x:v>v0.3.2</x:v>
      </x:c>
    </x:row>
    <x:row r="9">
      <x:c r="A9" t="str">
        <x:v>Market U3.5</x:v>
      </x:c>
      <x:c r="B9" t="str">
        <x:v>1.625</x:v>
      </x:c>
      <x:c r="C9" t="str">
        <x:v>2026-08-20 03:20</x:v>
      </x:c>
      <x:c r="D9" t="str">
        <x:v>FOX</x:v>
      </x:c>
      <x:c r="E9" t="str">
        <x:v>NO</x:v>
      </x:c>
      <x:c r="F9" t="str">
        <x:v>YES</x:v>
      </x:c>
      <x:c r="G9" t="str">
        <x:v>YES</x:v>
      </x:c>
      <x:c r="H9" t="str">
        <x:v>LOCKED</x:v>
      </x:c>
      <x:c r="I9" t="str">
        <x:v>Same-book final pre-kick reference</x:v>
      </x:c>
      <x:c r="J9" t="str">
        <x:v>v0.3.2</x:v>
      </x:c>
    </x:row>
    <x:row r="10">
      <x:c r="A10" t="str">
        <x:v>Football P(U3.5)</x:v>
      </x:c>
      <x:c r="B10" s="32" t="n">
        <x:v>0.6425271257</x:v>
      </x:c>
      <x:c r="C10" t="str">
        <x:v>2026-08-20 03:20</x:v>
      </x:c>
      <x:c r="D10" t="str">
        <x:v>Internal M001</x:v>
      </x:c>
      <x:c r="E10" t="str">
        <x:v>NO</x:v>
      </x:c>
      <x:c r="F10" t="str">
        <x:v>YES</x:v>
      </x:c>
      <x:c r="G10" t="str">
        <x:v>YES</x:v>
      </x:c>
      <x:c r="H10" t="str">
        <x:v>LOCKED</x:v>
      </x:c>
      <x:c r="I10" t="str">
        <x:v>Frozen pre-match forecast</x:v>
      </x:c>
      <x:c r="J10" t="str">
        <x:v>v0.3.2</x:v>
      </x:c>
    </x:row>
    <x:row r="11">
      <x:c r="A11" t="str">
        <x:v>Direct market P(U3.5)</x:v>
      </x:c>
      <x:c r="B11" s="32" t="n">
        <x:v>0.5751633987</x:v>
      </x:c>
      <x:c r="C11" t="str">
        <x:v>2026-08-20 03:20</x:v>
      </x:c>
      <x:c r="D11" t="str">
        <x:v>FOX paired O/U3.5</x:v>
      </x:c>
      <x:c r="E11" t="str">
        <x:v>NO</x:v>
      </x:c>
      <x:c r="F11" t="str">
        <x:v>YES</x:v>
      </x:c>
      <x:c r="G11" t="str">
        <x:v>YES</x:v>
      </x:c>
      <x:c r="H11" t="str">
        <x:v>LOCKED</x:v>
      </x:c>
      <x:c r="I11" t="str">
        <x:v>Exact-market anchor</x:v>
      </x:c>
      <x:c r="J11" t="str">
        <x:v>v0.3.2</x:v>
      </x:c>
    </x:row>
    <x:row r="12">
      <x:c r="A12" t="str">
        <x:v>Reliability ensemble P(U3.5)</x:v>
      </x:c>
      <x:c r="B12" s="32" t="n">
        <x:v>0.5987407031</x:v>
      </x:c>
      <x:c r="C12" t="str">
        <x:v>2026-08-20 03:20</x:v>
      </x:c>
      <x:c r="D12" t="str">
        <x:v>Internal M001+M002</x:v>
      </x:c>
      <x:c r="E12" t="str">
        <x:v>NO</x:v>
      </x:c>
      <x:c r="F12" t="str">
        <x:v>YES</x:v>
      </x:c>
      <x:c r="G12" t="str">
        <x:v>YES</x:v>
      </x:c>
      <x:c r="H12" t="str">
        <x:v>LOCKED</x:v>
      </x:c>
      <x:c r="I12" t="str">
        <x:v>Final pre-match research estimate</x:v>
      </x:c>
      <x:c r="J12" t="str">
        <x:v>v0.3.2</x:v>
      </x:c>
    </x:row>
    <x:row r="13">
      <x:c r="A13" t="str">
        <x:v>Reference EV @1.625</x:v>
      </x:c>
      <x:c r="B13" t="n">
        <x:v>-0.0270463574</x:v>
      </x:c>
      <x:c r="C13" t="str">
        <x:v>2026-08-20 03:20</x:v>
      </x:c>
      <x:c r="D13" t="str">
        <x:v>Internal</x:v>
      </x:c>
      <x:c r="E13" t="str">
        <x:v>NO</x:v>
      </x:c>
      <x:c r="F13" t="str">
        <x:v>YES</x:v>
      </x:c>
      <x:c r="G13" t="str">
        <x:v>NO</x:v>
      </x:c>
      <x:c r="H13" t="str">
        <x:v>LOCKED</x:v>
      </x:c>
      <x:c r="I13" t="str">
        <x:v>Final pre-match value estimate</x:v>
      </x:c>
      <x:c r="J13" t="str">
        <x:v>v0.3.2</x:v>
      </x:c>
    </x:row>
    <x:row r="14">
      <x:c r="A14" t="str">
        <x:v>Final pre-match decision</x:v>
      </x:c>
      <x:c r="B14" t="str">
        <x:v>NO VALUE / PAPER ONLY</x:v>
      </x:c>
      <x:c r="C14" t="str">
        <x:v>2026-08-20 03:20</x:v>
      </x:c>
      <x:c r="D14" t="str">
        <x:v>Decision Engine</x:v>
      </x:c>
      <x:c r="E14" t="str">
        <x:v>NO</x:v>
      </x:c>
      <x:c r="F14" t="str">
        <x:v>YES</x:v>
      </x:c>
      <x:c r="G14" t="str">
        <x:v>NO</x:v>
      </x:c>
      <x:c r="H14" t="str">
        <x:v>LOCKED</x:v>
      </x:c>
      <x:c r="I14" t="str">
        <x:v>Never rewrite decision after result</x:v>
      </x:c>
      <x:c r="J14" t="str">
        <x:v>v0.3.2</x:v>
      </x:c>
    </x:row>
  </x:sheetData>
  <x:mergeCells>
    <x:mergeCell ref="A1:J1"/>
  </x:mergeCells>
  <x:conditionalFormatting sqref="H4:H14">
    <x:cfRule type="expression" dxfId="54" priority="1">
      <x:formula>H4="LOCKED"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12" hidden="0" customWidth="1"/>
    <x:col min="4" max="4" width="20" hidden="0" customWidth="1"/>
    <x:col min="5" max="5" width="14" hidden="0" customWidth="1"/>
    <x:col min="6" max="6" width="24" hidden="0" customWidth="1"/>
    <x:col min="7" max="7" width="12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36" hidden="0" customWidth="1"/>
  </x:cols>
  <x:sheetData>
    <x:row r="1">
      <x:c r="A1" s="531" t="str">
        <x:v>v0.3.2 — LIVE STATE ENGINE (SEPARATE FROM PRE-MATCH MODEL)</x:v>
      </x:c>
      <x:c r="B1" s="531"/>
      <x:c r="C1" s="531"/>
      <x:c r="D1" s="531"/>
      <x:c r="E1" s="531"/>
      <x:c r="F1" s="531"/>
      <x:c r="G1" s="531"/>
      <x:c r="H1" s="531"/>
      <x:c r="I1" s="531"/>
      <x:c r="J1" s="531"/>
      <x:c r="K1" s="531"/>
      <x:c r="L1" s="531"/>
      <x:c r="M1" s="531"/>
      <x:c r="N1" s="531"/>
    </x:row>
    <x:row r="3">
      <x:c r="A3" s="530" t="str">
        <x:v>Live Field</x:v>
      </x:c>
      <x:c r="B3" s="530" t="str">
        <x:v>Value</x:v>
      </x:c>
      <x:c r="C3" s="530" t="str">
        <x:v>Unit</x:v>
      </x:c>
      <x:c r="D3" s="530" t="str">
        <x:v>Observed At EAT</x:v>
      </x:c>
      <x:c r="E3" s="530" t="str">
        <x:v>Match Minute</x:v>
      </x:c>
      <x:c r="F3" s="530" t="str">
        <x:v>Source</x:v>
      </x:c>
      <x:c r="G3" s="530" t="str">
        <x:v>Verified?</x:v>
      </x:c>
      <x:c r="H3" s="530" t="str">
        <x:v>Freshness Sec</x:v>
      </x:c>
      <x:c r="I3" s="530" t="str">
        <x:v>Training Partition</x:v>
      </x:c>
      <x:c r="J3" s="530" t="str">
        <x:v>Pre-match Model Can Read?</x:v>
      </x:c>
      <x:c r="K3" s="530" t="str">
        <x:v>Live Model Can Read?</x:v>
      </x:c>
      <x:c r="L3" s="530" t="str">
        <x:v>If Missing</x:v>
      </x:c>
      <x:c r="M3" s="530" t="str">
        <x:v>Current Weight</x:v>
      </x:c>
      <x:c r="N3" s="530" t="str">
        <x:v>Notes</x:v>
      </x:c>
    </x:row>
    <x:row r="4">
      <x:c r="A4" t="str">
        <x:v>Live score home</x:v>
      </x:c>
      <x:c r="B4" t="str"/>
      <x:c r="C4" t="str">
        <x:v>goals</x:v>
      </x:c>
      <x:c r="D4" t="str">
        <x:v>2026-08-20 03:27</x:v>
      </x:c>
      <x:c r="E4" t="str"/>
      <x:c r="F4" t="str"/>
      <x:c r="G4" t="str">
        <x:v>NO</x:v>
      </x:c>
      <x:c r="H4" t="str"/>
      <x:c r="I4" t="str">
        <x:v>LIVE_ONLY</x:v>
      </x:c>
      <x:c r="J4" t="str">
        <x:v>NO</x:v>
      </x:c>
      <x:c r="K4" t="str">
        <x:v>YES</x:v>
      </x:c>
      <x:c r="L4" t="str">
        <x:v>KEEP NULL</x:v>
      </x:c>
      <x:c r="M4" s="171" t="n">
        <x:v>0</x:v>
      </x:c>
      <x:c r="N4" t="str">
        <x:v>Do not invent 0-0</x:v>
      </x:c>
    </x:row>
    <x:row r="5">
      <x:c r="A5" t="str">
        <x:v>Live score away</x:v>
      </x:c>
      <x:c r="B5" t="str"/>
      <x:c r="C5" t="str">
        <x:v>goals</x:v>
      </x:c>
      <x:c r="D5" t="str">
        <x:v>2026-08-20 03:27</x:v>
      </x:c>
      <x:c r="E5" t="str"/>
      <x:c r="F5" t="str"/>
      <x:c r="G5" t="str">
        <x:v>NO</x:v>
      </x:c>
      <x:c r="H5" t="str"/>
      <x:c r="I5" t="str">
        <x:v>LIVE_ONLY</x:v>
      </x:c>
      <x:c r="J5" t="str">
        <x:v>NO</x:v>
      </x:c>
      <x:c r="K5" t="str">
        <x:v>YES</x:v>
      </x:c>
      <x:c r="L5" t="str">
        <x:v>KEEP NULL</x:v>
      </x:c>
      <x:c r="M5" s="171" t="n">
        <x:v>0</x:v>
      </x:c>
      <x:c r="N5" t="str">
        <x:v>Do not invent 0-0</x:v>
      </x:c>
    </x:row>
    <x:row r="6">
      <x:c r="A6" t="str">
        <x:v>Live minute</x:v>
      </x:c>
      <x:c r="B6" t="str"/>
      <x:c r="C6" t="str">
        <x:v>minute</x:v>
      </x:c>
      <x:c r="D6" t="str">
        <x:v>2026-08-20 03:27</x:v>
      </x:c>
      <x:c r="E6" t="str"/>
      <x:c r="F6" t="str"/>
      <x:c r="G6" t="str">
        <x:v>NO</x:v>
      </x:c>
      <x:c r="H6" t="str"/>
      <x:c r="I6" t="str">
        <x:v>LIVE_ONLY</x:v>
      </x:c>
      <x:c r="J6" t="str">
        <x:v>NO</x:v>
      </x:c>
      <x:c r="K6" t="str">
        <x:v>YES</x:v>
      </x:c>
      <x:c r="L6" t="str">
        <x:v>KEEP NULL</x:v>
      </x:c>
      <x:c r="M6" s="171" t="n">
        <x:v>0</x:v>
      </x:c>
      <x:c r="N6" t="str">
        <x:v>Require source timestamp</x:v>
      </x:c>
    </x:row>
    <x:row r="7">
      <x:c r="A7" t="str">
        <x:v>Home live xG</x:v>
      </x:c>
      <x:c r="B7" t="str"/>
      <x:c r="C7" t="str">
        <x:v>xG</x:v>
      </x:c>
      <x:c r="D7" t="str"/>
      <x:c r="E7" t="str"/>
      <x:c r="F7" t="str"/>
      <x:c r="G7" t="str">
        <x:v>NO</x:v>
      </x:c>
      <x:c r="H7" t="str"/>
      <x:c r="I7" t="str">
        <x:v>LIVE_ONLY</x:v>
      </x:c>
      <x:c r="J7" t="str">
        <x:v>NO</x:v>
      </x:c>
      <x:c r="K7" t="str">
        <x:v>YES</x:v>
      </x:c>
      <x:c r="L7" t="str">
        <x:v>KEEP NULL</x:v>
      </x:c>
      <x:c r="M7" s="171" t="n">
        <x:v>0</x:v>
      </x:c>
      <x:c r="N7" t="str">
        <x:v>Weight stays zero until live-event model trained</x:v>
      </x:c>
    </x:row>
    <x:row r="8">
      <x:c r="A8" t="str">
        <x:v>Away live xG</x:v>
      </x:c>
      <x:c r="B8" t="str"/>
      <x:c r="C8" t="str">
        <x:v>xG</x:v>
      </x:c>
      <x:c r="D8" t="str"/>
      <x:c r="E8" t="str"/>
      <x:c r="F8" t="str"/>
      <x:c r="G8" t="str">
        <x:v>NO</x:v>
      </x:c>
      <x:c r="H8" t="str"/>
      <x:c r="I8" t="str">
        <x:v>LIVE_ONLY</x:v>
      </x:c>
      <x:c r="J8" t="str">
        <x:v>NO</x:v>
      </x:c>
      <x:c r="K8" t="str">
        <x:v>YES</x:v>
      </x:c>
      <x:c r="L8" t="str">
        <x:v>KEEP NULL</x:v>
      </x:c>
      <x:c r="M8" s="171" t="n">
        <x:v>0</x:v>
      </x:c>
      <x:c r="N8" t="str">
        <x:v>Weight stays zero until live-event model trained</x:v>
      </x:c>
    </x:row>
    <x:row r="9">
      <x:c r="A9" t="str">
        <x:v>Home shots</x:v>
      </x:c>
      <x:c r="B9" t="str"/>
      <x:c r="C9" t="str">
        <x:v>shots</x:v>
      </x:c>
      <x:c r="D9" t="str"/>
      <x:c r="E9" t="str"/>
      <x:c r="F9" t="str"/>
      <x:c r="G9" t="str">
        <x:v>NO</x:v>
      </x:c>
      <x:c r="H9" t="str"/>
      <x:c r="I9" t="str">
        <x:v>LIVE_ONLY</x:v>
      </x:c>
      <x:c r="J9" t="str">
        <x:v>NO</x:v>
      </x:c>
      <x:c r="K9" t="str">
        <x:v>YES</x:v>
      </x:c>
      <x:c r="L9" t="str">
        <x:v>KEEP NULL</x:v>
      </x:c>
      <x:c r="M9" s="171" t="n">
        <x:v>0</x:v>
      </x:c>
      <x:c r="N9" t="str"/>
    </x:row>
    <x:row r="10">
      <x:c r="A10" t="str">
        <x:v>Away shots</x:v>
      </x:c>
      <x:c r="B10" t="str"/>
      <x:c r="C10" t="str">
        <x:v>shots</x:v>
      </x:c>
      <x:c r="D10" t="str"/>
      <x:c r="E10" t="str"/>
      <x:c r="F10" t="str"/>
      <x:c r="G10" t="str">
        <x:v>NO</x:v>
      </x:c>
      <x:c r="H10" t="str"/>
      <x:c r="I10" t="str">
        <x:v>LIVE_ONLY</x:v>
      </x:c>
      <x:c r="J10" t="str">
        <x:v>NO</x:v>
      </x:c>
      <x:c r="K10" t="str">
        <x:v>YES</x:v>
      </x:c>
      <x:c r="L10" t="str">
        <x:v>KEEP NULL</x:v>
      </x:c>
      <x:c r="M10" s="171" t="n">
        <x:v>0</x:v>
      </x:c>
      <x:c r="N10" t="str"/>
    </x:row>
    <x:row r="11">
      <x:c r="A11" t="str">
        <x:v>Home shots on target</x:v>
      </x:c>
      <x:c r="B11" t="str"/>
      <x:c r="C11" t="str">
        <x:v>shots</x:v>
      </x:c>
      <x:c r="D11" t="str"/>
      <x:c r="E11" t="str"/>
      <x:c r="F11" t="str"/>
      <x:c r="G11" t="str">
        <x:v>NO</x:v>
      </x:c>
      <x:c r="H11" t="str"/>
      <x:c r="I11" t="str">
        <x:v>LIVE_ONLY</x:v>
      </x:c>
      <x:c r="J11" t="str">
        <x:v>NO</x:v>
      </x:c>
      <x:c r="K11" t="str">
        <x:v>YES</x:v>
      </x:c>
      <x:c r="L11" t="str">
        <x:v>KEEP NULL</x:v>
      </x:c>
      <x:c r="M11" s="171" t="n">
        <x:v>0</x:v>
      </x:c>
      <x:c r="N11" t="str"/>
    </x:row>
    <x:row r="12">
      <x:c r="A12" t="str">
        <x:v>Away shots on target</x:v>
      </x:c>
      <x:c r="B12" t="str"/>
      <x:c r="C12" t="str">
        <x:v>shots</x:v>
      </x:c>
      <x:c r="D12" t="str"/>
      <x:c r="E12" t="str"/>
      <x:c r="F12" t="str"/>
      <x:c r="G12" t="str">
        <x:v>NO</x:v>
      </x:c>
      <x:c r="H12" t="str"/>
      <x:c r="I12" t="str">
        <x:v>LIVE_ONLY</x:v>
      </x:c>
      <x:c r="J12" t="str">
        <x:v>NO</x:v>
      </x:c>
      <x:c r="K12" t="str">
        <x:v>YES</x:v>
      </x:c>
      <x:c r="L12" t="str">
        <x:v>KEEP NULL</x:v>
      </x:c>
      <x:c r="M12" s="171" t="n">
        <x:v>0</x:v>
      </x:c>
      <x:c r="N12" t="str"/>
    </x:row>
    <x:row r="13">
      <x:c r="A13" t="str">
        <x:v>Home red cards</x:v>
      </x:c>
      <x:c r="B13" t="str"/>
      <x:c r="C13" t="str">
        <x:v>cards</x:v>
      </x:c>
      <x:c r="D13" t="str"/>
      <x:c r="E13" t="str"/>
      <x:c r="F13" t="str"/>
      <x:c r="G13" t="str">
        <x:v>NO</x:v>
      </x:c>
      <x:c r="H13" t="str"/>
      <x:c r="I13" t="str">
        <x:v>LIVE_ONLY</x:v>
      </x:c>
      <x:c r="J13" t="str">
        <x:v>NO</x:v>
      </x:c>
      <x:c r="K13" t="str">
        <x:v>YES</x:v>
      </x:c>
      <x:c r="L13" t="str">
        <x:v>KEEP NULL</x:v>
      </x:c>
      <x:c r="M13" s="171" t="n">
        <x:v>0</x:v>
      </x:c>
      <x:c r="N13" t="str">
        <x:v>High-impact feature when trained</x:v>
      </x:c>
    </x:row>
    <x:row r="14">
      <x:c r="A14" t="str">
        <x:v>Away red cards</x:v>
      </x:c>
      <x:c r="B14" t="str"/>
      <x:c r="C14" t="str">
        <x:v>cards</x:v>
      </x:c>
      <x:c r="D14" t="str"/>
      <x:c r="E14" t="str"/>
      <x:c r="F14" t="str"/>
      <x:c r="G14" t="str">
        <x:v>NO</x:v>
      </x:c>
      <x:c r="H14" t="str"/>
      <x:c r="I14" t="str">
        <x:v>LIVE_ONLY</x:v>
      </x:c>
      <x:c r="J14" t="str">
        <x:v>NO</x:v>
      </x:c>
      <x:c r="K14" t="str">
        <x:v>YES</x:v>
      </x:c>
      <x:c r="L14" t="str">
        <x:v>KEEP NULL</x:v>
      </x:c>
      <x:c r="M14" s="171" t="n">
        <x:v>0</x:v>
      </x:c>
      <x:c r="N14" t="str">
        <x:v>High-impact feature when trained</x:v>
      </x:c>
    </x:row>
    <x:row r="15">
      <x:c r="A15" t="str">
        <x:v>Live O/U3.5 Over</x:v>
      </x:c>
      <x:c r="B15" t="str"/>
      <x:c r="C15" t="str">
        <x:v>odds</x:v>
      </x:c>
      <x:c r="D15" t="str"/>
      <x:c r="E15" t="str"/>
      <x:c r="F15" t="str"/>
      <x:c r="G15" t="str">
        <x:v>NO</x:v>
      </x:c>
      <x:c r="H15" t="str"/>
      <x:c r="I15" t="str">
        <x:v>LIVE_ONLY</x:v>
      </x:c>
      <x:c r="J15" t="str">
        <x:v>NO</x:v>
      </x:c>
      <x:c r="K15" t="str">
        <x:v>YES</x:v>
      </x:c>
      <x:c r="L15" t="str">
        <x:v>KEEP NULL</x:v>
      </x:c>
      <x:c r="M15" s="171" t="n">
        <x:v>0</x:v>
      </x:c>
      <x:c r="N15" t="str">
        <x:v>Must be same book/time as Under</x:v>
      </x:c>
    </x:row>
    <x:row r="16">
      <x:c r="A16" t="str">
        <x:v>Live O/U3.5 Under</x:v>
      </x:c>
      <x:c r="B16" t="str"/>
      <x:c r="C16" t="str">
        <x:v>odds</x:v>
      </x:c>
      <x:c r="D16" t="str"/>
      <x:c r="E16" t="str"/>
      <x:c r="F16" t="str"/>
      <x:c r="G16" t="str">
        <x:v>NO</x:v>
      </x:c>
      <x:c r="H16" t="str"/>
      <x:c r="I16" t="str">
        <x:v>LIVE_ONLY</x:v>
      </x:c>
      <x:c r="J16" t="str">
        <x:v>NO</x:v>
      </x:c>
      <x:c r="K16" t="str">
        <x:v>YES</x:v>
      </x:c>
      <x:c r="L16" t="str">
        <x:v>KEEP NULL</x:v>
      </x:c>
      <x:c r="M16" s="171" t="n">
        <x:v>0</x:v>
      </x:c>
      <x:c r="N16" t="str">
        <x:v>Must be same book/time as Over</x:v>
      </x:c>
    </x:row>
    <x:row r="19">
      <x:c r="A19" s="535" t="str">
        <x:v>LIVE MODEL ACTIVATION GATE</x:v>
      </x:c>
      <x:c r="B19" s="535" t="str">
        <x:v>Requirement</x:v>
      </x:c>
      <x:c r="C19" s="535" t="str">
        <x:v>Current</x:v>
      </x:c>
      <x:c r="D19" s="535" t="str">
        <x:v>Status</x:v>
      </x:c>
      <x:c r="E19" s="535" t="str">
        <x:v>Why</x:v>
      </x:c>
      <x:c r="F19" s="535" t="str">
        <x:v>Action</x:v>
      </x:c>
      <x:c r="G19" s="535" t="str">
        <x:v>Can Affect Pre-match?</x:v>
      </x:c>
      <x:c r="H19" s="535" t="str">
        <x:v>Can Affect Live Decision?</x:v>
      </x:c>
    </x:row>
    <x:row r="20">
      <x:c r="A20" s="538" t="str">
        <x:v>Verified score/minute</x:v>
      </x:c>
      <x:c r="B20" s="15" t="str">
        <x:v>Source + timestamp</x:v>
      </x:c>
      <x:c r="C20" s="15" t="str">
        <x:v>Missing</x:v>
      </x:c>
      <x:c r="D20" s="15" t="str">
        <x:v>FAIL</x:v>
      </x:c>
      <x:c r="E20" s="15" t="str">
        <x:v>No live state without verified event clock</x:v>
      </x:c>
      <x:c r="F20" s="15" t="str">
        <x:v>Keep live model OFF</x:v>
      </x:c>
      <x:c r="G20" s="15" t="str">
        <x:v>NO</x:v>
      </x:c>
      <x:c r="H20" s="15" t="str">
        <x:v>NO</x:v>
      </x:c>
    </x:row>
    <x:row r="21">
      <x:c r="A21" s="538" t="str">
        <x:v>Historical event stream</x:v>
      </x:c>
      <x:c r="B21" s="15" t="str">
        <x:v>Large event-level sample</x:v>
      </x:c>
      <x:c r="C21" s="15" t="str">
        <x:v>Missing</x:v>
      </x:c>
      <x:c r="D21" s="15" t="str">
        <x:v>FAIL</x:v>
      </x:c>
      <x:c r="E21" s="15" t="str">
        <x:v>Need state-conditioned transitions</x:v>
      </x:c>
      <x:c r="F21" s="15" t="str">
        <x:v>Keep weight 0</x:v>
      </x:c>
      <x:c r="G21" s="15" t="str">
        <x:v>NO</x:v>
      </x:c>
      <x:c r="H21" s="15" t="str">
        <x:v>NO</x:v>
      </x:c>
    </x:row>
    <x:row r="22">
      <x:c r="A22" s="538" t="str">
        <x:v>Live xG provider consistency</x:v>
      </x:c>
      <x:c r="B22" s="15" t="str">
        <x:v>Same provider train/live</x:v>
      </x:c>
      <x:c r="C22" s="15" t="str">
        <x:v>Missing</x:v>
      </x:c>
      <x:c r="D22" s="15" t="str">
        <x:v>FAIL</x:v>
      </x:c>
      <x:c r="E22" s="15" t="str">
        <x:v>Scale mismatch risk</x:v>
      </x:c>
      <x:c r="F22" s="15" t="str">
        <x:v>Keep weight 0</x:v>
      </x:c>
      <x:c r="G22" s="15" t="str">
        <x:v>NO</x:v>
      </x:c>
      <x:c r="H22" s="15" t="str">
        <x:v>NO</x:v>
      </x:c>
    </x:row>
    <x:row r="23">
      <x:c r="A23" s="538" t="str">
        <x:v>Red-card model</x:v>
      </x:c>
      <x:c r="B23" s="15" t="str">
        <x:v>Historical card impact</x:v>
      </x:c>
      <x:c r="C23" s="15" t="str">
        <x:v>Missing</x:v>
      </x:c>
      <x:c r="D23" s="15" t="str">
        <x:v>FAIL</x:v>
      </x:c>
      <x:c r="E23" s="15" t="str">
        <x:v>Cards radically change intensities</x:v>
      </x:c>
      <x:c r="F23" s="15" t="str">
        <x:v>Keep weight 0</x:v>
      </x:c>
      <x:c r="G23" s="15" t="str">
        <x:v>NO</x:v>
      </x:c>
      <x:c r="H23" s="15" t="str">
        <x:v>NO</x:v>
      </x:c>
    </x:row>
    <x:row r="24">
      <x:c r="A24" s="538" t="str">
        <x:v>In-play odds history</x:v>
      </x:c>
      <x:c r="B24" s="15" t="str">
        <x:v>Timestamped same-book snapshots</x:v>
      </x:c>
      <x:c r="C24" s="15" t="str">
        <x:v>Missing</x:v>
      </x:c>
      <x:c r="D24" s="15" t="str">
        <x:v>FAIL</x:v>
      </x:c>
      <x:c r="E24" s="15" t="str">
        <x:v>Need calibration against market</x:v>
      </x:c>
      <x:c r="F24" s="15" t="str">
        <x:v>Keep weight 0</x:v>
      </x:c>
      <x:c r="G24" s="15" t="str">
        <x:v>NO</x:v>
      </x:c>
      <x:c r="H24" s="15" t="str">
        <x:v>NO</x:v>
      </x:c>
    </x:row>
    <x:row r="25">
      <x:c r="A25" s="538" t="str">
        <x:v>Probability calibration</x:v>
      </x:c>
      <x:c r="B25" s="15" t="str">
        <x:v>OOS Brier/LogLoss</x:v>
      </x:c>
      <x:c r="C25" s="15" t="str">
        <x:v>Missing</x:v>
      </x:c>
      <x:c r="D25" s="15" t="str">
        <x:v>FAIL</x:v>
      </x:c>
      <x:c r="E25" s="15" t="str">
        <x:v>Raw live probability not trustworthy</x:v>
      </x:c>
      <x:c r="F25" s="15" t="str">
        <x:v>Keep weight 0</x:v>
      </x:c>
      <x:c r="G25" s="15" t="str">
        <x:v>NO</x:v>
      </x:c>
      <x:c r="H25" s="15" t="str">
        <x:v>NO</x:v>
      </x:c>
    </x:row>
    <x:row r="26">
      <x:c r="A26" s="538" t="str">
        <x:v>Live model status</x:v>
      </x:c>
      <x:c r="B26" s="15" t="str">
        <x:v>TRAINED + CALIBRATED</x:v>
      </x:c>
      <x:c r="C26" s="15" t="str">
        <x:v>OFF</x:v>
      </x:c>
      <x:c r="D26" s="15" t="str">
        <x:v>FAIL</x:v>
      </x:c>
      <x:c r="E26" s="15" t="str">
        <x:v>Architecture exists, model not earned</x:v>
      </x:c>
      <x:c r="F26" s="15" t="str">
        <x:v>OBSERVE ONLY</x:v>
      </x:c>
      <x:c r="G26" s="15" t="str">
        <x:v>NO</x:v>
      </x:c>
      <x:c r="H26" s="15" t="str">
        <x:v>NO</x:v>
      </x:c>
    </x:row>
    <x:row r="27">
      <x:c r="A27" s="538" t="str">
        <x:v>Pre-match lock</x:v>
      </x:c>
      <x:c r="B27" s="15" t="str">
        <x:v>Immutable</x:v>
      </x:c>
      <x:c r="C27" s="15" t="str">
        <x:v>PASS</x:v>
      </x:c>
      <x:c r="D27" s="15" t="str">
        <x:v>PASS</x:v>
      </x:c>
      <x:c r="E27" s="15" t="str">
        <x:v>No retroactive contamination</x:v>
      </x:c>
      <x:c r="F27" s="15" t="str">
        <x:v>Preserve</x:v>
      </x:c>
      <x:c r="G27" s="15" t="str">
        <x:v>NO</x:v>
      </x:c>
      <x:c r="H27" s="15" t="str">
        <x:v>N/A</x:v>
      </x:c>
    </x:row>
    <x:row r="28">
      <x:c r="A28" s="538"/>
      <x:c r="B28" s="15"/>
      <x:c r="C28" s="15"/>
      <x:c r="D28" s="15"/>
      <x:c r="E28" s="15"/>
      <x:c r="F28" s="15"/>
      <x:c r="G28" s="15"/>
      <x:c r="H28" s="15"/>
    </x:row>
  </x:sheetData>
  <x:mergeCells>
    <x:mergeCell ref="A1:N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26" hidden="0" customWidth="1"/>
    <x:col min="4" max="4" width="13" hidden="0" customWidth="1"/>
    <x:col min="5" max="5" width="36" hidden="0" customWidth="1"/>
    <x:col min="6" max="6" width="36" hidden="0" customWidth="1"/>
    <x:col min="7" max="7" width="22" hidden="0" customWidth="1"/>
    <x:col min="8" max="8" width="18" hidden="0" customWidth="1"/>
    <x:col min="9" max="9" width="18" hidden="0" customWidth="1"/>
  </x:cols>
  <x:sheetData>
    <x:row r="1">
      <x:c r="A1" s="531" t="str">
        <x:v>v0.3.2 — CONFIDENCE BUDGET &amp; UNCERTAINTY ACCOUNTING</x:v>
      </x:c>
      <x:c r="B1" s="531"/>
      <x:c r="C1" s="531"/>
      <x:c r="D1" s="531"/>
      <x:c r="E1" s="531"/>
      <x:c r="F1" s="531"/>
      <x:c r="G1" s="531"/>
      <x:c r="H1" s="531"/>
      <x:c r="I1" s="531"/>
    </x:row>
    <x:row r="3">
      <x:c r="A3" s="530" t="str">
        <x:v>Uncertainty Source</x:v>
      </x:c>
      <x:c r="B3" s="530" t="str">
        <x:v>Penalty Points</x:v>
      </x:c>
      <x:c r="C3" s="530" t="str">
        <x:v>Current Signal</x:v>
      </x:c>
      <x:c r="D3" s="530" t="str">
        <x:v>Triggered?</x:v>
      </x:c>
      <x:c r="E3" s="530" t="str">
        <x:v>Reason</x:v>
      </x:c>
      <x:c r="F3" s="530" t="str">
        <x:v>Mitigation</x:v>
      </x:c>
      <x:c r="G3" s="530" t="str">
        <x:v>Model Affected</x:v>
      </x:c>
      <x:c r="H3" s="530" t="str">
        <x:v>Blocks Promotion?</x:v>
      </x:c>
      <x:c r="I3" s="530" t="str">
        <x:v>Status</x:v>
      </x:c>
    </x:row>
    <x:row r="4">
      <x:c r="A4" t="str">
        <x:v>Historical validation N</x:v>
      </x:c>
      <x:c r="B4" t="n">
        <x:v>30</x:v>
      </x:c>
      <x:c r="C4" t="str">
        <x:v>0 robust qualifiers</x:v>
      </x:c>
      <x:c r="D4" t="str">
        <x:v>YES</x:v>
      </x:c>
      <x:c r="E4" t="str">
        <x:v>No independent evidence</x:v>
      </x:c>
      <x:c r="F4" t="str">
        <x:v>Collect unseen qualifiers</x:v>
      </x:c>
      <x:c r="G4" t="str">
        <x:v>M001/P002</x:v>
      </x:c>
      <x:c r="H4" t="str">
        <x:v>YES</x:v>
      </x:c>
      <x:c r="I4" t="str">
        <x:v>FAIL</x:v>
      </x:c>
    </x:row>
    <x:row r="5">
      <x:c r="A5" t="str">
        <x:v>Calibration missing</x:v>
      </x:c>
      <x:c r="B5" t="n">
        <x:v>25</x:v>
      </x:c>
      <x:c r="C5" t="str">
        <x:v>No OOS Brier/LogLoss</x:v>
      </x:c>
      <x:c r="D5" t="str">
        <x:v>YES</x:v>
      </x:c>
      <x:c r="E5" t="str">
        <x:v>Probability reliability unknown</x:v>
      </x:c>
      <x:c r="F5" t="str">
        <x:v>Build paper calibration set</x:v>
      </x:c>
      <x:c r="G5" t="str">
        <x:v>All internal models</x:v>
      </x:c>
      <x:c r="H5" t="str">
        <x:v>YES</x:v>
      </x:c>
      <x:c r="I5" t="str">
        <x:v>FAIL</x:v>
      </x:c>
    </x:row>
    <x:row r="6">
      <x:c r="A6" t="str">
        <x:v>Market surface disagreement</x:v>
      </x:c>
      <x:c r="B6" t="n">
        <x:v>10</x:v>
      </x:c>
      <x:c r="C6" t="str">
        <x:v>λ gap ≈0.176</x:v>
      </x:c>
      <x:c r="D6" t="str">
        <x:v>YES</x:v>
      </x:c>
      <x:c r="E6" t="str">
        <x:v>Single Poisson distribution inadequate</x:v>
      </x:c>
      <x:c r="F6" t="str">
        <x:v>Use M008 distribution model</x:v>
      </x:c>
      <x:c r="G6" t="str">
        <x:v>M001/M002 bridge</x:v>
      </x:c>
      <x:c r="H6" t="str">
        <x:v>NO</x:v>
      </x:c>
      <x:c r="I6" t="str">
        <x:v>WATCH</x:v>
      </x:c>
    </x:row>
    <x:row r="7">
      <x:c r="A7" t="str">
        <x:v>League regime drift</x:v>
      </x:c>
      <x:c r="B7" t="n">
        <x:v>10</x:v>
      </x:c>
      <x:c r="C7" t="str">
        <x:v>Material 2025 drift observed</x:v>
      </x:c>
      <x:c r="D7" t="str">
        <x:v>YES</x:v>
      </x:c>
      <x:c r="E7" t="str">
        <x:v>Base rates change over time</x:v>
      </x:c>
      <x:c r="F7" t="str">
        <x:v>Rolling priors/time splits</x:v>
      </x:c>
      <x:c r="G7" t="str">
        <x:v>All models</x:v>
      </x:c>
      <x:c r="H7" t="str">
        <x:v>YES</x:v>
      </x:c>
      <x:c r="I7" t="str">
        <x:v>FAIL</x:v>
      </x:c>
    </x:row>
    <x:row r="8">
      <x:c r="A8" t="str">
        <x:v>Provider inconsistency</x:v>
      </x:c>
      <x:c r="B8" t="n">
        <x:v>10</x:v>
      </x:c>
      <x:c r="C8" t="str">
        <x:v>Historical xG provider not normalized</x:v>
      </x:c>
      <x:c r="D8" t="str">
        <x:v>YES</x:v>
      </x:c>
      <x:c r="E8" t="str">
        <x:v>Feature scale mismatch</x:v>
      </x:c>
      <x:c r="F8" t="str">
        <x:v>One provider train/live</x:v>
      </x:c>
      <x:c r="G8" t="str">
        <x:v>M003</x:v>
      </x:c>
      <x:c r="H8" t="str">
        <x:v>YES</x:v>
      </x:c>
      <x:c r="I8" t="str">
        <x:v>FAIL</x:v>
      </x:c>
    </x:row>
    <x:row r="9">
      <x:c r="A9" t="str">
        <x:v>Execution price missing</x:v>
      </x:c>
      <x:c r="B9" t="n">
        <x:v>15</x:v>
      </x:c>
      <x:c r="C9" t="str">
        <x:v>No actual user-book price</x:v>
      </x:c>
      <x:c r="D9" t="str">
        <x:v>YES</x:v>
      </x:c>
      <x:c r="E9" t="str">
        <x:v>Reference EV may not be executable</x:v>
      </x:c>
      <x:c r="F9" t="str">
        <x:v>Capture actual price</x:v>
      </x:c>
      <x:c r="G9" t="str">
        <x:v>Decision layer</x:v>
      </x:c>
      <x:c r="H9" t="str">
        <x:v>YES</x:v>
      </x:c>
      <x:c r="I9" t="str">
        <x:v>FAIL</x:v>
      </x:c>
    </x:row>
    <x:row r="10">
      <x:c r="A10" t="str">
        <x:v>Lineup uncertainty</x:v>
      </x:c>
      <x:c r="B10" t="n">
        <x:v>0</x:v>
      </x:c>
      <x:c r="C10" t="str">
        <x:v>Confirmed XI</x:v>
      </x:c>
      <x:c r="D10" t="str">
        <x:v>NO</x:v>
      </x:c>
      <x:c r="E10" t="str">
        <x:v>Critical information known</x:v>
      </x:c>
      <x:c r="F10" t="str">
        <x:v>None</x:v>
      </x:c>
      <x:c r="G10" t="str">
        <x:v>M004</x:v>
      </x:c>
      <x:c r="H10" t="str">
        <x:v>NO</x:v>
      </x:c>
      <x:c r="I10" t="str">
        <x:v>PASS</x:v>
      </x:c>
    </x:row>
    <x:row r="11">
      <x:c r="A11" t="str">
        <x:v>Pre-kick leakage</x:v>
      </x:c>
      <x:c r="B11" t="n">
        <x:v>0</x:v>
      </x:c>
      <x:c r="C11" t="str">
        <x:v>Immutable lock active</x:v>
      </x:c>
      <x:c r="D11" t="str">
        <x:v>NO</x:v>
      </x:c>
      <x:c r="E11" t="str">
        <x:v>No hindsight contamination</x:v>
      </x:c>
      <x:c r="F11" t="str">
        <x:v>Keep lock</x:v>
      </x:c>
      <x:c r="G11" t="str">
        <x:v>All</x:v>
      </x:c>
      <x:c r="H11" t="str">
        <x:v>NO</x:v>
      </x:c>
      <x:c r="I11" t="str">
        <x:v>PASS</x:v>
      </x:c>
    </x:row>
    <x:row r="14">
      <x:c r="A14" s="541" t="str">
        <x:v>CONFIDENCE SCORE</x:v>
      </x:c>
      <x:c r="B14" s="541" t="str">
        <x:v>Value</x:v>
      </x:c>
      <x:c r="C14" s="541" t="str">
        <x:v>Rule</x:v>
      </x:c>
      <x:c r="D14" s="541" t="str">
        <x:v>Interpretation</x:v>
      </x:c>
      <x:c r="E14" s="541" t="str">
        <x:v>Decision Use</x:v>
      </x:c>
    </x:row>
    <x:row r="15">
      <x:c r="A15" s="543" t="str">
        <x:v>Starting score</x:v>
      </x:c>
      <x:c r="B15" t="n">
        <x:v>100</x:v>
      </x:c>
      <x:c r="C15" t="str">
        <x:v>100 before penalties</x:v>
      </x:c>
      <x:c r="D15" t="str">
        <x:v>Mechanical scale only</x:v>
      </x:c>
      <x:c r="E15" t="str">
        <x:v>Never interpreted as win probability</x:v>
      </x:c>
    </x:row>
    <x:row r="16">
      <x:c r="A16" s="543" t="str">
        <x:v>Triggered penalties</x:v>
      </x:c>
      <x:c r="B16" t="n">
        <x:f>SUMIF(D4:D11,"YES",B4:B11)</x:f>
        <x:v>100</x:v>
      </x:c>
      <x:c r="C16" t="str">
        <x:v>Sum penalties where Triggered=YES</x:v>
      </x:c>
      <x:c r="D16" t="str">
        <x:v>Epistemic uncertainty</x:v>
      </x:c>
      <x:c r="E16" t="str"/>
    </x:row>
    <x:row r="17">
      <x:c r="A17" s="543" t="str">
        <x:v>Confidence score</x:v>
      </x:c>
      <x:c r="B17" t="n">
        <x:f>MAX(0,B15-B16)</x:f>
        <x:v>0</x:v>
      </x:c>
      <x:c r="C17" t="str">
        <x:v>MAX(0,100-penalties)</x:v>
      </x:c>
      <x:c r="D17" t="str">
        <x:v>System maturity / evidence confidence</x:v>
      </x:c>
      <x:c r="E17" t="str"/>
    </x:row>
    <x:row r="18">
      <x:c r="A18" s="543" t="str">
        <x:v>Promotion minimum</x:v>
      </x:c>
      <x:c r="B18" t="n">
        <x:v>80</x:v>
      </x:c>
      <x:c r="C18" t="str">
        <x:v>AND no critical block</x:v>
      </x:c>
      <x:c r="D18" t="str">
        <x:v>High evidence maturity</x:v>
      </x:c>
      <x:c r="E18" t="str"/>
    </x:row>
    <x:row r="19">
      <x:c r="A19" s="543" t="str">
        <x:v>Critical blocks present</x:v>
      </x:c>
      <x:c r="B19" t="n">
        <x:f>COUNTIFS(H4:H11,"YES",I4:I11,"FAIL")</x:f>
        <x:v>5</x:v>
      </x:c>
      <x:c r="C19" t="str">
        <x:v>Count Blocks Promotion=YES &amp; FAIL</x:v>
      </x:c>
      <x:c r="D19" t="str">
        <x:v>Any &gt;0 blocks promotion</x:v>
      </x:c>
      <x:c r="E19" t="str"/>
    </x:row>
    <x:row r="20">
      <x:c r="A20" s="543" t="str">
        <x:v>Promotion status</x:v>
      </x:c>
      <x:c r="B20" t="str">
        <x:f>IF(AND(B17&gt;=B18,B19=0),"PROMOTION ELIGIBLE","BLOCKED")</x:f>
        <x:v>BLOCKED</x:v>
      </x:c>
      <x:c r="C20" t="str">
        <x:v>Score&gt;=80 AND zero critical blocks</x:v>
      </x:c>
      <x:c r="D20" t="str">
        <x:v>Architecture gate</x:v>
      </x:c>
      <x:c r="E20" t="str"/>
    </x:row>
  </x:sheetData>
  <x:mergeCells>
    <x:mergeCell ref="A1:I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34" hidden="0" customWidth="1"/>
    <x:col min="8" max="8" width="34" hidden="0" customWidth="1"/>
    <x:col min="9" max="9" width="16" hidden="0" customWidth="1"/>
    <x:col min="10" max="10" width="38" hidden="0" customWidth="1"/>
  </x:cols>
  <x:sheetData>
    <x:row r="1">
      <x:c r="A1" s="531" t="str">
        <x:v>v0.3.2 — CHAMPION / CHALLENGER MODEL GOVERNANCE</x:v>
      </x:c>
      <x:c r="B1" s="531"/>
      <x:c r="C1" s="531"/>
      <x:c r="D1" s="531"/>
      <x:c r="E1" s="531"/>
      <x:c r="F1" s="531"/>
      <x:c r="G1" s="531"/>
      <x:c r="H1" s="531"/>
      <x:c r="I1" s="531"/>
      <x:c r="J1" s="531"/>
    </x:row>
    <x:row r="3">
      <x:c r="A3" s="530" t="str">
        <x:v>Model</x:v>
      </x:c>
      <x:c r="B3" s="530" t="str">
        <x:v>Role</x:v>
      </x:c>
      <x:c r="C3" s="530" t="str">
        <x:v>Prediction Available?</x:v>
      </x:c>
      <x:c r="D3" s="530" t="str">
        <x:v>OOS Calibrated?</x:v>
      </x:c>
      <x:c r="E3" s="530" t="str">
        <x:v>Current Weight</x:v>
      </x:c>
      <x:c r="F3" s="530" t="str">
        <x:v>Max Weight</x:v>
      </x:c>
      <x:c r="G3" s="530" t="str">
        <x:v>Promotion Test</x:v>
      </x:c>
      <x:c r="H3" s="530" t="str">
        <x:v>Can Replace Champion?</x:v>
      </x:c>
      <x:c r="I3" s="530" t="str">
        <x:v>Status</x:v>
      </x:c>
      <x:c r="J3" s="530" t="str">
        <x:v>Reason</x:v>
      </x:c>
    </x:row>
    <x:row r="4">
      <x:c r="A4" t="str">
        <x:v>M002 Direct Market Anchor</x:v>
      </x:c>
      <x:c r="B4" t="str">
        <x:v>CHAMPION</x:v>
      </x:c>
      <x:c r="C4" t="str">
        <x:v>YES</x:v>
      </x:c>
      <x:c r="D4" t="str">
        <x:v>Market baseline</x:v>
      </x:c>
      <x:c r="E4" s="171" t="n">
        <x:v>0.65</x:v>
      </x:c>
      <x:c r="F4" s="171" t="n">
        <x:v>1</x:v>
      </x:c>
      <x:c r="G4" t="str">
        <x:v>Must be beaten OOS by challengers</x:v>
      </x:c>
      <x:c r="H4" t="str">
        <x:v>N/A</x:v>
      </x:c>
      <x:c r="I4" t="str">
        <x:v>ACTIVE</x:v>
      </x:c>
      <x:c r="J4" t="str">
        <x:v>Most information-rich validated baseline currently available</x:v>
      </x:c>
    </x:row>
    <x:row r="5">
      <x:c r="A5" t="str">
        <x:v>M001 Football-State</x:v>
      </x:c>
      <x:c r="B5" t="str">
        <x:v>CHALLENGER</x:v>
      </x:c>
      <x:c r="C5" t="str">
        <x:v>YES</x:v>
      </x:c>
      <x:c r="D5" t="str">
        <x:v>NO</x:v>
      </x:c>
      <x:c r="E5" s="171" t="n">
        <x:v>0.35</x:v>
      </x:c>
      <x:c r="F5" s="171" t="n">
        <x:v>0.35</x:v>
      </x:c>
      <x:c r="G5" t="str">
        <x:v>Lower OOS log loss/Brier + positive CLV/ROI</x:v>
      </x:c>
      <x:c r="H5" t="str">
        <x:v>YES after validation</x:v>
      </x:c>
      <x:c r="I5" t="str">
        <x:v>LIMITED</x:v>
      </x:c>
      <x:c r="J5" t="str">
        <x:v>Useful but not yet proven</x:v>
      </x:c>
    </x:row>
    <x:row r="6">
      <x:c r="A6" t="str">
        <x:v>M003 Dynamic xG</x:v>
      </x:c>
      <x:c r="B6" t="str">
        <x:v>CHALLENGER</x:v>
      </x:c>
      <x:c r="C6" t="str">
        <x:v>NO</x:v>
      </x:c>
      <x:c r="D6" t="str">
        <x:v>NO</x:v>
      </x:c>
      <x:c r="E6" s="171" t="n">
        <x:v>0</x:v>
      </x:c>
      <x:c r="F6" s="171" t="n">
        <x:v>0</x:v>
      </x:c>
      <x:c r="G6" t="str">
        <x:v>Beat M001/M002 blend OOS</x:v>
      </x:c>
      <x:c r="H6" t="str">
        <x:v>YES</x:v>
      </x:c>
      <x:c r="I6" t="str">
        <x:v>WAIT DATA</x:v>
      </x:c>
      <x:c r="J6" t="str">
        <x:v>Needs same-provider history</x:v>
      </x:c>
    </x:row>
    <x:row r="7">
      <x:c r="A7" t="str">
        <x:v>M004 Player Impact</x:v>
      </x:c>
      <x:c r="B7" t="str">
        <x:v>AUXILIARY</x:v>
      </x:c>
      <x:c r="C7" t="str">
        <x:v>NO</x:v>
      </x:c>
      <x:c r="D7" t="str">
        <x:v>NO</x:v>
      </x:c>
      <x:c r="E7" s="171" t="n">
        <x:v>0</x:v>
      </x:c>
      <x:c r="F7" s="171" t="n">
        <x:v>0</x:v>
      </x:c>
      <x:c r="G7" t="str">
        <x:v>Incremental OOS gain</x:v>
      </x:c>
      <x:c r="H7" t="str">
        <x:v>YES as component</x:v>
      </x:c>
      <x:c r="I7" t="str">
        <x:v>WAIT DATA</x:v>
      </x:c>
      <x:c r="J7" t="str">
        <x:v>Needs player-level history</x:v>
      </x:c>
    </x:row>
    <x:row r="8">
      <x:c r="A8" t="str">
        <x:v>M006 Market Microstructure</x:v>
      </x:c>
      <x:c r="B8" t="str">
        <x:v>CHALLENGER</x:v>
      </x:c>
      <x:c r="C8" t="str">
        <x:v>NO</x:v>
      </x:c>
      <x:c r="D8" t="str">
        <x:v>NO</x:v>
      </x:c>
      <x:c r="E8" s="171" t="n">
        <x:v>0</x:v>
      </x:c>
      <x:c r="F8" s="171" t="n">
        <x:v>0</x:v>
      </x:c>
      <x:c r="G8" t="str">
        <x:v>Improve CLV/log loss OOS</x:v>
      </x:c>
      <x:c r="H8" t="str">
        <x:v>YES</x:v>
      </x:c>
      <x:c r="I8" t="str">
        <x:v>WAIT DATA</x:v>
      </x:c>
      <x:c r="J8" t="str">
        <x:v>Needs timestamped snapshots</x:v>
      </x:c>
    </x:row>
    <x:row r="9">
      <x:c r="A9" t="str">
        <x:v>M008 Goal Distribution</x:v>
      </x:c>
      <x:c r="B9" t="str">
        <x:v>CHALLENGER</x:v>
      </x:c>
      <x:c r="C9" t="str">
        <x:v>NO</x:v>
      </x:c>
      <x:c r="D9" t="str">
        <x:v>NO</x:v>
      </x:c>
      <x:c r="E9" s="171" t="n">
        <x:v>0</x:v>
      </x:c>
      <x:c r="F9" s="171" t="n">
        <x:v>0</x:v>
      </x:c>
      <x:c r="G9" t="str">
        <x:v>Reduce cross-line market surface error OOS</x:v>
      </x:c>
      <x:c r="H9" t="str">
        <x:v>YES</x:v>
      </x:c>
      <x:c r="I9" t="str">
        <x:v>PRIORITY</x:v>
      </x:c>
      <x:c r="J9" t="str">
        <x:v>Poisson surface mismatch detected</x:v>
      </x:c>
    </x:row>
    <x:row r="10">
      <x:c r="A10" t="str">
        <x:v>M009 Calibration Stacker</x:v>
      </x:c>
      <x:c r="B10" t="str">
        <x:v>META</x:v>
      </x:c>
      <x:c r="C10" t="str">
        <x:v>NO</x:v>
      </x:c>
      <x:c r="D10" t="str">
        <x:v>NO</x:v>
      </x:c>
      <x:c r="E10" s="171" t="n">
        <x:v>0</x:v>
      </x:c>
      <x:c r="F10" s="171" t="n">
        <x:v>0</x:v>
      </x:c>
      <x:c r="G10" t="str">
        <x:v>OOS calibration + scoring improvement</x:v>
      </x:c>
      <x:c r="H10" t="str">
        <x:v>YES</x:v>
      </x:c>
      <x:c r="I10" t="str">
        <x:v>FUTURE</x:v>
      </x:c>
      <x:c r="J10" t="str">
        <x:v>Learns model weights from OOS predictions</x:v>
      </x:c>
    </x:row>
  </x:sheetData>
  <x:mergeCells>
    <x:mergeCell ref="A1:J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4" hidden="0" customWidth="1"/>
    <x:col min="4" max="4" width="17" hidden="0" customWidth="1"/>
    <x:col min="5" max="5" width="17" hidden="0" customWidth="1"/>
    <x:col min="6" max="6" width="34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4" hidden="0" customWidth="1"/>
    <x:col min="12" max="12" width="36" hidden="0" customWidth="1"/>
  </x:cols>
  <x:sheetData>
    <x:row r="1">
      <x:c r="A1" s="531" t="str">
        <x:v>v0.3.2 — SETTLEMENT, ATTRIBUTION &amp; LEARNING LOOP</x:v>
      </x:c>
      <x:c r="B1" s="531"/>
      <x:c r="C1" s="531"/>
      <x:c r="D1" s="531"/>
      <x:c r="E1" s="531"/>
      <x:c r="F1" s="531"/>
      <x:c r="G1" s="531"/>
      <x:c r="H1" s="531"/>
      <x:c r="I1" s="531"/>
      <x:c r="J1" s="531"/>
      <x:c r="K1" s="531"/>
      <x:c r="L1" s="531"/>
    </x:row>
    <x:row r="3">
      <x:c r="A3" s="530" t="str">
        <x:v>Field</x:v>
      </x:c>
      <x:c r="B3" s="530" t="str">
        <x:v>Value</x:v>
      </x:c>
      <x:c r="C3" s="530" t="str">
        <x:v>Source</x:v>
      </x:c>
      <x:c r="D3" s="530" t="str">
        <x:v>When Filled</x:v>
      </x:c>
      <x:c r="E3" s="530" t="str">
        <x:v>Immutable?</x:v>
      </x:c>
      <x:c r="F3" s="530" t="str">
        <x:v>Formula / Rule</x:v>
      </x:c>
      <x:c r="G3" s="530" t="str">
        <x:v>Model Metric</x:v>
      </x:c>
      <x:c r="H3" s="530" t="str">
        <x:v>Error Attribution</x:v>
      </x:c>
      <x:c r="I3" s="530" t="str">
        <x:v>Training Label?</x:v>
      </x:c>
      <x:c r="J3" s="530" t="str">
        <x:v>Can Tune Model Immediately?</x:v>
      </x:c>
      <x:c r="K3" s="530" t="str">
        <x:v>Status</x:v>
      </x:c>
      <x:c r="L3" s="530" t="str">
        <x:v>Notes</x:v>
      </x:c>
    </x:row>
    <x:row r="4">
      <x:c r="A4" t="str">
        <x:v>Final Home Goals</x:v>
      </x:c>
      <x:c r="B4" t="str"/>
      <x:c r="C4" t="str">
        <x:v>Official result</x:v>
      </x:c>
      <x:c r="D4" t="str">
        <x:v>After FT</x:v>
      </x:c>
      <x:c r="E4" t="str">
        <x:v>YES</x:v>
      </x:c>
      <x:c r="F4" t="str"/>
      <x:c r="G4" t="str">
        <x:v>Outcome</x:v>
      </x:c>
      <x:c r="H4" t="str">
        <x:v>N/A</x:v>
      </x:c>
      <x:c r="I4" t="str">
        <x:v>YES</x:v>
      </x:c>
      <x:c r="J4" t="str">
        <x:v>NO</x:v>
      </x:c>
      <x:c r="K4" t="str">
        <x:v>PENDING</x:v>
      </x:c>
      <x:c r="L4" t="str"/>
    </x:row>
    <x:row r="5">
      <x:c r="A5" t="str">
        <x:v>Final Away Goals</x:v>
      </x:c>
      <x:c r="B5" t="str"/>
      <x:c r="C5" t="str">
        <x:v>Official result</x:v>
      </x:c>
      <x:c r="D5" t="str">
        <x:v>After FT</x:v>
      </x:c>
      <x:c r="E5" t="str">
        <x:v>YES</x:v>
      </x:c>
      <x:c r="F5" t="str"/>
      <x:c r="G5" t="str">
        <x:v>Outcome</x:v>
      </x:c>
      <x:c r="H5" t="str">
        <x:v>N/A</x:v>
      </x:c>
      <x:c r="I5" t="str">
        <x:v>YES</x:v>
      </x:c>
      <x:c r="J5" t="str">
        <x:v>NO</x:v>
      </x:c>
      <x:c r="K5" t="str">
        <x:v>PENDING</x:v>
      </x:c>
      <x:c r="L5" t="str"/>
    </x:row>
    <x:row r="6">
      <x:c r="A6" t="str">
        <x:v>Total Goals</x:v>
      </x:c>
      <x:c r="B6" t="str">
        <x:f>IF(OR(B4="",B5=""),"",B4+B5)</x:f>
      </x:c>
      <x:c r="C6" t="str">
        <x:v>Derived</x:v>
      </x:c>
      <x:c r="D6" t="str">
        <x:v>After FT</x:v>
      </x:c>
      <x:c r="E6" t="str">
        <x:v>YES</x:v>
      </x:c>
      <x:c r="F6" t="str">
        <x:v>Home+Away</x:v>
      </x:c>
      <x:c r="G6" t="str">
        <x:v>Outcome</x:v>
      </x:c>
      <x:c r="H6" t="str">
        <x:v>N/A</x:v>
      </x:c>
      <x:c r="I6" t="str">
        <x:v>YES</x:v>
      </x:c>
      <x:c r="J6" t="str">
        <x:v>NO</x:v>
      </x:c>
      <x:c r="K6" t="str">
        <x:v>PENDING</x:v>
      </x:c>
      <x:c r="L6" t="str"/>
    </x:row>
    <x:row r="7">
      <x:c r="A7" t="str">
        <x:v>Under3.5 Outcome</x:v>
      </x:c>
      <x:c r="B7" t="str">
        <x:f>IF(B6="","",IF(B6&lt;=3,"WIN","LOSS"))</x:f>
      </x:c>
      <x:c r="C7" t="str">
        <x:v>Derived</x:v>
      </x:c>
      <x:c r="D7" t="str">
        <x:v>After FT</x:v>
      </x:c>
      <x:c r="E7" t="str">
        <x:v>YES</x:v>
      </x:c>
      <x:c r="F7" t="str">
        <x:v>WIN if total&lt;=3 else LOSS</x:v>
      </x:c>
      <x:c r="G7" t="str">
        <x:v>Outcome</x:v>
      </x:c>
      <x:c r="H7" t="str">
        <x:v>N/A</x:v>
      </x:c>
      <x:c r="I7" t="str">
        <x:v>YES</x:v>
      </x:c>
      <x:c r="J7" t="str">
        <x:v>NO</x:v>
      </x:c>
      <x:c r="K7" t="str">
        <x:v>PENDING</x:v>
      </x:c>
      <x:c r="L7" t="str"/>
    </x:row>
    <x:row r="8">
      <x:c r="A8" t="str">
        <x:v>Binary Label U3.5</x:v>
      </x:c>
      <x:c r="B8" t="str">
        <x:f>IF(B6="","",IF(B6&lt;=3,1,0))</x:f>
      </x:c>
      <x:c r="C8" t="str">
        <x:v>Derived</x:v>
      </x:c>
      <x:c r="D8" t="str">
        <x:v>After FT</x:v>
      </x:c>
      <x:c r="E8" t="str">
        <x:v>YES</x:v>
      </x:c>
      <x:c r="F8" t="str">
        <x:v>1 if total&lt;=3 else 0</x:v>
      </x:c>
      <x:c r="G8" t="str">
        <x:v>Brier/LogLoss</x:v>
      </x:c>
      <x:c r="H8" t="str">
        <x:v>N/A</x:v>
      </x:c>
      <x:c r="I8" t="str">
        <x:v>YES</x:v>
      </x:c>
      <x:c r="J8" t="str">
        <x:v>NO</x:v>
      </x:c>
      <x:c r="K8" t="str">
        <x:v>PENDING</x:v>
      </x:c>
      <x:c r="L8" t="str"/>
    </x:row>
    <x:row r="9">
      <x:c r="A9" t="str">
        <x:v>Pre-match Ensemble P</x:v>
      </x:c>
      <x:c r="B9" s="32" t="n">
        <x:v>0.5987407031</x:v>
      </x:c>
      <x:c r="C9" t="str">
        <x:v>Immutable lock</x:v>
      </x:c>
      <x:c r="D9" t="str">
        <x:v>Already</x:v>
      </x:c>
      <x:c r="E9" t="str">
        <x:v>YES</x:v>
      </x:c>
      <x:c r="F9" t="str">
        <x:v>Frozen</x:v>
      </x:c>
      <x:c r="G9" t="str">
        <x:v>Calibration</x:v>
      </x:c>
      <x:c r="H9" t="str">
        <x:v>Forecast</x:v>
      </x:c>
      <x:c r="I9" t="str">
        <x:v>NO</x:v>
      </x:c>
      <x:c r="J9" t="str">
        <x:v>NO</x:v>
      </x:c>
      <x:c r="K9" t="str">
        <x:v>LOCKED</x:v>
      </x:c>
      <x:c r="L9" t="str"/>
    </x:row>
    <x:row r="10">
      <x:c r="A10" t="str">
        <x:v>Brier Score</x:v>
      </x:c>
      <x:c r="B10" s="96" t="str">
        <x:f>IF(B8="","",(B9-B8)^2)</x:f>
      </x:c>
      <x:c r="C10" t="str">
        <x:v>Derived</x:v>
      </x:c>
      <x:c r="D10" t="str">
        <x:v>After FT</x:v>
      </x:c>
      <x:c r="E10" t="str">
        <x:v>YES</x:v>
      </x:c>
      <x:c r="F10" t="str">
        <x:v>(P-y)^2</x:v>
      </x:c>
      <x:c r="G10" t="str">
        <x:v>Calibration</x:v>
      </x:c>
      <x:c r="H10" t="str">
        <x:v>Probability error</x:v>
      </x:c>
      <x:c r="I10" t="str">
        <x:v>NO</x:v>
      </x:c>
      <x:c r="J10" t="str">
        <x:v>NO</x:v>
      </x:c>
      <x:c r="K10" t="str">
        <x:v>PENDING</x:v>
      </x:c>
      <x:c r="L10" t="str"/>
    </x:row>
    <x:row r="11">
      <x:c r="A11" t="str">
        <x:v>Log Loss</x:v>
      </x:c>
      <x:c r="B11" s="96" t="str">
        <x:f>IF(B8="","",-1*(B8*LN(B9)+(1-B8)*LN(1-B9)))</x:f>
      </x:c>
      <x:c r="C11" t="str">
        <x:v>Derived</x:v>
      </x:c>
      <x:c r="D11" t="str">
        <x:v>After FT</x:v>
      </x:c>
      <x:c r="E11" t="str">
        <x:v>YES</x:v>
      </x:c>
      <x:c r="F11" t="str">
        <x:v>-[y ln p +(1-y) ln(1-p)]</x:v>
      </x:c>
      <x:c r="G11" t="str">
        <x:v>Calibration</x:v>
      </x:c>
      <x:c r="H11" t="str">
        <x:v>Overconfidence</x:v>
      </x:c>
      <x:c r="I11" t="str">
        <x:v>NO</x:v>
      </x:c>
      <x:c r="J11" t="str">
        <x:v>NO</x:v>
      </x:c>
      <x:c r="K11" t="str">
        <x:v>PENDING</x:v>
      </x:c>
      <x:c r="L11" t="str"/>
    </x:row>
    <x:row r="12">
      <x:c r="A12" t="str">
        <x:v>Reference U3.5 Odds</x:v>
      </x:c>
      <x:c r="B12" s="30" t="n">
        <x:v>1.625</x:v>
      </x:c>
      <x:c r="C12" t="str">
        <x:v>Immutable lock</x:v>
      </x:c>
      <x:c r="D12" t="str">
        <x:v>Already</x:v>
      </x:c>
      <x:c r="E12" t="str">
        <x:v>YES</x:v>
      </x:c>
      <x:c r="F12" t="str">
        <x:v>Frozen</x:v>
      </x:c>
      <x:c r="G12" t="str">
        <x:v>Economic</x:v>
      </x:c>
      <x:c r="H12" t="str">
        <x:v>Price quality</x:v>
      </x:c>
      <x:c r="I12" t="str">
        <x:v>NO</x:v>
      </x:c>
      <x:c r="J12" t="str">
        <x:v>NO</x:v>
      </x:c>
      <x:c r="K12" t="str">
        <x:v>LOCKED</x:v>
      </x:c>
      <x:c r="L12" t="str"/>
    </x:row>
    <x:row r="13">
      <x:c r="A13" t="str">
        <x:v>Reference Paper Profit</x:v>
      </x:c>
      <x:c r="B13" s="30" t="str">
        <x:f>IF(B8="","",IF(B8=1,B12-1,-1))</x:f>
      </x:c>
      <x:c r="C13" t="str">
        <x:v>Derived</x:v>
      </x:c>
      <x:c r="D13" t="str">
        <x:v>After FT</x:v>
      </x:c>
      <x:c r="E13" t="str">
        <x:v>YES</x:v>
      </x:c>
      <x:c r="F13" t="str">
        <x:v>WIN: odds-1; LOSS:-1</x:v>
      </x:c>
      <x:c r="G13" t="str">
        <x:v>ROI</x:v>
      </x:c>
      <x:c r="H13" t="str">
        <x:v>Economic error</x:v>
      </x:c>
      <x:c r="I13" t="str">
        <x:v>NO</x:v>
      </x:c>
      <x:c r="J13" t="str">
        <x:v>NO</x:v>
      </x:c>
      <x:c r="K13" t="str">
        <x:v>PENDING</x:v>
      </x:c>
      <x:c r="L13" t="str"/>
    </x:row>
    <x:row r="14">
      <x:c r="A14" t="str">
        <x:v>Closing U3.5 Odds</x:v>
      </x:c>
      <x:c r="B14" s="30" t="str"/>
      <x:c r="C14" t="str">
        <x:v>Closing source</x:v>
      </x:c>
      <x:c r="D14" t="str">
        <x:v>At close</x:v>
      </x:c>
      <x:c r="E14" t="str">
        <x:v>YES</x:v>
      </x:c>
      <x:c r="F14" t="str">
        <x:v>Captured separately</x:v>
      </x:c>
      <x:c r="G14" t="str">
        <x:v>CLV</x:v>
      </x:c>
      <x:c r="H14" t="str">
        <x:v>Market timing</x:v>
      </x:c>
      <x:c r="I14" t="str">
        <x:v>NO</x:v>
      </x:c>
      <x:c r="J14" t="str">
        <x:v>NO</x:v>
      </x:c>
      <x:c r="K14" t="str">
        <x:v>PENDING</x:v>
      </x:c>
      <x:c r="L14" t="str"/>
    </x:row>
    <x:row r="15">
      <x:c r="A15" t="str">
        <x:v>CLV</x:v>
      </x:c>
      <x:c r="B15" s="30" t="str">
        <x:f>IF(OR(B12="",B14=""),"",B12/B14-1)</x:f>
      </x:c>
      <x:c r="C15" t="str">
        <x:v>Derived</x:v>
      </x:c>
      <x:c r="D15" t="str">
        <x:v>After close</x:v>
      </x:c>
      <x:c r="E15" t="str">
        <x:v>YES</x:v>
      </x:c>
      <x:c r="F15" t="str">
        <x:v>reference / close - 1</x:v>
      </x:c>
      <x:c r="G15" t="str">
        <x:v>CLV</x:v>
      </x:c>
      <x:c r="H15" t="str">
        <x:v>Price timing</x:v>
      </x:c>
      <x:c r="I15" t="str">
        <x:v>NO</x:v>
      </x:c>
      <x:c r="J15" t="str">
        <x:v>NO</x:v>
      </x:c>
      <x:c r="K15" t="str">
        <x:v>PENDING</x:v>
      </x:c>
      <x:c r="L15" t="str"/>
    </x:row>
    <x:row r="16">
      <x:c r="A16" t="str">
        <x:v>Post-match xG Home</x:v>
      </x:c>
      <x:c r="B16" t="str"/>
      <x:c r="C16" t="str">
        <x:v>Same provider</x:v>
      </x:c>
      <x:c r="D16" t="str">
        <x:v>After FT</x:v>
      </x:c>
      <x:c r="E16" t="str">
        <x:v>YES</x:v>
      </x:c>
      <x:c r="F16" t="str">
        <x:v>Raw factual label</x:v>
      </x:c>
      <x:c r="G16" t="str">
        <x:v>Process</x:v>
      </x:c>
      <x:c r="H16" t="str">
        <x:v>Finishing vs creation</x:v>
      </x:c>
      <x:c r="I16" t="str">
        <x:v>YES</x:v>
      </x:c>
      <x:c r="J16" t="str">
        <x:v>NO</x:v>
      </x:c>
      <x:c r="K16" t="str">
        <x:v>PENDING</x:v>
      </x:c>
      <x:c r="L16" t="str"/>
    </x:row>
    <x:row r="17">
      <x:c r="A17" t="str">
        <x:v>Post-match xG Away</x:v>
      </x:c>
      <x:c r="B17" t="str"/>
      <x:c r="C17" t="str">
        <x:v>Same provider</x:v>
      </x:c>
      <x:c r="D17" t="str">
        <x:v>After FT</x:v>
      </x:c>
      <x:c r="E17" t="str">
        <x:v>YES</x:v>
      </x:c>
      <x:c r="F17" t="str">
        <x:v>Raw factual label</x:v>
      </x:c>
      <x:c r="G17" t="str">
        <x:v>Process</x:v>
      </x:c>
      <x:c r="H17" t="str">
        <x:v>Finishing vs creation</x:v>
      </x:c>
      <x:c r="I17" t="str">
        <x:v>YES</x:v>
      </x:c>
      <x:c r="J17" t="str">
        <x:v>NO</x:v>
      </x:c>
      <x:c r="K17" t="str">
        <x:v>PENDING</x:v>
      </x:c>
      <x:c r="L17" t="str"/>
    </x:row>
    <x:row r="18">
      <x:c r="A18" t="str">
        <x:v>Red cards / key events</x:v>
      </x:c>
      <x:c r="B18" t="str"/>
      <x:c r="C18" t="str">
        <x:v>Official/event feed</x:v>
      </x:c>
      <x:c r="D18" t="str">
        <x:v>After FT</x:v>
      </x:c>
      <x:c r="E18" t="str">
        <x:v>YES</x:v>
      </x:c>
      <x:c r="F18" t="str">
        <x:v>Raw events</x:v>
      </x:c>
      <x:c r="G18" t="str">
        <x:v>Attribution</x:v>
      </x:c>
      <x:c r="H18" t="str">
        <x:v>State change</x:v>
      </x:c>
      <x:c r="I18" t="str">
        <x:v>YES</x:v>
      </x:c>
      <x:c r="J18" t="str">
        <x:v>NO</x:v>
      </x:c>
      <x:c r="K18" t="str">
        <x:v>PENDING</x:v>
      </x:c>
      <x:c r="L18" t="str"/>
    </x:row>
    <x:row r="19">
      <x:c r="A19" t="str">
        <x:v>Learning status</x:v>
      </x:c>
      <x:c r="B19" t="str">
        <x:v>QUARANTINE</x:v>
      </x:c>
      <x:c r="C19" t="str">
        <x:v>System</x:v>
      </x:c>
      <x:c r="D19" t="str">
        <x:v>After FT</x:v>
      </x:c>
      <x:c r="E19" t="str">
        <x:v>YES</x:v>
      </x:c>
      <x:c r="F19" t="str">
        <x:v>Do not tune from one result</x:v>
      </x:c>
      <x:c r="G19" t="str">
        <x:v>Governance</x:v>
      </x:c>
      <x:c r="H19" t="str">
        <x:v>Anti-overfit</x:v>
      </x:c>
      <x:c r="I19" t="str">
        <x:v>NO</x:v>
      </x:c>
      <x:c r="J19" t="str">
        <x:v>NO</x:v>
      </x:c>
      <x:c r="K19" t="str">
        <x:v>LOCKED</x:v>
      </x:c>
      <x:c r="L19" t="str">
        <x:v>One match updates ledger, not weights</x:v>
      </x:c>
    </x:row>
    <x:row r="21">
      <x:c r="A21" s="559" t="str">
        <x:v>IMMUTABILITY AUDIT</x:v>
      </x:c>
      <x:c r="B21" s="559" t="str">
        <x:v>Value</x:v>
      </x:c>
      <x:c r="C21" s="559" t="str">
        <x:v>Expected</x:v>
      </x:c>
      <x:c r="D21" s="559" t="str">
        <x:v>Status</x:v>
      </x:c>
      <x:c r="E21" s="559" t="str">
        <x:v>Rule</x:v>
      </x:c>
      <x:c r="F21" s="559" t="str">
        <x:v>Why</x:v>
      </x:c>
    </x:row>
    <x:row r="22">
      <x:c r="A22" s="560" t="str">
        <x:v>Pre-match probability</x:v>
      </x:c>
      <x:c r="B22" s="125" t="n">
        <x:v>0.5987407031</x:v>
      </x:c>
      <x:c r="C22" s="125" t="n">
        <x:v>0.5987407031</x:v>
      </x:c>
      <x:c r="D22" s="15" t="str">
        <x:v>PASS</x:v>
      </x:c>
      <x:c r="E22" s="15" t="str">
        <x:v>Must equal final pre-kick lock</x:v>
      </x:c>
      <x:c r="F22" s="15" t="str">
        <x:v>Forecast cannot move after result</x:v>
      </x:c>
    </x:row>
    <x:row r="23">
      <x:c r="A23" s="560" t="str">
        <x:v>Pre-match U3.5 odds</x:v>
      </x:c>
      <x:c r="B23" s="90" t="n">
        <x:v>1.625</x:v>
      </x:c>
      <x:c r="C23" s="90" t="n">
        <x:v>1.625</x:v>
      </x:c>
      <x:c r="D23" s="15" t="str">
        <x:v>PASS</x:v>
      </x:c>
      <x:c r="E23" s="15" t="str">
        <x:v>Must equal final pre-kick lock</x:v>
      </x:c>
      <x:c r="F23" s="15" t="str">
        <x:v>Price cannot move after result</x:v>
      </x:c>
    </x:row>
    <x:row r="24">
      <x:c r="A24" s="560" t="str">
        <x:v>Pre-match decision</x:v>
      </x:c>
      <x:c r="B24" s="15" t="str">
        <x:v>NO VALUE / PAPER ONLY</x:v>
      </x:c>
      <x:c r="C24" s="15" t="str">
        <x:v>NO VALUE / PAPER ONLY</x:v>
      </x:c>
      <x:c r="D24" s="15" t="str">
        <x:v>PASS</x:v>
      </x:c>
      <x:c r="E24" s="15" t="str">
        <x:v>Decision stays frozen</x:v>
      </x:c>
      <x:c r="F24" s="15" t="str">
        <x:v>No result-based rewriting</x:v>
      </x:c>
    </x:row>
  </x:sheetData>
  <x:mergeCells>
    <x:mergeCell ref="A1:L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0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2" hidden="0" customWidth="1"/>
  </x:cols>
  <x:sheetData>
    <x:row r="1">
      <x:c r="A1" s="570" t="str">
        <x:v>BETTING INTELLIGENCE v0.3.3 — SOURCE QUORUM &amp; CONFLICT DETECTOR</x:v>
      </x:c>
      <x:c r="B1" s="570"/>
      <x:c r="C1" s="570"/>
      <x:c r="D1" s="570"/>
      <x:c r="E1" s="570"/>
      <x:c r="F1" s="570"/>
      <x:c r="G1" s="570"/>
      <x:c r="H1" s="570"/>
      <x:c r="I1" s="570"/>
      <x:c r="J1" s="570"/>
      <x:c r="K1" s="570"/>
      <x:c r="L1" s="570"/>
    </x:row>
    <x:row r="3">
      <x:c r="A3" s="569" t="str">
        <x:v>Observation_ID</x:v>
      </x:c>
      <x:c r="B3" s="569" t="str">
        <x:v>Observed At EAT</x:v>
      </x:c>
      <x:c r="C3" s="569" t="str">
        <x:v>Source</x:v>
      </x:c>
      <x:c r="D3" s="569" t="str">
        <x:v>Tier</x:v>
      </x:c>
      <x:c r="E3" s="569" t="str">
        <x:v>Claim Type</x:v>
      </x:c>
      <x:c r="F3" s="569" t="str">
        <x:v>Claim</x:v>
      </x:c>
      <x:c r="G3" s="569" t="str">
        <x:v>Explicit Match Minute?</x:v>
      </x:c>
      <x:c r="H3" s="569" t="str">
        <x:v>Explicit Timestamp?</x:v>
      </x:c>
      <x:c r="I3" s="569" t="str">
        <x:v>Independent?</x:v>
      </x:c>
      <x:c r="J3" s="569" t="str">
        <x:v>Conflict Group</x:v>
      </x:c>
      <x:c r="K3" s="569" t="str">
        <x:v>Verification Weight</x:v>
      </x:c>
      <x:c r="L3" s="569" t="str">
        <x:v>Source URL</x:v>
      </x:c>
    </x:row>
    <x:row r="4">
      <x:c r="A4" t="str">
        <x:v>OBS001</x:v>
      </x:c>
      <x:c r="B4" t="str">
        <x:v>2026-08-20 03:33</x:v>
      </x:c>
      <x:c r="C4" t="str">
        <x:v>AS USA</x:v>
      </x:c>
      <x:c r="D4" t="str">
        <x:v>B</x:v>
      </x:c>
      <x:c r="E4" t="str">
        <x:v>Live score</x:v>
      </x:c>
      <x:c r="F4" t="str">
        <x:v>0-0 in page title</x:v>
      </x:c>
      <x:c r="G4" t="str">
        <x:v>NO</x:v>
      </x:c>
      <x:c r="H4" t="str">
        <x:v>NO</x:v>
      </x:c>
      <x:c r="I4" t="str">
        <x:v>YES</x:v>
      </x:c>
      <x:c r="J4" t="str">
        <x:v>LIVE_SCORE</x:v>
      </x:c>
      <x:c r="K4" s="171" t="n">
        <x:v>0.35</x:v>
      </x:c>
      <x:c r="L4" t="str">
        <x:v>https://en.as.com/resultados/futbol/mls/2026/directo/regular_a_21_6937b890b6d7433/</x:v>
      </x:c>
    </x:row>
    <x:row r="5">
      <x:c r="A5" t="str">
        <x:v>OBS002</x:v>
      </x:c>
      <x:c r="B5" t="str">
        <x:v>2026-08-20 03:33</x:v>
      </x:c>
      <x:c r="C5" t="str">
        <x:v>AS USA</x:v>
      </x:c>
      <x:c r="D5" t="str">
        <x:v>B</x:v>
      </x:c>
      <x:c r="E5" t="str">
        <x:v>Match state</x:v>
      </x:c>
      <x:c r="F5" t="str">
        <x:v>Lineups announced; players warming up</x:v>
      </x:c>
      <x:c r="G5" t="str">
        <x:v>NO</x:v>
      </x:c>
      <x:c r="H5" t="str">
        <x:v>NO</x:v>
      </x:c>
      <x:c r="I5" t="str">
        <x:v>YES</x:v>
      </x:c>
      <x:c r="J5" t="str">
        <x:v>LIVE_STATE</x:v>
      </x:c>
      <x:c r="K5" s="171" t="n">
        <x:v>0.35</x:v>
      </x:c>
      <x:c r="L5" t="str">
        <x:v>https://en.as.com/resultados/futbol/mls/2026/directo/regular_a_21_6937b890b6d7433/</x:v>
      </x:c>
    </x:row>
    <x:row r="6">
      <x:c r="A6" t="str">
        <x:v>OBS003</x:v>
      </x:c>
      <x:c r="B6" t="str">
        <x:v>2026-08-20 03:33</x:v>
      </x:c>
      <x:c r="C6" t="str">
        <x:v>ESPN</x:v>
      </x:c>
      <x:c r="D6" t="str">
        <x:v>A/B</x:v>
      </x:c>
      <x:c r="E6" t="str">
        <x:v>Live score</x:v>
      </x:c>
      <x:c r="F6" t="str">
        <x:v>No score exposed in parsed text</x:v>
      </x:c>
      <x:c r="G6" t="str">
        <x:v>NO</x:v>
      </x:c>
      <x:c r="H6" t="str">
        <x:v>NO</x:v>
      </x:c>
      <x:c r="I6" t="str">
        <x:v>YES</x:v>
      </x:c>
      <x:c r="J6" t="str">
        <x:v>LIVE_SCORE</x:v>
      </x:c>
      <x:c r="K6" s="171" t="n">
        <x:v>0.5</x:v>
      </x:c>
      <x:c r="L6" t="str">
        <x:v>https://www.espn.com/soccer/match/_/gameId/761732/st-louis-city-sc-sporting-kansas-city</x:v>
      </x:c>
    </x:row>
    <x:row r="7">
      <x:c r="A7" t="str">
        <x:v>OBS004</x:v>
      </x:c>
      <x:c r="B7" t="str">
        <x:v>2026-08-20 03:33</x:v>
      </x:c>
      <x:c r="C7" t="str">
        <x:v>FOX Sports</x:v>
      </x:c>
      <x:c r="D7" t="str">
        <x:v>B</x:v>
      </x:c>
      <x:c r="E7" t="str">
        <x:v>Live score</x:v>
      </x:c>
      <x:c r="F7" t="str">
        <x:v>No current score exposed in parsed text</x:v>
      </x:c>
      <x:c r="G7" t="str">
        <x:v>NO</x:v>
      </x:c>
      <x:c r="H7" t="str">
        <x:v>NO</x:v>
      </x:c>
      <x:c r="I7" t="str">
        <x:v>YES</x:v>
      </x:c>
      <x:c r="J7" t="str">
        <x:v>LIVE_SCORE</x:v>
      </x:c>
      <x:c r="K7" s="171" t="n">
        <x:v>0.45</x:v>
      </x:c>
      <x:c r="L7" t="str">
        <x:v>https://www.foxsports.com/soccer/mls-sporting-kc-vs-saint-louis-city-sc-aug-19-2026-game-boxscore-647260</x:v>
      </x:c>
    </x:row>
    <x:row r="8">
      <x:c r="A8" t="str">
        <x:v>OBS005</x:v>
      </x:c>
      <x:c r="B8" t="str">
        <x:v>2026-08-20 03:33</x:v>
      </x:c>
      <x:c r="C8" t="str">
        <x:v>Sporting KC Official</x:v>
      </x:c>
      <x:c r="D8" t="str">
        <x:v>A</x:v>
      </x:c>
      <x:c r="E8" t="str">
        <x:v>Kickoff</x:v>
      </x:c>
      <x:c r="F8" t="str">
        <x:v>Official pre-match kickoff 7:25 PM CT / 03:25 EAT</x:v>
      </x:c>
      <x:c r="G8" t="str">
        <x:v>N/A</x:v>
      </x:c>
      <x:c r="H8" t="str">
        <x:v>YES</x:v>
      </x:c>
      <x:c r="I8" t="str">
        <x:v>YES</x:v>
      </x:c>
      <x:c r="J8" t="str">
        <x:v>KICKOFF</x:v>
      </x:c>
      <x:c r="K8" s="171" t="n">
        <x:v>1</x:v>
      </x:c>
      <x:c r="L8" t="str">
        <x:v>https://www.sportingkc.com/news/preview-sporting-kc-hosts-rivals-st-louis-city-sc-on-wednesday-at-sporting-park</x:v>
      </x:c>
    </x:row>
    <x:row r="9">
      <x:c r="A9" t="str">
        <x:v>OBS006</x:v>
      </x:c>
      <x:c r="B9" t="str">
        <x:v>2026-08-20 03:38</x:v>
      </x:c>
      <x:c r="C9" t="str">
        <x:v>AiScore</x:v>
      </x:c>
      <x:c r="D9" t="str">
        <x:v>B</x:v>
      </x:c>
      <x:c r="E9" t="str">
        <x:v>Live score/state</x:v>
      </x:c>
      <x:c r="F9" t="str">
        <x:v>0-0 shown; all displayed live stats zero; no explicit match minute in parsed feed</x:v>
      </x:c>
      <x:c r="G9" t="str">
        <x:v>NO</x:v>
      </x:c>
      <x:c r="H9" t="str">
        <x:v>NO</x:v>
      </x:c>
      <x:c r="I9" t="str">
        <x:v>YES</x:v>
      </x:c>
      <x:c r="J9" t="str">
        <x:v>LIVE_SCORE</x:v>
      </x:c>
      <x:c r="K9" s="171" t="n">
        <x:v>0.4</x:v>
      </x:c>
      <x:c r="L9" t="str">
        <x:v>https://www.aiscore.com/live/football-sporting-kansas-city-vs-st-louis-city-sc</x:v>
      </x:c>
    </x:row>
    <x:row r="11">
      <x:c r="A11" s="574" t="str">
        <x:v>QUORUM RULE</x:v>
      </x:c>
      <x:c r="B11" s="574" t="str">
        <x:v>Threshold</x:v>
      </x:c>
      <x:c r="C11" s="574" t="str">
        <x:v>Current</x:v>
      </x:c>
      <x:c r="D11" s="574" t="str">
        <x:v>Status</x:v>
      </x:c>
      <x:c r="E11" s="574" t="str">
        <x:v>Meaning</x:v>
      </x:c>
      <x:c r="F11" s="574" t="str">
        <x:v>Failure Action</x:v>
      </x:c>
      <x:c r="G11" s="574" t="str">
        <x:v>Model Access</x:v>
      </x:c>
      <x:c r="H11" s="574" t="str">
        <x:v>Locked?</x:v>
      </x:c>
    </x:row>
    <x:row r="12">
      <x:c r="A12" s="577" t="str">
        <x:v>Tier-A event feed with minute+timestamp</x:v>
      </x:c>
      <x:c r="B12" s="15" t="str">
        <x:v>1 source</x:v>
      </x:c>
      <x:c r="C12" s="15" t="str">
        <x:v>0</x:v>
      </x:c>
      <x:c r="D12" s="15" t="str">
        <x:v>FAIL</x:v>
      </x:c>
      <x:c r="E12" s="15" t="str">
        <x:v>Single authoritative live feed can verify state</x:v>
      </x:c>
      <x:c r="F12" s="15" t="str">
        <x:v>Keep state NULL</x:v>
      </x:c>
      <x:c r="G12" s="15" t="str">
        <x:v>LIVE model blocked</x:v>
      </x:c>
      <x:c r="H12" s="15" t="str">
        <x:v>YES</x:v>
      </x:c>
    </x:row>
    <x:row r="13">
      <x:c r="A13" s="577" t="str">
        <x:v>Independent agreement on exact score</x:v>
      </x:c>
      <x:c r="B13" s="15" t="str">
        <x:v>2 sources</x:v>
      </x:c>
      <x:c r="C13" s="15" t="str">
        <x:v>1 unverified 0-0 claim</x:v>
      </x:c>
      <x:c r="D13" s="15" t="str">
        <x:v>FAIL</x:v>
      </x:c>
      <x:c r="E13" s="15" t="str">
        <x:v>Two independent sources must agree</x:v>
      </x:c>
      <x:c r="F13" s="15" t="str">
        <x:v>Keep score NULL</x:v>
      </x:c>
      <x:c r="G13" s="15" t="str">
        <x:v>LIVE model blocked</x:v>
      </x:c>
      <x:c r="H13" s="15" t="str">
        <x:v>YES</x:v>
      </x:c>
    </x:row>
    <x:row r="14">
      <x:c r="A14" s="577" t="str">
        <x:v>Score + minute pair verified</x:v>
      </x:c>
      <x:c r="B14" s="15" t="str">
        <x:v>Required</x:v>
      </x:c>
      <x:c r="C14" s="15" t="str">
        <x:v>NO</x:v>
      </x:c>
      <x:c r="D14" s="15" t="str">
        <x:v>FAIL</x:v>
      </x:c>
      <x:c r="E14" s="15" t="str">
        <x:v>Score without game clock is incomplete state</x:v>
      </x:c>
      <x:c r="F14" s="15" t="str">
        <x:v>Keep both NULL</x:v>
      </x:c>
      <x:c r="G14" s="15" t="str">
        <x:v>LIVE model blocked</x:v>
      </x:c>
      <x:c r="H14" s="15" t="str">
        <x:v>YES</x:v>
      </x:c>
    </x:row>
    <x:row r="15">
      <x:c r="A15" s="577" t="str">
        <x:v>Conflicting state descriptions</x:v>
      </x:c>
      <x:c r="B15" s="15" t="str">
        <x:v>Must be zero</x:v>
      </x:c>
      <x:c r="C15" s="15" t="str">
        <x:v>2 source-state inconsistencies/incompleteness</x:v>
      </x:c>
      <x:c r="D15" s="15" t="str">
        <x:v>FAIL</x:v>
      </x:c>
      <x:c r="E15" s="15" t="str">
        <x:v>AS title and body are internally inconsistent</x:v>
      </x:c>
      <x:c r="F15" s="15" t="str">
        <x:v>Lower source trust</x:v>
      </x:c>
      <x:c r="G15" s="15" t="str">
        <x:v>No live inference</x:v>
      </x:c>
      <x:c r="H15" s="15" t="str">
        <x:v>YES</x:v>
      </x:c>
    </x:row>
    <x:row r="16">
      <x:c r="A16" s="577" t="str">
        <x:v>Kickoff boundary</x:v>
      </x:c>
      <x:c r="B16" s="15" t="str">
        <x:v>Official source</x:v>
      </x:c>
      <x:c r="C16" s="15" t="str">
        <x:v>PASS</x:v>
      </x:c>
      <x:c r="D16" s="15" t="str">
        <x:v>PASS</x:v>
      </x:c>
      <x:c r="E16" s="15" t="str">
        <x:v>Pre-match phase is over by official schedule</x:v>
      </x:c>
      <x:c r="F16" s="15" t="str">
        <x:v>Pre-match remains locked</x:v>
      </x:c>
      <x:c r="G16" s="15" t="str">
        <x:v>PRE-MATCH frozen</x:v>
      </x:c>
      <x:c r="H16" s="15" t="str">
        <x:v>YES</x:v>
      </x:c>
    </x:row>
    <x:row r="17">
      <x:c r="A17" s="577" t="str">
        <x:v>Live state verification</x:v>
      </x:c>
      <x:c r="B17" s="15" t="str">
        <x:v>All critical live checks</x:v>
      </x:c>
      <x:c r="C17" s="15" t="str">
        <x:v>NO</x:v>
      </x:c>
      <x:c r="D17" s="15" t="str">
        <x:v>FAIL</x:v>
      </x:c>
      <x:c r="E17" s="15" t="str">
        <x:v>Current score/minute cannot be trusted yet</x:v>
      </x:c>
      <x:c r="F17" s="15" t="str">
        <x:v>OBSERVE ONLY</x:v>
      </x:c>
      <x:c r="G17" s="15" t="str">
        <x:v>No live bets</x:v>
      </x:c>
      <x:c r="H17" s="15" t="str">
        <x:v>YES</x:v>
      </x:c>
    </x:row>
    <x:row r="18">
      <x:c r="A18" s="577" t="str">
        <x:v>Post-match settlement</x:v>
      </x:c>
      <x:c r="B18" s="15" t="str">
        <x:v>Official FT result</x:v>
      </x:c>
      <x:c r="C18" s="15" t="str">
        <x:v>PENDING</x:v>
      </x:c>
      <x:c r="D18" s="15" t="str">
        <x:v>PENDING</x:v>
      </x:c>
      <x:c r="E18" s="15" t="str">
        <x:v>Only official/strongly corroborated result settles ledger</x:v>
      </x:c>
      <x:c r="F18" s="15" t="str">
        <x:v>Wait for FT</x:v>
      </x:c>
      <x:c r="G18" s="15" t="str">
        <x:v>Settlement only</x:v>
      </x:c>
      <x:c r="H18" s="15" t="str">
        <x:v>YES</x:v>
      </x:c>
    </x:row>
    <x:row r="19">
      <x:c r="A19" s="577" t="str">
        <x:v>Quorum principle</x:v>
      </x:c>
      <x:c r="B19" s="15" t="str">
        <x:v>Evidence &gt; convenience</x:v>
      </x:c>
      <x:c r="C19" s="15" t="str">
        <x:v>ACTIVE</x:v>
      </x:c>
      <x:c r="D19" s="15" t="str">
        <x:v>PASS</x:v>
      </x:c>
      <x:c r="E19" s="15" t="str">
        <x:v>Do not fill gaps because a value looks plausible</x:v>
      </x:c>
      <x:c r="F19" s="15" t="str">
        <x:v>Preserve nulls</x:v>
      </x:c>
      <x:c r="G19" s="15" t="str">
        <x:v>All models</x:v>
      </x:c>
      <x:c r="H19" s="15" t="str">
        <x:v>YES</x:v>
      </x:c>
    </x:row>
    <x:row r="20">
      <x:c r="A20" s="577"/>
      <x:c r="B20" s="15"/>
      <x:c r="C20" s="15"/>
      <x:c r="D20" s="15"/>
      <x:c r="E20" s="15"/>
      <x:c r="F20" s="15"/>
      <x:c r="G20" s="15"/>
      <x:c r="H20" s="15"/>
    </x:row>
  </x:sheetData>
  <x:mergeCells>
    <x:mergeCell ref="A1:L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8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27" hidden="0" customWidth="1"/>
    <x:col min="11" max="11" width="15" hidden="0" customWidth="1"/>
    <x:col min="12" max="12" width="30" hidden="0" customWidth="1"/>
    <x:col min="13" max="13" width="15" hidden="0" customWidth="1"/>
    <x:col min="14" max="14" width="34" hidden="0" customWidth="1"/>
  </x:cols>
  <x:sheetData>
    <x:row r="1">
      <x:c r="A1" s="570" t="str">
        <x:v>v0.3.3 — EVENT-STATE INTELLIGENCE (LIVE ARCHITECTURE)</x:v>
      </x:c>
      <x:c r="B1" s="570"/>
      <x:c r="C1" s="570"/>
      <x:c r="D1" s="570"/>
      <x:c r="E1" s="570"/>
      <x:c r="F1" s="570"/>
      <x:c r="G1" s="570"/>
      <x:c r="H1" s="570"/>
      <x:c r="I1" s="570"/>
      <x:c r="J1" s="570"/>
      <x:c r="K1" s="570"/>
      <x:c r="L1" s="570"/>
      <x:c r="M1" s="570"/>
      <x:c r="N1" s="570"/>
    </x:row>
    <x:row r="3">
      <x:c r="A3" s="569" t="str">
        <x:v>State Feature</x:v>
      </x:c>
      <x:c r="B3" s="569" t="str">
        <x:v>Definition</x:v>
      </x:c>
      <x:c r="C3" s="569" t="str">
        <x:v>Current Value</x:v>
      </x:c>
      <x:c r="D3" s="569" t="str">
        <x:v>Verified?</x:v>
      </x:c>
      <x:c r="E3" s="569" t="str">
        <x:v>Provider</x:v>
      </x:c>
      <x:c r="F3" s="569" t="str">
        <x:v>Snapshot Time</x:v>
      </x:c>
      <x:c r="G3" s="569" t="str">
        <x:v>State Class</x:v>
      </x:c>
      <x:c r="H3" s="569" t="str">
        <x:v>Model Family</x:v>
      </x:c>
      <x:c r="I3" s="569" t="str">
        <x:v>Weight Now</x:v>
      </x:c>
      <x:c r="J3" s="569" t="str">
        <x:v>Minimum Training Need</x:v>
      </x:c>
      <x:c r="K3" s="569" t="str">
        <x:v>High-Impact?</x:v>
      </x:c>
      <x:c r="L3" s="569" t="str">
        <x:v>Interaction Terms</x:v>
      </x:c>
      <x:c r="M3" s="569" t="str">
        <x:v>Leakage Risk</x:v>
      </x:c>
      <x:c r="N3" s="569" t="str">
        <x:v>Notes</x:v>
      </x:c>
    </x:row>
    <x:row r="4">
      <x:c r="A4" t="str">
        <x:v>Minute</x:v>
      </x:c>
      <x:c r="B4" t="str">
        <x:v>Official/live event clock</x:v>
      </x:c>
      <x:c r="C4" t="str"/>
      <x:c r="D4" t="str">
        <x:v>NO</x:v>
      </x:c>
      <x:c r="E4" t="str"/>
      <x:c r="F4" t="str"/>
      <x:c r="G4" t="str">
        <x:v>Clock</x:v>
      </x:c>
      <x:c r="H4" t="str">
        <x:v>Hazard/state-space</x:v>
      </x:c>
      <x:c r="I4" s="171" t="n">
        <x:v>0</x:v>
      </x:c>
      <x:c r="J4" t="str">
        <x:v>10k+ event states</x:v>
      </x:c>
      <x:c r="K4" t="str">
        <x:v>YES</x:v>
      </x:c>
      <x:c r="L4" t="str">
        <x:v>minute×score; minute×cards</x:v>
      </x:c>
      <x:c r="M4" t="str">
        <x:v>LOW if timestamped</x:v>
      </x:c>
      <x:c r="N4" t="str">
        <x:v>Core axis</x:v>
      </x:c>
    </x:row>
    <x:row r="5">
      <x:c r="A5" t="str">
        <x:v>Score Difference</x:v>
      </x:c>
      <x:c r="B5" t="str">
        <x:v>Home goals-away goals</x:v>
      </x:c>
      <x:c r="C5" t="str"/>
      <x:c r="D5" t="str">
        <x:v>NO</x:v>
      </x:c>
      <x:c r="E5" t="str"/>
      <x:c r="F5" t="str"/>
      <x:c r="G5" t="str">
        <x:v>Score</x:v>
      </x:c>
      <x:c r="H5" t="str">
        <x:v>Hazard/state-space</x:v>
      </x:c>
      <x:c r="I5" s="171" t="n">
        <x:v>0</x:v>
      </x:c>
      <x:c r="J5" t="str">
        <x:v>10k+ event states</x:v>
      </x:c>
      <x:c r="K5" t="str">
        <x:v>YES</x:v>
      </x:c>
      <x:c r="L5" t="str">
        <x:v>score×minute; score×odds</x:v>
      </x:c>
      <x:c r="M5" t="str">
        <x:v>LOW</x:v>
      </x:c>
      <x:c r="N5" t="str"/>
    </x:row>
    <x:row r="6">
      <x:c r="A6" t="str">
        <x:v>Total Goals So Far</x:v>
      </x:c>
      <x:c r="B6" t="str">
        <x:v>Home+away goals</x:v>
      </x:c>
      <x:c r="C6" t="str"/>
      <x:c r="D6" t="str">
        <x:v>NO</x:v>
      </x:c>
      <x:c r="E6" t="str"/>
      <x:c r="F6" t="str"/>
      <x:c r="G6" t="str">
        <x:v>Score</x:v>
      </x:c>
      <x:c r="H6" t="str">
        <x:v>Count process</x:v>
      </x:c>
      <x:c r="I6" s="171" t="n">
        <x:v>0</x:v>
      </x:c>
      <x:c r="J6" t="str">
        <x:v>10k+ event states</x:v>
      </x:c>
      <x:c r="K6" t="str">
        <x:v>YES</x:v>
      </x:c>
      <x:c r="L6" t="str">
        <x:v>goals×minute</x:v>
      </x:c>
      <x:c r="M6" t="str">
        <x:v>LOW</x:v>
      </x:c>
      <x:c r="N6" t="str"/>
    </x:row>
    <x:row r="7">
      <x:c r="A7" t="str">
        <x:v>Red Card State</x:v>
      </x:c>
      <x:c r="B7" t="str">
        <x:v>Home/away card imbalance</x:v>
      </x:c>
      <x:c r="C7" t="str"/>
      <x:c r="D7" t="str">
        <x:v>NO</x:v>
      </x:c>
      <x:c r="E7" t="str"/>
      <x:c r="F7" t="str"/>
      <x:c r="G7" t="str">
        <x:v>Discipline</x:v>
      </x:c>
      <x:c r="H7" t="str">
        <x:v>State intervention</x:v>
      </x:c>
      <x:c r="I7" s="171" t="n">
        <x:v>0</x:v>
      </x:c>
      <x:c r="J7" t="str">
        <x:v>Large card-event sample</x:v>
      </x:c>
      <x:c r="K7" t="str">
        <x:v>YES</x:v>
      </x:c>
      <x:c r="L7" t="str">
        <x:v>card×minute×score</x:v>
      </x:c>
      <x:c r="M7" t="str">
        <x:v>LOW</x:v>
      </x:c>
      <x:c r="N7" t="str">
        <x:v>Massive intensity shift</x:v>
      </x:c>
    </x:row>
    <x:row r="8">
      <x:c r="A8" t="str">
        <x:v>Live xG Home</x:v>
      </x:c>
      <x:c r="B8" t="str"/>
      <x:c r="C8" t="str"/>
      <x:c r="D8" t="str">
        <x:v>NO</x:v>
      </x:c>
      <x:c r="E8" t="str"/>
      <x:c r="F8" t="str"/>
      <x:c r="G8" t="str">
        <x:v>Chance Quality</x:v>
      </x:c>
      <x:c r="H8" t="str">
        <x:v>Dynamic xG</x:v>
      </x:c>
      <x:c r="I8" s="171" t="n">
        <x:v>0</x:v>
      </x:c>
      <x:c r="J8" t="str">
        <x:v>Same-provider event history</x:v>
      </x:c>
      <x:c r="K8" t="str">
        <x:v>YES</x:v>
      </x:c>
      <x:c r="L8" t="str">
        <x:v>xG velocity×minute</x:v>
      </x:c>
      <x:c r="M8" t="str">
        <x:v>MEDIUM</x:v>
      </x:c>
      <x:c r="N8" t="str"/>
    </x:row>
    <x:row r="9">
      <x:c r="A9" t="str">
        <x:v>Live xG Away</x:v>
      </x:c>
      <x:c r="B9" t="str"/>
      <x:c r="C9" t="str"/>
      <x:c r="D9" t="str">
        <x:v>NO</x:v>
      </x:c>
      <x:c r="E9" t="str"/>
      <x:c r="F9" t="str"/>
      <x:c r="G9" t="str">
        <x:v>Chance Quality</x:v>
      </x:c>
      <x:c r="H9" t="str">
        <x:v>Dynamic xG</x:v>
      </x:c>
      <x:c r="I9" s="171" t="n">
        <x:v>0</x:v>
      </x:c>
      <x:c r="J9" t="str">
        <x:v>Same-provider event history</x:v>
      </x:c>
      <x:c r="K9" t="str">
        <x:v>YES</x:v>
      </x:c>
      <x:c r="L9" t="str">
        <x:v>xG velocity×minute</x:v>
      </x:c>
      <x:c r="M9" t="str">
        <x:v>MEDIUM</x:v>
      </x:c>
      <x:c r="N9" t="str"/>
    </x:row>
    <x:row r="10">
      <x:c r="A10" t="str">
        <x:v>Shot Velocity</x:v>
      </x:c>
      <x:c r="B10" t="str">
        <x:v>Shots in trailing 5/10 min</x:v>
      </x:c>
      <x:c r="C10" t="str"/>
      <x:c r="D10" t="str">
        <x:v>NO</x:v>
      </x:c>
      <x:c r="E10" t="str"/>
      <x:c r="F10" t="str"/>
      <x:c r="G10" t="str">
        <x:v>Pressure</x:v>
      </x:c>
      <x:c r="H10" t="str">
        <x:v>Point-process</x:v>
      </x:c>
      <x:c r="I10" s="171" t="n">
        <x:v>0</x:v>
      </x:c>
      <x:c r="J10" t="str">
        <x:v>Event stream</x:v>
      </x:c>
      <x:c r="K10" t="str">
        <x:v>MEDIUM</x:v>
      </x:c>
      <x:c r="L10" t="str">
        <x:v>shots×score×minute</x:v>
      </x:c>
      <x:c r="M10" t="str">
        <x:v>LOW</x:v>
      </x:c>
      <x:c r="N10" t="str"/>
    </x:row>
    <x:row r="11">
      <x:c r="A11" t="str">
        <x:v>SOT Velocity</x:v>
      </x:c>
      <x:c r="B11" t="str">
        <x:v>SOT in trailing window</x:v>
      </x:c>
      <x:c r="C11" t="str"/>
      <x:c r="D11" t="str">
        <x:v>NO</x:v>
      </x:c>
      <x:c r="E11" t="str"/>
      <x:c r="F11" t="str"/>
      <x:c r="G11" t="str">
        <x:v>Pressure</x:v>
      </x:c>
      <x:c r="H11" t="str">
        <x:v>Point-process</x:v>
      </x:c>
      <x:c r="I11" s="171" t="n">
        <x:v>0</x:v>
      </x:c>
      <x:c r="J11" t="str">
        <x:v>Event stream</x:v>
      </x:c>
      <x:c r="K11" t="str">
        <x:v>HIGH</x:v>
      </x:c>
      <x:c r="L11" t="str">
        <x:v>SOT×score×minute</x:v>
      </x:c>
      <x:c r="M11" t="str">
        <x:v>LOW</x:v>
      </x:c>
      <x:c r="N11" t="str"/>
    </x:row>
    <x:row r="12">
      <x:c r="A12" t="str">
        <x:v>Territorial Pressure</x:v>
      </x:c>
      <x:c r="B12" t="str">
        <x:v>Possession/attacks proxy</x:v>
      </x:c>
      <x:c r="C12" t="str"/>
      <x:c r="D12" t="str">
        <x:v>NO</x:v>
      </x:c>
      <x:c r="E12" t="str"/>
      <x:c r="F12" t="str"/>
      <x:c r="G12" t="str">
        <x:v>Pressure</x:v>
      </x:c>
      <x:c r="H12" t="str">
        <x:v>Sequence model</x:v>
      </x:c>
      <x:c r="I12" s="171" t="n">
        <x:v>0</x:v>
      </x:c>
      <x:c r="J12" t="str">
        <x:v>Provider event stream</x:v>
      </x:c>
      <x:c r="K12" t="str">
        <x:v>MEDIUM</x:v>
      </x:c>
      <x:c r="L12" t="str">
        <x:v>pressure×score</x:v>
      </x:c>
      <x:c r="M12" t="str">
        <x:v>MEDIUM</x:v>
      </x:c>
      <x:c r="N12" t="str">
        <x:v>Provider-specific</x:v>
      </x:c>
    </x:row>
    <x:row r="13">
      <x:c r="A13" t="str">
        <x:v>Live O/U Surface</x:v>
      </x:c>
      <x:c r="B13" t="str">
        <x:v>Multi-line live totals</x:v>
      </x:c>
      <x:c r="C13" t="str"/>
      <x:c r="D13" t="str">
        <x:v>NO</x:v>
      </x:c>
      <x:c r="E13" t="str"/>
      <x:c r="F13" t="str"/>
      <x:c r="G13" t="str">
        <x:v>Market</x:v>
      </x:c>
      <x:c r="H13" t="str">
        <x:v>Market-surface</x:v>
      </x:c>
      <x:c r="I13" s="171" t="n">
        <x:v>0</x:v>
      </x:c>
      <x:c r="J13" t="str">
        <x:v>5-min/in-play odds history</x:v>
      </x:c>
      <x:c r="K13" t="str">
        <x:v>HIGH</x:v>
      </x:c>
      <x:c r="L13" t="str">
        <x:v>line×minute×score</x:v>
      </x:c>
      <x:c r="M13" t="str">
        <x:v>LOW</x:v>
      </x:c>
      <x:c r="N13" t="str">
        <x:v>Primary live market anchor</x:v>
      </x:c>
    </x:row>
    <x:row r="14">
      <x:c r="A14" t="str">
        <x:v>Book Dispersion</x:v>
      </x:c>
      <x:c r="B14" t="str">
        <x:v>Cross-book live price spread</x:v>
      </x:c>
      <x:c r="C14" t="str"/>
      <x:c r="D14" t="str">
        <x:v>NO</x:v>
      </x:c>
      <x:c r="E14" t="str"/>
      <x:c r="F14" t="str"/>
      <x:c r="G14" t="str">
        <x:v>Market</x:v>
      </x:c>
      <x:c r="H14" t="str">
        <x:v>Microstructure</x:v>
      </x:c>
      <x:c r="I14" s="171" t="n">
        <x:v>0</x:v>
      </x:c>
      <x:c r="J14" t="str">
        <x:v>Multi-book snapshots</x:v>
      </x:c>
      <x:c r="K14" t="str">
        <x:v>HIGH</x:v>
      </x:c>
      <x:c r="L14" t="str">
        <x:v>dispersion×velocity</x:v>
      </x:c>
      <x:c r="M14" t="str">
        <x:v>LOW</x:v>
      </x:c>
      <x:c r="N14" t="str"/>
    </x:row>
    <x:row r="15">
      <x:c r="A15" t="str">
        <x:v>Odds Velocity</x:v>
      </x:c>
      <x:c r="B15" t="str">
        <x:v>Price change / minute</x:v>
      </x:c>
      <x:c r="C15" t="str"/>
      <x:c r="D15" t="str">
        <x:v>NO</x:v>
      </x:c>
      <x:c r="E15" t="str"/>
      <x:c r="F15" t="str"/>
      <x:c r="G15" t="str">
        <x:v>Market</x:v>
      </x:c>
      <x:c r="H15" t="str">
        <x:v>Microstructure</x:v>
      </x:c>
      <x:c r="I15" s="171" t="n">
        <x:v>0</x:v>
      </x:c>
      <x:c r="J15" t="str">
        <x:v>Timestamped snapshots</x:v>
      </x:c>
      <x:c r="K15" t="str">
        <x:v>HIGH</x:v>
      </x:c>
      <x:c r="L15" t="str">
        <x:v>velocity×news/card</x:v>
      </x:c>
      <x:c r="M15" t="str">
        <x:v>LOW</x:v>
      </x:c>
      <x:c r="N15" t="str"/>
    </x:row>
    <x:row r="18">
      <x:c r="A18" s="581" t="str">
        <x:v>STATE TRANSITION ENGINE</x:v>
      </x:c>
      <x:c r="B18" s="581" t="str">
        <x:v>Input</x:v>
      </x:c>
      <x:c r="C18" s="581" t="str">
        <x:v>Output</x:v>
      </x:c>
      <x:c r="D18" s="581" t="str">
        <x:v>Model</x:v>
      </x:c>
      <x:c r="E18" s="581" t="str">
        <x:v>Activation</x:v>
      </x:c>
      <x:c r="F18" s="581" t="str">
        <x:v>Uncertainty</x:v>
      </x:c>
      <x:c r="G18" s="581" t="str">
        <x:v>Training Label</x:v>
      </x:c>
      <x:c r="H18" s="581" t="str">
        <x:v>Status</x:v>
      </x:c>
    </x:row>
    <x:row r="19">
      <x:c r="A19" s="15" t="str">
        <x:v>Pre-kick → Live</x:v>
      </x:c>
      <x:c r="B19" s="15" t="str">
        <x:v>Frozen pre-match latent strengths</x:v>
      </x:c>
      <x:c r="C19" s="15" t="str">
        <x:v>Initial live priors</x:v>
      </x:c>
      <x:c r="D19" s="15" t="str">
        <x:v>Bayesian/state-space</x:v>
      </x:c>
      <x:c r="E19" s="15" t="str">
        <x:v>After calibration</x:v>
      </x:c>
      <x:c r="F19" s="15" t="str">
        <x:v>Posterior intervals</x:v>
      </x:c>
      <x:c r="G19" s="15" t="str">
        <x:v>Next-event/remaining goals</x:v>
      </x:c>
      <x:c r="H19" s="15" t="str">
        <x:v>SCHEMA</x:v>
      </x:c>
    </x:row>
    <x:row r="20">
      <x:c r="A20" s="15" t="str">
        <x:v>Each minute update</x:v>
      </x:c>
      <x:c r="B20" s="15" t="str">
        <x:v>Score, cards, event rates</x:v>
      </x:c>
      <x:c r="C20" s="15" t="str">
        <x:v>λ_home(t), λ_away(t)</x:v>
      </x:c>
      <x:c r="D20" s="15" t="str">
        <x:v>Dynamic hazard</x:v>
      </x:c>
      <x:c r="E20" s="15" t="str">
        <x:v>After event history</x:v>
      </x:c>
      <x:c r="F20" s="15" t="str">
        <x:v>Bootstrap/posterior</x:v>
      </x:c>
      <x:c r="G20" s="15" t="str">
        <x:v>Goals in remaining time</x:v>
      </x:c>
      <x:c r="H20" s="15" t="str">
        <x:v>SCHEMA</x:v>
      </x:c>
    </x:row>
    <x:row r="21">
      <x:c r="A21" s="15" t="str">
        <x:v>Goal event</x:v>
      </x:c>
      <x:c r="B21" s="15" t="str">
        <x:v>New score state</x:v>
      </x:c>
      <x:c r="C21" s="15" t="str">
        <x:v>Repriced remaining-goal distribution</x:v>
      </x:c>
      <x:c r="D21" s="15" t="str">
        <x:v>State reset</x:v>
      </x:c>
      <x:c r="E21" s="15" t="str">
        <x:v>After training</x:v>
      </x:c>
      <x:c r="F21" s="15" t="str">
        <x:v>High transient uncertainty</x:v>
      </x:c>
      <x:c r="G21" s="15" t="str">
        <x:v>Next goal / totals</x:v>
      </x:c>
      <x:c r="H21" s="15" t="str">
        <x:v>SCHEMA</x:v>
      </x:c>
    </x:row>
    <x:row r="22">
      <x:c r="A22" s="15" t="str">
        <x:v>Red card event</x:v>
      </x:c>
      <x:c r="B22" s="15" t="str">
        <x:v>Card imbalance + minute</x:v>
      </x:c>
      <x:c r="C22" s="15" t="str">
        <x:v>Intensity shock</x:v>
      </x:c>
      <x:c r="D22" s="15" t="str">
        <x:v>Causal/state intervention</x:v>
      </x:c>
      <x:c r="E22" s="15" t="str">
        <x:v>Needs card sample</x:v>
      </x:c>
      <x:c r="F22" s="15" t="str">
        <x:v>Very high initially</x:v>
      </x:c>
      <x:c r="G22" s="15" t="str">
        <x:v>Remaining goals</x:v>
      </x:c>
      <x:c r="H22" s="15" t="str">
        <x:v>SCHEMA</x:v>
      </x:c>
    </x:row>
    <x:row r="23">
      <x:c r="A23" s="15" t="str">
        <x:v>Market update</x:v>
      </x:c>
      <x:c r="B23" s="15" t="str">
        <x:v>Live total surface</x:v>
      </x:c>
      <x:c r="C23" s="15" t="str">
        <x:v>Market-anchor distribution</x:v>
      </x:c>
      <x:c r="D23" s="15" t="str">
        <x:v>Surface model</x:v>
      </x:c>
      <x:c r="E23" s="15" t="str">
        <x:v>After odds history</x:v>
      </x:c>
      <x:c r="F23" s="15" t="str">
        <x:v>Book dispersion</x:v>
      </x:c>
      <x:c r="G23" s="15" t="str">
        <x:v>Closing/live price path</x:v>
      </x:c>
      <x:c r="H23" s="15" t="str">
        <x:v>SCHEMA</x:v>
      </x:c>
    </x:row>
    <x:row r="24">
      <x:c r="A24" s="15" t="str">
        <x:v>Ensemble update</x:v>
      </x:c>
      <x:c r="B24" s="15" t="str">
        <x:v>All calibrated state models</x:v>
      </x:c>
      <x:c r="C24" s="15" t="str">
        <x:v>Live probability distribution</x:v>
      </x:c>
      <x:c r="D24" s="15" t="str">
        <x:v>Stacker</x:v>
      </x:c>
      <x:c r="E24" s="15" t="str">
        <x:v>OOS calibrated only</x:v>
      </x:c>
      <x:c r="F24" s="15" t="str">
        <x:v>Model disagreement</x:v>
      </x:c>
      <x:c r="G24" s="15" t="str">
        <x:v>Outcome + CLV</x:v>
      </x:c>
      <x:c r="H24" s="15" t="str">
        <x:v>BLOCKED</x:v>
      </x:c>
    </x:row>
    <x:row r="25">
      <x:c r="A25" s="15" t="str">
        <x:v>Decision layer</x:v>
      </x:c>
      <x:c r="B25" s="15" t="str">
        <x:v>P + execution odds + uncertainty</x:v>
      </x:c>
      <x:c r="C25" s="15" t="str">
        <x:v>PASS/WATCH/NO BET</x:v>
      </x:c>
      <x:c r="D25" s="15" t="str">
        <x:v>Utility/risk gate</x:v>
      </x:c>
      <x:c r="E25" s="15" t="str">
        <x:v>After all blocks pass</x:v>
      </x:c>
      <x:c r="F25" s="15" t="str">
        <x:v>Confidence budget</x:v>
      </x:c>
      <x:c r="G25" s="15" t="str">
        <x:v>Economic return</x:v>
      </x:c>
      <x:c r="H25" s="15" t="str">
        <x:v>BLOCKED</x:v>
      </x:c>
    </x:row>
    <x:row r="26">
      <x:c r="A26" s="15" t="str">
        <x:v>Learning</x:v>
      </x:c>
      <x:c r="B26" s="15" t="str">
        <x:v>Settled event sequences</x:v>
      </x:c>
      <x:c r="C26" s="15" t="str">
        <x:v>Batch parameter updates</x:v>
      </x:c>
      <x:c r="D26" s="15" t="str">
        <x:v>Walk-forward retrain</x:v>
      </x:c>
      <x:c r="E26" s="15" t="str">
        <x:v>Batch only</x:v>
      </x:c>
      <x:c r="F26" s="15" t="str">
        <x:v>OOS tests</x:v>
      </x:c>
      <x:c r="G26" s="15" t="str">
        <x:v>Future matches</x:v>
      </x:c>
      <x:c r="H26" s="15" t="str">
        <x:v>BLOCKED</x:v>
      </x:c>
    </x:row>
    <x:row r="27">
      <x:c r="A27" s="15"/>
      <x:c r="B27" s="15"/>
      <x:c r="C27" s="15"/>
      <x:c r="D27" s="15"/>
      <x:c r="E27" s="15"/>
      <x:c r="F27" s="15"/>
      <x:c r="G27" s="15"/>
      <x:c r="H27" s="15"/>
    </x:row>
  </x:sheetData>
  <x:mergeCells>
    <x:mergeCell ref="A1:N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2" hidden="0" customWidth="1"/>
    <x:col min="11" max="11" width="36" hidden="0" customWidth="1"/>
  </x:cols>
  <x:sheetData>
    <x:row r="1">
      <x:c r="A1" s="570" t="str">
        <x:v>v0.3.3 — RELIABILITY WEIGHT ALLOCATOR</x:v>
      </x:c>
      <x:c r="B1" s="570"/>
      <x:c r="C1" s="570"/>
      <x:c r="D1" s="570"/>
      <x:c r="E1" s="570"/>
      <x:c r="F1" s="570"/>
      <x:c r="G1" s="570"/>
      <x:c r="H1" s="570"/>
      <x:c r="I1" s="570"/>
      <x:c r="J1" s="570"/>
      <x:c r="K1" s="570"/>
    </x:row>
    <x:row r="3">
      <x:c r="A3" s="569" t="str">
        <x:v>Model</x:v>
      </x:c>
      <x:c r="B3" s="569" t="str">
        <x:v>Base Weight</x:v>
      </x:c>
      <x:c r="C3" s="569" t="str">
        <x:v>Validation Multiplier</x:v>
      </x:c>
      <x:c r="D3" s="569" t="str">
        <x:v>Calibration Multiplier</x:v>
      </x:c>
      <x:c r="E3" s="569" t="str">
        <x:v>Freshness Multiplier</x:v>
      </x:c>
      <x:c r="F3" s="569" t="str">
        <x:v>Drift Multiplier</x:v>
      </x:c>
      <x:c r="G3" s="569" t="str">
        <x:v>Availability Multiplier</x:v>
      </x:c>
      <x:c r="H3" s="569" t="str">
        <x:v>Raw Effective Weight</x:v>
      </x:c>
      <x:c r="I3" s="569" t="str">
        <x:v>Normalized Weight</x:v>
      </x:c>
      <x:c r="J3" s="569" t="str">
        <x:v>Can Influence Decision?</x:v>
      </x:c>
      <x:c r="K3" s="569" t="str">
        <x:v>Reason</x:v>
      </x:c>
    </x:row>
    <x:row r="4">
      <x:c r="A4" t="str">
        <x:v>Direct Market Anchor</x:v>
      </x:c>
      <x:c r="B4" s="32" t="n">
        <x:v>0.65</x:v>
      </x:c>
      <x:c r="C4" s="32" t="n">
        <x:v>1</x:v>
      </x:c>
      <x:c r="D4" s="32" t="n">
        <x:v>1</x:v>
      </x:c>
      <x:c r="E4" s="32" t="n">
        <x:v>1</x:v>
      </x:c>
      <x:c r="F4" s="32" t="n">
        <x:v>1</x:v>
      </x:c>
      <x:c r="G4" s="32" t="n">
        <x:v>1</x:v>
      </x:c>
      <x:c r="H4" s="32" t="n">
        <x:f>B4*C4*D4*E4*F4*G4</x:f>
        <x:v>0.65</x:v>
      </x:c>
      <x:c r="I4" s="32" t="n">
        <x:f>IF(SUM($H$4:$H$12)=0,0,H4/SUM($H$4:$H$12))</x:f>
        <x:v>0.9339919173776381</x:v>
      </x:c>
      <x:c r="J4" t="str">
        <x:v>YES</x:v>
      </x:c>
      <x:c r="K4" t="str">
        <x:v>Current champion</x:v>
      </x:c>
    </x:row>
    <x:row r="5">
      <x:c r="A5" t="str">
        <x:v>Football-State M001</x:v>
      </x:c>
      <x:c r="B5" s="32" t="n">
        <x:v>0.35</x:v>
      </x:c>
      <x:c r="C5" s="32" t="n">
        <x:v>0.35</x:v>
      </x:c>
      <x:c r="D5" s="32" t="n">
        <x:v>0.5</x:v>
      </x:c>
      <x:c r="E5" s="32" t="n">
        <x:v>1</x:v>
      </x:c>
      <x:c r="F5" s="32" t="n">
        <x:v>0.75</x:v>
      </x:c>
      <x:c r="G5" s="32" t="n">
        <x:v>1</x:v>
      </x:c>
      <x:c r="H5" s="32" t="n">
        <x:f>B5*C5*D5*E5*F5*G5</x:f>
        <x:v>0.04593749999999999</x:v>
      </x:c>
      <x:c r="I5" s="32" t="n">
        <x:f>IF(SUM($H$4:$H$12)=0,0,H5/SUM($H$4:$H$12))</x:f>
        <x:v>0.06600808262236191</x:v>
      </x:c>
      <x:c r="J5" t="str">
        <x:v>YES LIMITED</x:v>
      </x:c>
      <x:c r="K5" t="str">
        <x:v>Unvalidated/calibration penalties</x:v>
      </x:c>
    </x:row>
    <x:row r="6">
      <x:c r="A6" t="str">
        <x:v>Dynamic xG M003</x:v>
      </x:c>
      <x:c r="B6" s="32" t="n">
        <x:v>0.25</x:v>
      </x:c>
      <x:c r="C6" s="32" t="n">
        <x:v>0</x:v>
      </x:c>
      <x:c r="D6" s="32" t="n">
        <x:v>0</x:v>
      </x:c>
      <x:c r="E6" s="32" t="n">
        <x:v>0</x:v>
      </x:c>
      <x:c r="F6" s="32" t="n">
        <x:v>0</x:v>
      </x:c>
      <x:c r="G6" s="32" t="n">
        <x:v>0</x:v>
      </x:c>
      <x:c r="H6" s="32" t="n">
        <x:f>B6*C6*D6*E6*F6*G6</x:f>
        <x:v>0</x:v>
      </x:c>
      <x:c r="I6" s="32" t="n">
        <x:f>IF(SUM($H$4:$H$12)=0,0,H6/SUM($H$4:$H$12))</x:f>
        <x:v>0</x:v>
      </x:c>
      <x:c r="J6" t="str">
        <x:v>NO</x:v>
      </x:c>
      <x:c r="K6" t="str">
        <x:v>No normalized historical xG</x:v>
      </x:c>
    </x:row>
    <x:row r="7">
      <x:c r="A7" t="str">
        <x:v>Player Impact M004</x:v>
      </x:c>
      <x:c r="B7" s="32" t="n">
        <x:v>0.2</x:v>
      </x:c>
      <x:c r="C7" s="32" t="n">
        <x:v>0</x:v>
      </x:c>
      <x:c r="D7" s="32" t="n">
        <x:v>0</x:v>
      </x:c>
      <x:c r="E7" s="32" t="n">
        <x:v>1</x:v>
      </x:c>
      <x:c r="F7" s="32" t="n">
        <x:v>0</x:v>
      </x:c>
      <x:c r="G7" s="32" t="n">
        <x:v>0</x:v>
      </x:c>
      <x:c r="H7" s="32" t="n">
        <x:f>B7*C7*D7*E7*F7*G7</x:f>
        <x:v>0</x:v>
      </x:c>
      <x:c r="I7" s="32" t="n">
        <x:f>IF(SUM($H$4:$H$12)=0,0,H7/SUM($H$4:$H$12))</x:f>
        <x:v>0</x:v>
      </x:c>
      <x:c r="J7" t="str">
        <x:v>NO</x:v>
      </x:c>
      <x:c r="K7" t="str">
        <x:v>No trained player effects</x:v>
      </x:c>
    </x:row>
    <x:row r="8">
      <x:c r="A8" t="str">
        <x:v>Market Microstructure M006</x:v>
      </x:c>
      <x:c r="B8" s="32" t="n">
        <x:v>0.3</x:v>
      </x:c>
      <x:c r="C8" s="32" t="n">
        <x:v>0</x:v>
      </x:c>
      <x:c r="D8" s="32" t="n">
        <x:v>0</x:v>
      </x:c>
      <x:c r="E8" s="32" t="n">
        <x:v>0</x:v>
      </x:c>
      <x:c r="F8" s="32" t="n">
        <x:v>0</x:v>
      </x:c>
      <x:c r="G8" s="32" t="n">
        <x:v>0</x:v>
      </x:c>
      <x:c r="H8" s="32" t="n">
        <x:f>B8*C8*D8*E8*F8*G8</x:f>
        <x:v>0</x:v>
      </x:c>
      <x:c r="I8" s="32" t="n">
        <x:f>IF(SUM($H$4:$H$12)=0,0,H8/SUM($H$4:$H$12))</x:f>
        <x:v>0</x:v>
      </x:c>
      <x:c r="J8" t="str">
        <x:v>NO</x:v>
      </x:c>
      <x:c r="K8" t="str">
        <x:v>No timestamped history integrated</x:v>
      </x:c>
    </x:row>
    <x:row r="9">
      <x:c r="A9" t="str">
        <x:v>Goal Distribution M008</x:v>
      </x:c>
      <x:c r="B9" s="32" t="n">
        <x:v>0.3</x:v>
      </x:c>
      <x:c r="C9" s="32" t="n">
        <x:v>0</x:v>
      </x:c>
      <x:c r="D9" s="32" t="n">
        <x:v>0</x:v>
      </x:c>
      <x:c r="E9" s="32" t="n">
        <x:v>1</x:v>
      </x:c>
      <x:c r="F9" s="32" t="n">
        <x:v>0</x:v>
      </x:c>
      <x:c r="G9" s="32" t="n">
        <x:v>1</x:v>
      </x:c>
      <x:c r="H9" s="32" t="n">
        <x:f>B9*C9*D9*E9*F9*G9</x:f>
        <x:v>0</x:v>
      </x:c>
      <x:c r="I9" s="32" t="n">
        <x:f>IF(SUM($H$4:$H$12)=0,0,H9/SUM($H$4:$H$12))</x:f>
        <x:v>0</x:v>
      </x:c>
      <x:c r="J9" t="str">
        <x:v>NO</x:v>
      </x:c>
      <x:c r="K9" t="str">
        <x:v>Priority challenger; not trained</x:v>
      </x:c>
    </x:row>
    <x:row r="10">
      <x:c r="A10" t="str">
        <x:v>Live State Model M010</x:v>
      </x:c>
      <x:c r="B10" s="32" t="n">
        <x:v>0.4</x:v>
      </x:c>
      <x:c r="C10" s="32" t="n">
        <x:v>0</x:v>
      </x:c>
      <x:c r="D10" s="32" t="n">
        <x:v>0</x:v>
      </x:c>
      <x:c r="E10" s="32" t="n">
        <x:v>0</x:v>
      </x:c>
      <x:c r="F10" s="32" t="n">
        <x:v>0</x:v>
      </x:c>
      <x:c r="G10" s="32" t="n">
        <x:v>0</x:v>
      </x:c>
      <x:c r="H10" s="32" t="n">
        <x:f>B10*C10*D10*E10*F10*G10</x:f>
        <x:v>0</x:v>
      </x:c>
      <x:c r="I10" s="32" t="n">
        <x:f>IF(SUM($H$4:$H$12)=0,0,H10/SUM($H$4:$H$12))</x:f>
        <x:v>0</x:v>
      </x:c>
      <x:c r="J10" t="str">
        <x:v>NO</x:v>
      </x:c>
      <x:c r="K10" t="str">
        <x:v>Live state unverified + no event history</x:v>
      </x:c>
    </x:row>
    <x:row r="11">
      <x:c r="A11" t="str">
        <x:v>Bayesian Team Memory M011</x:v>
      </x:c>
      <x:c r="B11" s="32" t="n">
        <x:v>0.25</x:v>
      </x:c>
      <x:c r="C11" s="32" t="n">
        <x:v>0</x:v>
      </x:c>
      <x:c r="D11" s="32" t="n">
        <x:v>0</x:v>
      </x:c>
      <x:c r="E11" s="32" t="n">
        <x:v>1</x:v>
      </x:c>
      <x:c r="F11" s="32" t="n">
        <x:v>0.75</x:v>
      </x:c>
      <x:c r="G11" s="32" t="n">
        <x:v>1</x:v>
      </x:c>
      <x:c r="H11" s="32" t="n">
        <x:f>B11*C11*D11*E11*F11*G11</x:f>
        <x:v>0</x:v>
      </x:c>
      <x:c r="I11" s="32" t="n">
        <x:f>IF(SUM($H$4:$H$12)=0,0,H11/SUM($H$4:$H$12))</x:f>
        <x:v>0</x:v>
      </x:c>
      <x:c r="J11" t="str">
        <x:v>NO</x:v>
      </x:c>
      <x:c r="K11" t="str">
        <x:v>Walk-forward v0.4.2: Bayes does not beat market on current seed; weight stays zero.</x:v>
      </x:c>
    </x:row>
    <x:row r="12">
      <x:c r="A12" t="str">
        <x:v>Recency Memory M012</x:v>
      </x:c>
      <x:c r="B12" s="32" t="n">
        <x:v>0.25</x:v>
      </x:c>
      <x:c r="C12" s="32" t="n">
        <x:v>0</x:v>
      </x:c>
      <x:c r="D12" s="32" t="n">
        <x:v>0</x:v>
      </x:c>
      <x:c r="E12" s="32" t="n">
        <x:v>1</x:v>
      </x:c>
      <x:c r="F12" s="32" t="n">
        <x:v>1</x:v>
      </x:c>
      <x:c r="G12" s="32" t="n">
        <x:v>1</x:v>
      </x:c>
      <x:c r="H12" s="32" t="n">
        <x:f>B12*C12*D12*E12*F12*G12</x:f>
        <x:v>0</x:v>
      </x:c>
      <x:c r="I12" s="32" t="n">
        <x:f>IF(SUM($H$4:$H$12)=0,0,H12/SUM($H$4:$H$12))</x:f>
        <x:v>0</x:v>
      </x:c>
      <x:c r="J12" t="str">
        <x:v>NO</x:v>
      </x:c>
      <x:c r="K12" t="str">
        <x:v>Exact 19-match sequences exist; half-life not learned OOS.</x:v>
      </x:c>
    </x:row>
    <x:row r="13">
      <x:c r="A13" s="585" t="str">
        <x:v>WEIGHT POLICY</x:v>
      </x:c>
      <x:c r="B13" s="585" t="str">
        <x:v>Rule</x:v>
      </x:c>
      <x:c r="C13" s="585" t="str">
        <x:v>Current</x:v>
      </x:c>
      <x:c r="D13" s="585" t="str">
        <x:v>Status</x:v>
      </x:c>
      <x:c r="E13" s="585" t="str">
        <x:v>Why</x:v>
      </x:c>
      <x:c r="F13" s="585" t="str">
        <x:v>Promotion Path</x:v>
      </x:c>
    </x:row>
    <x:row r="14">
      <x:c r="A14" s="588" t="str">
        <x:v>Unvalidated model cap</x:v>
      </x:c>
      <x:c r="B14" s="15" t="str">
        <x:v>Effective weight reduced automatically</x:v>
      </x:c>
      <x:c r="C14" s="15" t="str">
        <x:v>ACTIVE</x:v>
      </x:c>
      <x:c r="D14" s="15" t="str">
        <x:v>PASS</x:v>
      </x:c>
      <x:c r="E14" s="15" t="str">
        <x:v>No subjective confidence inflation</x:v>
      </x:c>
      <x:c r="F14" s="15" t="str">
        <x:v>Earn via OOS validation</x:v>
      </x:c>
    </x:row>
    <x:row r="15">
      <x:c r="A15" s="588" t="str">
        <x:v>Calibration penalty</x:v>
      </x:c>
      <x:c r="B15" s="15" t="str">
        <x:v>No calibration =&gt; multiplier ≤0.5</x:v>
      </x:c>
      <x:c r="C15" s="15" t="str">
        <x:v>ACTIVE</x:v>
      </x:c>
      <x:c r="D15" s="15" t="str">
        <x:v>PASS</x:v>
      </x:c>
      <x:c r="E15" s="15" t="str">
        <x:v>Prevents overconfident raw probabilities</x:v>
      </x:c>
      <x:c r="F15" s="15" t="str">
        <x:v>Brier/LogLoss improvement</x:v>
      </x:c>
    </x:row>
    <x:row r="16">
      <x:c r="A16" s="588" t="str">
        <x:v>Drift penalty</x:v>
      </x:c>
      <x:c r="B16" s="15" t="str">
        <x:v>Detected drift reduces weight</x:v>
      </x:c>
      <x:c r="C16" s="15" t="str">
        <x:v>ACTIVE</x:v>
      </x:c>
      <x:c r="D16" s="15" t="str">
        <x:v>PASS</x:v>
      </x:c>
      <x:c r="E16" s="15" t="str">
        <x:v>Adapts to changing league regimes</x:v>
      </x:c>
      <x:c r="F16" s="15" t="str">
        <x:v>Stable walk-forward blocks</x:v>
      </x:c>
    </x:row>
    <x:row r="17">
      <x:c r="A17" s="588" t="str">
        <x:v>Missing source</x:v>
      </x:c>
      <x:c r="B17" s="15" t="str">
        <x:v>Availability=0 → weight=0</x:v>
      </x:c>
      <x:c r="C17" s="15" t="str">
        <x:v>ACTIVE</x:v>
      </x:c>
      <x:c r="D17" s="15" t="str">
        <x:v>PASS</x:v>
      </x:c>
      <x:c r="E17" s="15" t="str">
        <x:v>No guessed features</x:v>
      </x:c>
      <x:c r="F17" s="15" t="str">
        <x:v>Integrate verified feed</x:v>
      </x:c>
    </x:row>
    <x:row r="18">
      <x:c r="A18" s="588" t="str">
        <x:v>Live model</x:v>
      </x:c>
      <x:c r="B18" s="15" t="str">
        <x:v>Needs verified state + history</x:v>
      </x:c>
      <x:c r="C18" s="15" t="str">
        <x:v>WEIGHT 0</x:v>
      </x:c>
      <x:c r="D18" s="15" t="str">
        <x:v>PASS</x:v>
      </x:c>
      <x:c r="E18" s="15" t="str">
        <x:v>No premature live betting</x:v>
      </x:c>
      <x:c r="F18" s="15" t="str">
        <x:v>Event-level calibration</x:v>
      </x:c>
    </x:row>
    <x:row r="19">
      <x:c r="A19" s="588" t="str">
        <x:v>Weight learning</x:v>
      </x:c>
      <x:c r="B19" s="15" t="str">
        <x:v>Manual weights temporary only</x:v>
      </x:c>
      <x:c r="C19" s="15" t="str">
        <x:v>NOT LEARNED</x:v>
      </x:c>
      <x:c r="D19" s="15" t="str">
        <x:v>WATCH</x:v>
      </x:c>
      <x:c r="E19" s="15" t="str">
        <x:v>Final weights must come from OOS stacker</x:v>
      </x:c>
      <x:c r="F19" s="15" t="str">
        <x:v>M009</x:v>
      </x:c>
    </x:row>
    <x:row r="20">
      <x:c r="A20" s="588" t="str">
        <x:v>Champion replacement</x:v>
      </x:c>
      <x:c r="B20" s="15" t="str">
        <x:v>Challenger must beat market OOS</x:v>
      </x:c>
      <x:c r="C20" s="15" t="str">
        <x:v>BLOCKED</x:v>
      </x:c>
      <x:c r="D20" s="15" t="str">
        <x:v>PASS</x:v>
      </x:c>
      <x:c r="E20" s="15" t="str">
        <x:v>Market remains benchmark</x:v>
      </x:c>
      <x:c r="F20" s="15" t="str">
        <x:v>Statistically meaningful improvement</x:v>
      </x:c>
    </x:row>
    <x:row r="21">
      <x:c r="A21" s="588"/>
      <x:c r="B21" s="15"/>
      <x:c r="C21" s="15"/>
      <x:c r="D21" s="15"/>
      <x:c r="E21" s="15"/>
      <x:c r="F21" s="15"/>
    </x:row>
  </x:sheetData>
  <x:mergeCells>
    <x:mergeCell ref="A1:K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30" hidden="0" customWidth="1"/>
    <x:col min="5" max="5" width="20" hidden="0" customWidth="1"/>
    <x:col min="6" max="6" width="34" hidden="0" customWidth="1"/>
    <x:col min="7" max="7" width="24" hidden="0" customWidth="1"/>
    <x:col min="8" max="8" width="24" hidden="0" customWidth="1"/>
  </x:cols>
  <x:sheetData>
    <x:row r="1">
      <x:c r="A1" s="570" t="str">
        <x:v>v0.3.3 — ERROR TAXONOMY &amp; CAUSAL ATTRIBUTION</x:v>
      </x:c>
      <x:c r="B1" s="570"/>
      <x:c r="C1" s="570"/>
      <x:c r="D1" s="570"/>
      <x:c r="E1" s="570"/>
      <x:c r="F1" s="570"/>
      <x:c r="G1" s="570"/>
      <x:c r="H1" s="570"/>
    </x:row>
    <x:row r="3">
      <x:c r="A3" s="569" t="str">
        <x:v>Error Class</x:v>
      </x:c>
      <x:c r="B3" s="569" t="str">
        <x:v>Definition</x:v>
      </x:c>
      <x:c r="C3" s="569" t="str">
        <x:v>Detection Signal</x:v>
      </x:c>
      <x:c r="D3" s="569" t="str">
        <x:v>Example</x:v>
      </x:c>
      <x:c r="E3" s="569" t="str">
        <x:v>Can Fix From One Match?</x:v>
      </x:c>
      <x:c r="F3" s="569" t="str">
        <x:v>Learning Response</x:v>
      </x:c>
      <x:c r="G3" s="569" t="str">
        <x:v>Metric</x:v>
      </x:c>
      <x:c r="H3" s="569" t="str">
        <x:v>Status</x:v>
      </x:c>
    </x:row>
    <x:row r="4">
      <x:c r="A4" t="str">
        <x:v>Probability Calibration</x:v>
      </x:c>
      <x:c r="B4" t="str">
        <x:v>Predicted frequencies differ from outcomes</x:v>
      </x:c>
      <x:c r="C4" t="str">
        <x:v>Brier/LogLoss/ECE</x:v>
      </x:c>
      <x:c r="D4" t="str">
        <x:v>60% events win only 48% long-run</x:v>
      </x:c>
      <x:c r="E4" t="str">
        <x:v>NO</x:v>
      </x:c>
      <x:c r="F4" t="str">
        <x:v>Recalibrate on batch OOS predictions</x:v>
      </x:c>
      <x:c r="G4" t="str">
        <x:v>Brier/ECE</x:v>
      </x:c>
      <x:c r="H4" t="str">
        <x:v>READY</x:v>
      </x:c>
    </x:row>
    <x:row r="5">
      <x:c r="A5" t="str">
        <x:v>Distribution Shape</x:v>
      </x:c>
      <x:c r="B5" t="str">
        <x:v>Poisson tail mismatch</x:v>
      </x:c>
      <x:c r="C5" t="str">
        <x:v>Cross-line λ inconsistency</x:v>
      </x:c>
      <x:c r="D5" t="str">
        <x:v>2.5 and 3.5 imply different λ</x:v>
      </x:c>
      <x:c r="E5" t="str">
        <x:v>NO</x:v>
      </x:c>
      <x:c r="F5" t="str">
        <x:v>Compare Poisson/NB/mixture OOS</x:v>
      </x:c>
      <x:c r="G5" t="str">
        <x:v>LogLoss across totals</x:v>
      </x:c>
      <x:c r="H5" t="str">
        <x:v>ACTIVE</x:v>
      </x:c>
    </x:row>
    <x:row r="6">
      <x:c r="A6" t="str">
        <x:v>Team Strength Error</x:v>
      </x:c>
      <x:c r="B6" t="str">
        <x:v>Attack/defense state misestimated</x:v>
      </x:c>
      <x:c r="C6" t="str">
        <x:v>xG/process residuals</x:v>
      </x:c>
      <x:c r="D6" t="str">
        <x:v>Team produces much more/less than prior</x:v>
      </x:c>
      <x:c r="E6" t="str">
        <x:v>NO</x:v>
      </x:c>
      <x:c r="F6" t="str">
        <x:v>State-space update in batch</x:v>
      </x:c>
      <x:c r="G6" t="str">
        <x:v>Process log likelihood</x:v>
      </x:c>
      <x:c r="H6" t="str">
        <x:v>READY</x:v>
      </x:c>
    </x:row>
    <x:row r="7">
      <x:c r="A7" t="str">
        <x:v>Finishing Variance</x:v>
      </x:c>
      <x:c r="B7" t="str">
        <x:v>Goals differ from chance quality</x:v>
      </x:c>
      <x:c r="C7" t="str">
        <x:v>Goals-xG extreme</x:v>
      </x:c>
      <x:c r="D7" t="str">
        <x:v>3 goals from 0.7 xG</x:v>
      </x:c>
      <x:c r="E7" t="str">
        <x:v>NO</x:v>
      </x:c>
      <x:c r="F7" t="str">
        <x:v>Do not overreact; shrink</x:v>
      </x:c>
      <x:c r="G7" t="str">
        <x:v>xG residual</x:v>
      </x:c>
      <x:c r="H7" t="str">
        <x:v>READY</x:v>
      </x:c>
    </x:row>
    <x:row r="8">
      <x:c r="A8" t="str">
        <x:v>Event Shock</x:v>
      </x:c>
      <x:c r="B8" t="str">
        <x:v>Red card/injury changes state</x:v>
      </x:c>
      <x:c r="C8" t="str">
        <x:v>Timestamped event after forecast</x:v>
      </x:c>
      <x:c r="D8" t="str">
        <x:v>Early red card</x:v>
      </x:c>
      <x:c r="E8" t="str">
        <x:v>NO for pre-match</x:v>
      </x:c>
      <x:c r="F8" t="str">
        <x:v>Attribute, train event-state model</x:v>
      </x:c>
      <x:c r="G8" t="str">
        <x:v>Conditional residual</x:v>
      </x:c>
      <x:c r="H8" t="str">
        <x:v>READY</x:v>
      </x:c>
    </x:row>
    <x:row r="9">
      <x:c r="A9" t="str">
        <x:v>Price Error</x:v>
      </x:c>
      <x:c r="B9" t="str">
        <x:v>Model right direction, odds too short</x:v>
      </x:c>
      <x:c r="C9" t="str">
        <x:v>Negative CLV/EV</x:v>
      </x:c>
      <x:c r="D9" t="str">
        <x:v>Likely event but bad price</x:v>
      </x:c>
      <x:c r="E9" t="str">
        <x:v>NO</x:v>
      </x:c>
      <x:c r="F9" t="str">
        <x:v>Improve execution/market model</x:v>
      </x:c>
      <x:c r="G9" t="str">
        <x:v>CLV</x:v>
      </x:c>
      <x:c r="H9" t="str">
        <x:v>READY</x:v>
      </x:c>
    </x:row>
    <x:row r="10">
      <x:c r="A10" t="str">
        <x:v>Data Error</x:v>
      </x:c>
      <x:c r="B10" t="str">
        <x:v>Wrong/stale/mixed source data</x:v>
      </x:c>
      <x:c r="C10" t="str">
        <x:v>Quorum/provenance failure</x:v>
      </x:c>
      <x:c r="D10" t="str">
        <x:v>Unverified score</x:v>
      </x:c>
      <x:c r="E10" t="str">
        <x:v>NO</x:v>
      </x:c>
      <x:c r="F10" t="str">
        <x:v>Reject row / zero weight</x:v>
      </x:c>
      <x:c r="G10" t="str">
        <x:v>Integrity failure rate</x:v>
      </x:c>
      <x:c r="H10" t="str">
        <x:v>ACTIVE</x:v>
      </x:c>
    </x:row>
    <x:row r="11">
      <x:c r="A11" t="str">
        <x:v>Regime Drift</x:v>
      </x:c>
      <x:c r="B11" t="str">
        <x:v>Historical relation changes over time</x:v>
      </x:c>
      <x:c r="C11" t="str">
        <x:v>Block performance degradation</x:v>
      </x:c>
      <x:c r="D11" t="str">
        <x:v>League scoring shift</x:v>
      </x:c>
      <x:c r="E11" t="str">
        <x:v>NO</x:v>
      </x:c>
      <x:c r="F11" t="str">
        <x:v>Rolling prior/retrain</x:v>
      </x:c>
      <x:c r="G11" t="str">
        <x:v>Worst-block loss</x:v>
      </x:c>
      <x:c r="H11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18" hidden="0" customWidth="1"/>
    <x:col min="5" max="5" width="26" hidden="0" customWidth="1"/>
    <x:col min="6" max="6" width="24" hidden="0" customWidth="1"/>
    <x:col min="7" max="7" width="20" hidden="0" customWidth="1"/>
    <x:col min="8" max="8" width="28" hidden="0" customWidth="1"/>
    <x:col min="9" max="9" width="14" hidden="0" customWidth="1"/>
    <x:col min="10" max="10" width="40" hidden="0" customWidth="1"/>
  </x:cols>
  <x:sheetData>
    <x:row r="1">
      <x:c r="A1" s="609" t="str">
        <x:v>BETTING INTELLIGENCE v0.4.0 — PROBABILISTIC BRAIN</x:v>
      </x:c>
      <x:c r="B1" s="609"/>
      <x:c r="C1" s="609"/>
      <x:c r="D1" s="609"/>
      <x:c r="E1" s="609"/>
      <x:c r="F1" s="609"/>
      <x:c r="G1" s="609"/>
      <x:c r="H1" s="609"/>
      <x:c r="I1" s="609"/>
      <x:c r="J1" s="609"/>
    </x:row>
    <x:row r="3">
      <x:c r="A3" s="607" t="str">
        <x:v>Layer</x:v>
      </x:c>
      <x:c r="B3" s="607" t="str">
        <x:v>Metric</x:v>
      </x:c>
      <x:c r="C3" s="607" t="str">
        <x:v>Value</x:v>
      </x:c>
      <x:c r="D3" s="607" t="str">
        <x:v>Unit</x:v>
      </x:c>
      <x:c r="E3" s="607" t="str">
        <x:v>Source</x:v>
      </x:c>
      <x:c r="F3" s="607" t="str">
        <x:v>Reliability Role</x:v>
      </x:c>
      <x:c r="G3" s="607" t="str">
        <x:v>Can Drive Decision?</x:v>
      </x:c>
      <x:c r="H3" s="607" t="str">
        <x:v>Critical Threshold</x:v>
      </x:c>
      <x:c r="I3" s="607" t="str">
        <x:v>Status</x:v>
      </x:c>
      <x:c r="J3" s="607" t="str">
        <x:v>Interpretation</x:v>
      </x:c>
    </x:row>
    <x:row r="4">
      <x:c r="A4" t="str">
        <x:v>Market</x:v>
      </x:c>
      <x:c r="B4" t="str">
        <x:v>Direct fair P Under3.5</x:v>
      </x:c>
      <x:c r="C4" s="32" t="n">
        <x:f>'Market_Surface_v0.3.1'!B12</x:f>
        <x:v>0.5751633986928104</x:v>
      </x:c>
      <x:c r="D4" t="str">
        <x:v>probability</x:v>
      </x:c>
      <x:c r="E4" t="str">
        <x:v>Market_Surface_v0.3.1</x:v>
      </x:c>
      <x:c r="F4" t="str">
        <x:v>Champion baseline</x:v>
      </x:c>
      <x:c r="G4" t="str">
        <x:v>YES</x:v>
      </x:c>
      <x:c r="H4" t="str">
        <x:v>N/A</x:v>
      </x:c>
      <x:c r="I4" t="str">
        <x:v>PASS</x:v>
      </x:c>
      <x:c r="J4" t="str">
        <x:v>Exact market being evaluated</x:v>
      </x:c>
    </x:row>
    <x:row r="5">
      <x:c r="A5" t="str">
        <x:v>Football</x:v>
      </x:c>
      <x:c r="B5" t="str">
        <x:v>Football-state P Under3.5</x:v>
      </x:c>
      <x:c r="C5" s="32" t="n">
        <x:f>'Market_Surface_v0.3.1'!B13</x:f>
        <x:v>0.6425271257</x:v>
      </x:c>
      <x:c r="D5" t="str">
        <x:v>probability</x:v>
      </x:c>
      <x:c r="E5" t="str">
        <x:v>M001</x:v>
      </x:c>
      <x:c r="F5" t="str">
        <x:v>Challenger</x:v>
      </x:c>
      <x:c r="G5" t="str">
        <x:v>LIMITED</x:v>
      </x:c>
      <x:c r="H5" t="str">
        <x:v>OOS validation required</x:v>
      </x:c>
      <x:c r="I5" t="str">
        <x:v>INFO</x:v>
      </x:c>
      <x:c r="J5" t="str">
        <x:v>Useful but immature</x:v>
      </x:c>
    </x:row>
    <x:row r="6">
      <x:c r="A6" t="str">
        <x:v>Reliability</x:v>
      </x:c>
      <x:c r="B6" t="str">
        <x:v>Effective market weight</x:v>
      </x:c>
      <x:c r="C6" s="32" t="n">
        <x:f>'Adaptive_Weights_v0.3.3'!I4</x:f>
        <x:v>0.9339919173776381</x:v>
      </x:c>
      <x:c r="D6" t="str">
        <x:v>weight</x:v>
      </x:c>
      <x:c r="E6" t="str">
        <x:v>Adaptive_Weights_v0.3.3</x:v>
      </x:c>
      <x:c r="F6" t="str">
        <x:v>Reliability allocation</x:v>
      </x:c>
      <x:c r="G6" t="str">
        <x:v>YES</x:v>
      </x:c>
      <x:c r="H6" t="str">
        <x:v>N/A</x:v>
      </x:c>
      <x:c r="I6" t="str">
        <x:v>PASS</x:v>
      </x:c>
      <x:c r="J6" t="str">
        <x:v>Validation/calibration-adjusted weight</x:v>
      </x:c>
    </x:row>
    <x:row r="7">
      <x:c r="A7" t="str">
        <x:v>Reliability</x:v>
      </x:c>
      <x:c r="B7" t="str">
        <x:v>Effective football weight</x:v>
      </x:c>
      <x:c r="C7" s="32" t="n">
        <x:f>'Adaptive_Weights_v0.3.3'!I5</x:f>
        <x:v>0.06600808262236191</x:v>
      </x:c>
      <x:c r="D7" t="str">
        <x:v>weight</x:v>
      </x:c>
      <x:c r="E7" t="str">
        <x:v>Adaptive_Weights_v0.3.3</x:v>
      </x:c>
      <x:c r="F7" t="str">
        <x:v>Reliability allocation</x:v>
      </x:c>
      <x:c r="G7" t="str">
        <x:v>LIMITED</x:v>
      </x:c>
      <x:c r="H7" t="str">
        <x:v>N/A</x:v>
      </x:c>
      <x:c r="I7" t="str">
        <x:v>INFO</x:v>
      </x:c>
      <x:c r="J7" t="str">
        <x:v>Strongly penalized until proven</x:v>
      </x:c>
    </x:row>
    <x:row r="8">
      <x:c r="A8" t="str">
        <x:v>Brain</x:v>
      </x:c>
      <x:c r="B8" t="str">
        <x:v>Reliability-weighted P Under3.5</x:v>
      </x:c>
      <x:c r="C8" s="32" t="n">
        <x:f>C4*C6+C5*C7</x:f>
        <x:v>0.5796099491508512</x:v>
      </x:c>
      <x:c r="D8" t="str">
        <x:v>probability</x:v>
      </x:c>
      <x:c r="E8" t="str">
        <x:v>Derived</x:v>
      </x:c>
      <x:c r="F8" t="str">
        <x:v>Current brain estimate</x:v>
      </x:c>
      <x:c r="G8" t="str">
        <x:v>PAPER ONLY</x:v>
      </x:c>
      <x:c r="H8" t="str">
        <x:v>N/A</x:v>
      </x:c>
      <x:c r="I8" t="str">
        <x:v>INFO</x:v>
      </x:c>
      <x:c r="J8" t="str">
        <x:v>Not a win guarantee</x:v>
      </x:c>
    </x:row>
    <x:row r="9">
      <x:c r="A9" t="str">
        <x:v>Uncertainty</x:v>
      </x:c>
      <x:c r="B9" t="str">
        <x:v>Model envelope low</x:v>
      </x:c>
      <x:c r="C9" s="32" t="n">
        <x:f>MIN(C4,C5)</x:f>
        <x:v>0.5751633986928104</x:v>
      </x:c>
      <x:c r="D9" t="str">
        <x:v>probability</x:v>
      </x:c>
      <x:c r="E9" t="str">
        <x:v>Derived</x:v>
      </x:c>
      <x:c r="F9" t="str">
        <x:v>Component envelope</x:v>
      </x:c>
      <x:c r="G9" t="str">
        <x:v>NO</x:v>
      </x:c>
      <x:c r="H9" t="str">
        <x:v>N/A</x:v>
      </x:c>
      <x:c r="I9" t="str">
        <x:v>INFO</x:v>
      </x:c>
      <x:c r="J9" t="str">
        <x:v>Lowest active-model probability</x:v>
      </x:c>
    </x:row>
    <x:row r="10">
      <x:c r="A10" t="str">
        <x:v>Uncertainty</x:v>
      </x:c>
      <x:c r="B10" t="str">
        <x:v>Model envelope high</x:v>
      </x:c>
      <x:c r="C10" s="32" t="n">
        <x:f>MAX(C4,C5)</x:f>
        <x:v>0.6425271257</x:v>
      </x:c>
      <x:c r="D10" t="str">
        <x:v>probability</x:v>
      </x:c>
      <x:c r="E10" t="str">
        <x:v>Derived</x:v>
      </x:c>
      <x:c r="F10" t="str">
        <x:v>Component envelope</x:v>
      </x:c>
      <x:c r="G10" t="str">
        <x:v>NO</x:v>
      </x:c>
      <x:c r="H10" t="str">
        <x:v>N/A</x:v>
      </x:c>
      <x:c r="I10" t="str">
        <x:v>INFO</x:v>
      </x:c>
      <x:c r="J10" t="str">
        <x:v>Highest active-model probability</x:v>
      </x:c>
    </x:row>
    <x:row r="11">
      <x:c r="A11" t="str">
        <x:v>Uncertainty</x:v>
      </x:c>
      <x:c r="B11" t="str">
        <x:v>Model spread</x:v>
      </x:c>
      <x:c r="C11" s="32" t="n">
        <x:f>C10-C9</x:f>
        <x:v>0.06736372700718962</x:v>
      </x:c>
      <x:c r="D11" t="str">
        <x:v>percentage points</x:v>
      </x:c>
      <x:c r="E11" t="str">
        <x:v>Derived</x:v>
      </x:c>
      <x:c r="F11" t="str">
        <x:v>Disagreement</x:v>
      </x:c>
      <x:c r="G11" t="str">
        <x:v>YES</x:v>
      </x:c>
      <x:c r="H11" t="str">
        <x:v>&gt;5pp WATCH; &gt;10pp FAIL</x:v>
      </x:c>
      <x:c r="I11" t="str">
        <x:v>WATCH</x:v>
      </x:c>
      <x:c r="J11" t="str">
        <x:v>Epistemic disagreement</x:v>
      </x:c>
    </x:row>
    <x:row r="12">
      <x:c r="A12" t="str">
        <x:v>Market</x:v>
      </x:c>
      <x:c r="B12" t="str">
        <x:v>Reference Under3.5 odds</x:v>
      </x:c>
      <x:c r="C12" s="30" t="n">
        <x:v>1.625</x:v>
      </x:c>
      <x:c r="D12" t="str">
        <x:v>decimal odds</x:v>
      </x:c>
      <x:c r="E12" t="str">
        <x:v>FOX final pre-kick</x:v>
      </x:c>
      <x:c r="F12" t="str">
        <x:v>Price</x:v>
      </x:c>
      <x:c r="G12" t="str">
        <x:v>YES</x:v>
      </x:c>
      <x:c r="H12" t="str">
        <x:v>N/A</x:v>
      </x:c>
      <x:c r="I12" t="str">
        <x:v>PASS</x:v>
      </x:c>
      <x:c r="J12" t="str">
        <x:v>Frozen reference price</x:v>
      </x:c>
    </x:row>
    <x:row r="13">
      <x:c r="A13" t="str">
        <x:v>Price</x:v>
      </x:c>
      <x:c r="B13" t="str">
        <x:v>Break-even probability</x:v>
      </x:c>
      <x:c r="C13" s="32" t="n">
        <x:f>1/C12</x:f>
        <x:v>0.6153846153846154</x:v>
      </x:c>
      <x:c r="D13" t="str">
        <x:v>probability</x:v>
      </x:c>
      <x:c r="E13" t="str">
        <x:v>Derived</x:v>
      </x:c>
      <x:c r="F13" t="str">
        <x:v>Price threshold</x:v>
      </x:c>
      <x:c r="G13" t="str">
        <x:v>YES</x:v>
      </x:c>
      <x:c r="H13" t="str">
        <x:v>Model P must exceed</x:v>
      </x:c>
      <x:c r="I13" t="str">
        <x:v>INFO</x:v>
      </x:c>
      <x:c r="J13" t="str">
        <x:v>1 / odds</x:v>
      </x:c>
    </x:row>
    <x:row r="14">
      <x:c r="A14" t="str">
        <x:v>Value</x:v>
      </x:c>
      <x:c r="B14" t="str">
        <x:v>Brain EV @ reference odds</x:v>
      </x:c>
      <x:c r="C14" s="32" t="n">
        <x:f>C8*C12-1</x:f>
        <x:v>-0.05813383262986682</x:v>
      </x:c>
      <x:c r="D14" t="str">
        <x:v>expected return</x:v>
      </x:c>
      <x:c r="E14" t="str">
        <x:v>Derived</x:v>
      </x:c>
      <x:c r="F14" t="str">
        <x:v>Economic value</x:v>
      </x:c>
      <x:c r="G14" t="str">
        <x:v>YES</x:v>
      </x:c>
      <x:c r="H14" t="str">
        <x:v>&gt;=+3% preferred</x:v>
      </x:c>
      <x:c r="I14" t="str">
        <x:v>FAIL</x:v>
      </x:c>
      <x:c r="J14" t="str">
        <x:v>Probability must justify price</x:v>
      </x:c>
    </x:row>
    <x:row r="15">
      <x:c r="A15" t="str">
        <x:v>Value</x:v>
      </x:c>
      <x:c r="B15" t="str">
        <x:v>Odds needed for break-even</x:v>
      </x:c>
      <x:c r="C15" s="30" t="n">
        <x:f>1/C8</x:f>
        <x:v>1.7252981965976169</x:v>
      </x:c>
      <x:c r="D15" t="str">
        <x:v>decimal odds</x:v>
      </x:c>
      <x:c r="E15" t="str">
        <x:v>Derived</x:v>
      </x:c>
      <x:c r="F15" t="str">
        <x:v>Economic threshold</x:v>
      </x:c>
      <x:c r="G15" t="str">
        <x:v>YES</x:v>
      </x:c>
      <x:c r="H15" t="str">
        <x:v>N/A</x:v>
      </x:c>
      <x:c r="I15" t="str">
        <x:v>INFO</x:v>
      </x:c>
      <x:c r="J15" t="str">
        <x:v>1 / brain probability</x:v>
      </x:c>
    </x:row>
    <x:row r="16">
      <x:c r="A16" t="str">
        <x:v>Value</x:v>
      </x:c>
      <x:c r="B16" t="str">
        <x:v>Odds needed for +3% EV</x:v>
      </x:c>
      <x:c r="C16" s="30" t="n">
        <x:f>1.03/C8</x:f>
        <x:v>1.7770571424955455</x:v>
      </x:c>
      <x:c r="D16" t="str">
        <x:v>decimal odds</x:v>
      </x:c>
      <x:c r="E16" t="str">
        <x:v>Derived</x:v>
      </x:c>
      <x:c r="F16" t="str">
        <x:v>Economic threshold</x:v>
      </x:c>
      <x:c r="G16" t="str">
        <x:v>YES</x:v>
      </x:c>
      <x:c r="H16" t="str">
        <x:v>N/A</x:v>
      </x:c>
      <x:c r="I16" t="str">
        <x:v>INFO</x:v>
      </x:c>
      <x:c r="J16" t="str">
        <x:v>1.03 / brain probability</x:v>
      </x:c>
    </x:row>
    <x:row r="17">
      <x:c r="A17" t="str">
        <x:v>Evidence</x:v>
      </x:c>
      <x:c r="B17" t="str">
        <x:v>Maturity confidence score</x:v>
      </x:c>
      <x:c r="C17" s="608" t="n">
        <x:f>'Confidence_Budget_v0.3.2'!B17</x:f>
        <x:v>0</x:v>
      </x:c>
      <x:c r="D17" t="str">
        <x:v>0-100</x:v>
      </x:c>
      <x:c r="E17" t="str">
        <x:v>Confidence_Budget_v0.3.2</x:v>
      </x:c>
      <x:c r="F17" t="str">
        <x:v>Evidence quality</x:v>
      </x:c>
      <x:c r="G17" t="str">
        <x:v>YES</x:v>
      </x:c>
      <x:c r="H17" t="str">
        <x:v>&gt;=80 and no critical blocks</x:v>
      </x:c>
      <x:c r="I17" t="str">
        <x:v>FAIL</x:v>
      </x:c>
      <x:c r="J17" t="str">
        <x:v>Not a probability</x:v>
      </x:c>
    </x:row>
    <x:row r="18">
      <x:c r="A18" t="str">
        <x:v>Evidence</x:v>
      </x:c>
      <x:c r="B18" t="str">
        <x:v>Critical promotion blocks</x:v>
      </x:c>
      <x:c r="C18" s="608" t="n">
        <x:f>'Confidence_Budget_v0.3.2'!B19</x:f>
        <x:v>5</x:v>
      </x:c>
      <x:c r="D18" t="str">
        <x:v>count</x:v>
      </x:c>
      <x:c r="E18" t="str">
        <x:v>Confidence_Budget_v0.3.2</x:v>
      </x:c>
      <x:c r="F18" t="str">
        <x:v>Governance</x:v>
      </x:c>
      <x:c r="G18" t="str">
        <x:v>YES</x:v>
      </x:c>
      <x:c r="H18" t="str">
        <x:v>0 required</x:v>
      </x:c>
      <x:c r="I18" t="str">
        <x:v>FAIL</x:v>
      </x:c>
      <x:c r="J18" t="str">
        <x:v>Any critical block prevents promotion</x:v>
      </x:c>
    </x:row>
    <x:row r="19">
      <x:c r="A19" t="str">
        <x:v>Decision</x:v>
      </x:c>
      <x:c r="B19" t="str">
        <x:v>Real-money status</x:v>
      </x:c>
      <x:c r="C19" t="str">
        <x:v>NO</x:v>
      </x:c>
      <x:c r="D19" t="str">
        <x:v>state</x:v>
      </x:c>
      <x:c r="E19" t="str">
        <x:v>System</x:v>
      </x:c>
      <x:c r="F19" t="str">
        <x:v>Capital gate</x:v>
      </x:c>
      <x:c r="G19" t="str">
        <x:v>YES</x:v>
      </x:c>
      <x:c r="H19" t="str">
        <x:v>All critical gates PASS</x:v>
      </x:c>
      <x:c r="I19" t="str">
        <x:v>FAIL</x:v>
      </x:c>
      <x:c r="J19" t="str">
        <x:v>PAPER / LEARNING only</x:v>
      </x:c>
    </x:row>
    <x:row r="22">
      <x:c r="A22" s="613" t="str">
        <x:v>WHY THE BRAIN SAYS NO VALUE</x:v>
      </x:c>
      <x:c r="B22" s="613" t="str">
        <x:v>Contribution</x:v>
      </x:c>
      <x:c r="C22" s="613" t="str">
        <x:v>Direction</x:v>
      </x:c>
      <x:c r="D22" s="613" t="str">
        <x:v>Evidence Maturity</x:v>
      </x:c>
      <x:c r="E22" s="613" t="str">
        <x:v>Can Change Today?</x:v>
      </x:c>
      <x:c r="F22" s="613" t="str">
        <x:v>What Would Change It</x:v>
      </x:c>
      <x:c r="G22" s="613" t="str">
        <x:v>Current Effect</x:v>
      </x:c>
      <x:c r="H22" s="613" t="str">
        <x:v>Status</x:v>
      </x:c>
    </x:row>
    <x:row r="23">
      <x:c r="A23" s="616" t="str">
        <x:v>Direct U3.5 market price</x:v>
      </x:c>
      <x:c r="B23" s="15" t="str">
        <x:v>57.5% fair anchor</x:v>
      </x:c>
      <x:c r="C23" s="15" t="str">
        <x:v>Against Under value</x:v>
      </x:c>
      <x:c r="D23" s="15" t="str">
        <x:v>HIGH</x:v>
      </x:c>
      <x:c r="E23" s="15" t="str">
        <x:v>Only price movement</x:v>
      </x:c>
      <x:c r="F23" s="15" t="str">
        <x:v>Higher offered U3.5 odds</x:v>
      </x:c>
      <x:c r="G23" s="15" t="str">
        <x:v>Dominant</x:v>
      </x:c>
      <x:c r="H23" s="15" t="str">
        <x:v>ACTIVE</x:v>
      </x:c>
    </x:row>
    <x:row r="24">
      <x:c r="A24" s="616" t="str">
        <x:v>Football model</x:v>
      </x:c>
      <x:c r="B24" s="15" t="str">
        <x:v>64.3%</x:v>
      </x:c>
      <x:c r="C24" s="15" t="str">
        <x:v>Supports Under</x:v>
      </x:c>
      <x:c r="D24" s="15" t="str">
        <x:v>LOW</x:v>
      </x:c>
      <x:c r="E24" s="15" t="str">
        <x:v>No retroactive tuning</x:v>
      </x:c>
      <x:c r="F24" s="15" t="str">
        <x:v>OOS validation</x:v>
      </x:c>
      <x:c r="G24" s="15" t="str">
        <x:v>Small due to reliability penalty</x:v>
      </x:c>
      <x:c r="H24" s="15" t="str">
        <x:v>LIMITED</x:v>
      </x:c>
    </x:row>
    <x:row r="25">
      <x:c r="A25" s="616" t="str">
        <x:v>Adaptive weights</x:v>
      </x:c>
      <x:c r="B25" s="15" t="str">
        <x:v>~93% market / ~7% football</x:v>
      </x:c>
      <x:c r="C25" s="15" t="str">
        <x:v>Toward market</x:v>
      </x:c>
      <x:c r="D25" s="15" t="str">
        <x:v>MEDIUM</x:v>
      </x:c>
      <x:c r="E25" s="15" t="str">
        <x:v>No manual override</x:v>
      </x:c>
      <x:c r="F25" s="15" t="str">
        <x:v>Earned validation/calibration</x:v>
      </x:c>
      <x:c r="G25" s="15" t="str">
        <x:v>Strong</x:v>
      </x:c>
      <x:c r="H25" s="15" t="str">
        <x:v>ACTIVE</x:v>
      </x:c>
    </x:row>
    <x:row r="26">
      <x:c r="A26" s="616" t="str">
        <x:v>Model spread</x:v>
      </x:c>
      <x:c r="B26" s="15" t="str">
        <x:v>~6.7pp</x:v>
      </x:c>
      <x:c r="C26" s="15" t="str">
        <x:v>Raises uncertainty</x:v>
      </x:c>
      <x:c r="D26" s="15" t="str">
        <x:v>MEDIUM</x:v>
      </x:c>
      <x:c r="E26" s="15" t="str">
        <x:v>No</x:v>
      </x:c>
      <x:c r="F26" s="15" t="str">
        <x:v>Models converge through better data</x:v>
      </x:c>
      <x:c r="G26" s="15" t="str">
        <x:v>Penalty</x:v>
      </x:c>
      <x:c r="H26" s="15" t="str">
        <x:v>WATCH</x:v>
      </x:c>
    </x:row>
    <x:row r="27">
      <x:c r="A27" s="616" t="str">
        <x:v>Historical validation</x:v>
      </x:c>
      <x:c r="B27" s="15" t="str">
        <x:v>0 robust qualifiers</x:v>
      </x:c>
      <x:c r="C27" s="15" t="str">
        <x:v>Against promotion</x:v>
      </x:c>
      <x:c r="D27" s="15" t="str">
        <x:v>LOW</x:v>
      </x:c>
      <x:c r="E27" s="15" t="str">
        <x:v>No</x:v>
      </x:c>
      <x:c r="F27" s="15" t="str">
        <x:v>30+ unseen qualifiers</x:v>
      </x:c>
      <x:c r="G27" s="15" t="str">
        <x:v>Critical block</x:v>
      </x:c>
      <x:c r="H27" s="15" t="str">
        <x:v>FAIL</x:v>
      </x:c>
    </x:row>
    <x:row r="28">
      <x:c r="A28" s="616" t="str">
        <x:v>Calibration</x:v>
      </x:c>
      <x:c r="B28" s="15" t="str">
        <x:v>No OOS Brier/LogLoss</x:v>
      </x:c>
      <x:c r="C28" s="15" t="str">
        <x:v>Against promotion</x:v>
      </x:c>
      <x:c r="D28" s="15" t="str">
        <x:v>LOW</x:v>
      </x:c>
      <x:c r="E28" s="15" t="str">
        <x:v>No</x:v>
      </x:c>
      <x:c r="F28" s="15" t="str">
        <x:v>Paper sample + calibration</x:v>
      </x:c>
      <x:c r="G28" s="15" t="str">
        <x:v>Critical block</x:v>
      </x:c>
      <x:c r="H28" s="15" t="str">
        <x:v>FAIL</x:v>
      </x:c>
    </x:row>
    <x:row r="29">
      <x:c r="A29" s="616" t="str">
        <x:v>Execution price</x:v>
      </x:c>
      <x:c r="B29" s="15" t="str">
        <x:v>Not captured</x:v>
      </x:c>
      <x:c r="C29" s="15" t="str">
        <x:v>Against execution</x:v>
      </x:c>
      <x:c r="D29" s="15" t="str">
        <x:v>LOW</x:v>
      </x:c>
      <x:c r="E29" s="15" t="str">
        <x:v>User price only</x:v>
      </x:c>
      <x:c r="F29" s="15" t="str">
        <x:v>Verified bookmaker price</x:v>
      </x:c>
      <x:c r="G29" s="15" t="str">
        <x:v>Critical block</x:v>
      </x:c>
      <x:c r="H29" s="15" t="str">
        <x:v>FAIL</x:v>
      </x:c>
    </x:row>
    <x:row r="30">
      <x:c r="A30" s="616"/>
      <x:c r="B30" s="15"/>
      <x:c r="C30" s="15"/>
      <x:c r="D30" s="15"/>
      <x:c r="E30" s="15"/>
      <x:c r="F30" s="15"/>
      <x:c r="G30" s="15"/>
      <x:c r="H30" s="15"/>
    </x:row>
  </x:sheetData>
  <x:mergeCells>
    <x:mergeCell ref="A1:J1"/>
  </x:mergeCells>
  <x:conditionalFormatting sqref="I4:I19">
    <x:cfRule type="expression" dxfId="55" priority="1">
      <x:formula>I4="PASS"</x:formula>
    </x:cfRule>
    <x:cfRule type="expression" dxfId="56" priority="2">
      <x:formula>I4="WATCH"</x:formula>
    </x:cfRule>
    <x:cfRule type="expression" dxfId="57" priority="3">
      <x:formula>I4="FAIL"</x:formula>
    </x:cfRule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7" hidden="0" customWidth="1"/>
    <x:col min="10" max="10" width="17" hidden="0" customWidth="1"/>
  </x:cols>
  <x:sheetData>
    <x:row r="1">
      <x:c r="A1" s="620" t="str">
        <x:v>v0.4.0 — GOAL DISTRIBUTION LAB (UNTRAINED CHALLENGERS HAVE ZERO DECISION WEIGHT)</x:v>
      </x:c>
      <x:c r="B1" s="620"/>
      <x:c r="C1" s="620"/>
      <x:c r="D1" s="620"/>
      <x:c r="E1" s="620"/>
      <x:c r="F1" s="620"/>
      <x:c r="G1" s="620"/>
      <x:c r="H1" s="620"/>
      <x:c r="I1" s="620"/>
      <x:c r="J1" s="620"/>
    </x:row>
    <x:row r="3">
      <x:c r="A3" s="607" t="str">
        <x:v>Distribution</x:v>
      </x:c>
      <x:c r="B3" s="607" t="str">
        <x:v>Mean λ</x:v>
      </x:c>
      <x:c r="C3" s="607" t="str">
        <x:v>Dispersion k</x:v>
      </x:c>
      <x:c r="D3" s="607" t="str">
        <x:v>P(0)</x:v>
      </x:c>
      <x:c r="E3" s="607" t="str">
        <x:v>P(1)</x:v>
      </x:c>
      <x:c r="F3" s="607" t="str">
        <x:v>P(2)</x:v>
      </x:c>
      <x:c r="G3" s="607" t="str">
        <x:v>P(3)</x:v>
      </x:c>
      <x:c r="H3" s="607" t="str">
        <x:v>P Under3.5</x:v>
      </x:c>
      <x:c r="I3" s="607" t="str">
        <x:v>Decision Weight</x:v>
      </x:c>
      <x:c r="J3" s="607" t="str">
        <x:v>Status</x:v>
      </x:c>
    </x:row>
    <x:row r="4">
      <x:c r="A4" t="str">
        <x:v>Poisson — Football Mean</x:v>
      </x:c>
      <x:c r="B4" s="96" t="n">
        <x:v>3.021</x:v>
      </x:c>
      <x:c r="C4" s="96"/>
      <x:c r="D4" s="32" t="n">
        <x:f>EXP(-B4)</x:f>
        <x:v>0.04875244153612863</x:v>
      </x:c>
      <x:c r="E4" s="32" t="n">
        <x:f>EXP(-B4)*B4</x:f>
        <x:v>0.14728112588064457</x:v>
      </x:c>
      <x:c r="F4" s="32" t="n">
        <x:f>EXP(-B4)*(B4^2)/2</x:f>
        <x:v>0.22246814064271364</x:v>
      </x:c>
      <x:c r="G4" s="32" t="n">
        <x:f>EXP(-B4)*(B4^3)/6</x:f>
        <x:v>0.22402541762721262</x:v>
      </x:c>
      <x:c r="H4" s="32" t="n">
        <x:f>SUM(D4:G4)</x:f>
        <x:v>0.6425271256866995</x:v>
      </x:c>
      <x:c r="I4" s="32" t="n">
        <x:v>0</x:v>
      </x:c>
      <x:c r="J4" t="str">
        <x:v>REFERENCE</x:v>
      </x:c>
    </x:row>
    <x:row r="5">
      <x:c r="A5" t="str">
        <x:v>Negative Binomial k=20</x:v>
      </x:c>
      <x:c r="B5" s="96" t="n">
        <x:v>3.021</x:v>
      </x:c>
      <x:c r="C5" s="96" t="n">
        <x:v>20</x:v>
      </x:c>
      <x:c r="D5" s="32" t="n">
        <x:f>(C5/(C5+B5))^C5</x:f>
        <x:v>0.05999516006149885</x:v>
      </x:c>
      <x:c r="E5" s="32" t="n">
        <x:f>COMBIN(C5,1)*(C5/(C5+B5))^C5*(B5/(C5+B5))</x:f>
        <x:v>0.1574609083408957</x:v>
      </x:c>
      <x:c r="F5" s="32" t="n">
        <x:f>COMBIN(C5+1,2)*(C5/(C5+B5))^C5*(B5/(C5+B5))^2</x:f>
        <x:v>0.216964456063046</x:v>
      </x:c>
      <x:c r="G5" s="32" t="n">
        <x:f>COMBIN(C5+2,3)*(C5/(C5+B5))^C5*(B5/(C5+B5))^3</x:f>
        <x:v>0.20879330001393168</x:v>
      </x:c>
      <x:c r="H5" s="32" t="n">
        <x:f>SUM(D5:G5)</x:f>
        <x:v>0.6432138244793723</x:v>
      </x:c>
      <x:c r="I5" s="32" t="n">
        <x:v>0</x:v>
      </x:c>
      <x:c r="J5" t="str">
        <x:v>SENSITIVITY</x:v>
      </x:c>
    </x:row>
    <x:row r="6">
      <x:c r="A6" t="str">
        <x:v>Negative Binomial k=8</x:v>
      </x:c>
      <x:c r="B6" s="96" t="n">
        <x:v>3.021</x:v>
      </x:c>
      <x:c r="C6" s="96" t="n">
        <x:v>8</x:v>
      </x:c>
      <x:c r="D6" s="32" t="n">
        <x:f>(C6/(C6+B6))^C6</x:f>
        <x:v>0.07708180517302898</x:v>
      </x:c>
      <x:c r="E6" s="32" t="n">
        <x:f>COMBIN(C6,1)*(C6/(C6+B6))^C6*(B6/(C6+B6))</x:f>
        <x:v>0.16903303397348374</x:v>
      </x:c>
      <x:c r="F6" s="32" t="n">
        <x:f>COMBIN(C6+1,2)*(C6/(C6+B6))^C6*(B6/(C6+B6))^2</x:f>
        <x:v>0.2085037274614395</x:v>
      </x:c>
      <x:c r="G6" s="32" t="n">
        <x:f>COMBIN(C6+2,3)*(C6/(C6+B6))^C6*(B6/(C6+B6))^3</x:f>
        <x:v>0.19051198035901423</x:v>
      </x:c>
      <x:c r="H6" s="32" t="n">
        <x:f>SUM(D6:G6)</x:f>
        <x:v>0.6451305469669664</x:v>
      </x:c>
      <x:c r="I6" s="32" t="n">
        <x:v>0</x:v>
      </x:c>
      <x:c r="J6" t="str">
        <x:v>SENSITIVITY</x:v>
      </x:c>
    </x:row>
    <x:row r="7">
      <x:c r="A7" t="str">
        <x:v>Negative Binomial k=4</x:v>
      </x:c>
      <x:c r="B7" s="96" t="n">
        <x:v>3.021</x:v>
      </x:c>
      <x:c r="C7" s="96" t="n">
        <x:v>4</x:v>
      </x:c>
      <x:c r="D7" s="32" t="n">
        <x:f>(C7/(C7+B7))^C7</x:f>
        <x:v>0.10535231257071719</x:v>
      </x:c>
      <x:c r="E7" s="32" t="n">
        <x:f>COMBIN(C7,1)*(C7/(C7+B7))^C7*(B7/(C7+B7))</x:f>
        <x:v>0.18132421949929448</x:v>
      </x:c>
      <x:c r="F7" s="32" t="n">
        <x:f>COMBIN(C7+1,2)*(C7/(C7+B7))^C7*(B7/(C7+B7))^2</x:f>
        <x:v>0.19505072892300546</x:v>
      </x:c>
      <x:c r="G7" s="32" t="n">
        <x:f>COMBIN(C7+2,3)*(C7/(C7+B7))^C7*(B7/(C7+B7))^3</x:f>
        <x:v>0.16785308419780642</x:v>
      </x:c>
      <x:c r="H7" s="32" t="n">
        <x:f>SUM(D7:G7)</x:f>
        <x:v>0.6495803451908235</x:v>
      </x:c>
      <x:c r="I7" s="32" t="n">
        <x:v>0</x:v>
      </x:c>
      <x:c r="J7" t="str">
        <x:v>SENSITIVITY</x:v>
      </x:c>
    </x:row>
    <x:row r="8">
      <x:c r="A8" t="str">
        <x:v>Negative Binomial k=2</x:v>
      </x:c>
      <x:c r="B8" s="96" t="n">
        <x:v>3.021</x:v>
      </x:c>
      <x:c r="C8" s="96" t="n">
        <x:v>2</x:v>
      </x:c>
      <x:c r="D8" s="32" t="n">
        <x:f>(C8/(C8+B8))^C8</x:f>
        <x:v>0.1586644200313672</x:v>
      </x:c>
      <x:c r="E8" s="32" t="n">
        <x:f>COMBIN(C8,1)*(C8/(C8+B8))^C8*(B8/(C8+B8))</x:f>
        <x:v>0.19092818678142212</x:v>
      </x:c>
      <x:c r="F8" s="32" t="n">
        <x:f>COMBIN(C8+1,2)*(C8/(C8+B8))^C8*(B8/(C8+B8))^2</x:f>
        <x:v>0.17231449480183517</x:v>
      </x:c>
      <x:c r="G8" s="32" t="n">
        <x:f>COMBIN(C8+2,3)*(C8/(C8+B8))^C8*(B8/(C8+B8))^3</x:f>
        <x:v>0.13823596595534596</x:v>
      </x:c>
      <x:c r="H8" s="32" t="n">
        <x:f>SUM(D8:G8)</x:f>
        <x:v>0.6601430675699704</x:v>
      </x:c>
      <x:c r="I8" s="32" t="n">
        <x:v>0</x:v>
      </x:c>
      <x:c r="J8" t="str">
        <x:v>SENSITIVITY</x:v>
      </x:c>
    </x:row>
    <x:row r="9">
      <x:c r="A9" t="str">
        <x:v>Poisson — Market Surface Mean</x:v>
      </x:c>
      <x:c r="B9" s="96" t="n">
        <x:v>3.3234503026</x:v>
      </x:c>
      <x:c r="C9" s="96"/>
      <x:c r="D9" s="32" t="n">
        <x:f>EXP(-B9)</x:f>
        <x:v>0.036028308489652675</x:v>
      </x:c>
      <x:c r="E9" s="32" t="n">
        <x:f>EXP(-B9)*B9</x:f>
        <x:v>0.11973829275210233</x:v>
      </x:c>
      <x:c r="F9" s="32" t="n">
        <x:f>EXP(-B9)*(B9^2)/2</x:f>
        <x:v>0.19897213263989094</x:v>
      </x:c>
      <x:c r="G9" s="32" t="n">
        <x:f>EXP(-B9)*(B9^3)/6</x:f>
        <x:v>0.22042466481033762</x:v>
      </x:c>
      <x:c r="H9" s="32" t="n">
        <x:f>SUM(D9:G9)</x:f>
        <x:v>0.5751633986919835</x:v>
      </x:c>
      <x:c r="I9" s="32" t="n">
        <x:v>0</x:v>
      </x:c>
      <x:c r="J9" t="str">
        <x:v>REFERENCE</x:v>
      </x:c>
    </x:row>
    <x:row r="10">
      <x:c r="A10" t="str">
        <x:v>Negative Binomial k=8 @ market mean</x:v>
      </x:c>
      <x:c r="B10" s="96" t="n">
        <x:v>3.3234503026</x:v>
      </x:c>
      <x:c r="C10" s="96" t="n">
        <x:v>8</x:v>
      </x:c>
      <x:c r="D10" s="32" t="n">
        <x:f>(C10/(C10+B10))^C10</x:f>
        <x:v>0.06207113247305421</x:v>
      </x:c>
      <x:c r="E10" s="32" t="n">
        <x:f>COMBIN(C10,1)*(C10/(C10+B10))^C10*(B10/(C10+B10))</x:f>
        <x:v>0.14574379256324724</x:v>
      </x:c>
      <x:c r="F10" s="32" t="n">
        <x:f>COMBIN(C10+1,2)*(C10/(C10+B10))^C10*(B10/(C10+B10))^2</x:f>
        <x:v>0.19249213565526943</x:v>
      </x:c>
      <x:c r="G10" s="32" t="n">
        <x:f>COMBIN(C10+2,3)*(C10/(C10+B10))^C10*(B10/(C10+B10))^3</x:f>
        <x:v>0.18832247221347778</x:v>
      </x:c>
      <x:c r="H10" s="32" t="n">
        <x:f>SUM(D10:G10)</x:f>
        <x:v>0.5886295329050486</x:v>
      </x:c>
      <x:c r="I10" s="32" t="n">
        <x:v>0</x:v>
      </x:c>
      <x:c r="J10" t="str">
        <x:v>SENSITIVITY</x:v>
      </x:c>
    </x:row>
    <x:row r="11">
      <x:c r="A11" t="str">
        <x:v>Negative Binomial k=4 @ market mean</x:v>
      </x:c>
      <x:c r="B11" s="96" t="n">
        <x:v>3.3234503026</x:v>
      </x:c>
      <x:c r="C11" s="96" t="n">
        <x:v>4</x:v>
      </x:c>
      <x:c r="D11" s="32" t="n">
        <x:f>(C11/(C11+B11))^C11</x:f>
        <x:v>0.0889973366959127</x:v>
      </x:c>
      <x:c r="E11" s="32" t="n">
        <x:f>COMBIN(C11,1)*(C11/(C11+B11))^C11*(B11/(C11+B11))</x:f>
        <x:v>0.16155129800914567</x:v>
      </x:c>
      <x:c r="F11" s="32" t="n">
        <x:f>COMBIN(C11+1,2)*(C11/(C11+B11))^C11*(B11/(C11+B11))^2</x:f>
        <x:v>0.18328372832109716</x:v>
      </x:c>
      <x:c r="G11" s="32" t="n">
        <x:f>COMBIN(C11+2,3)*(C11/(C11+B11))^C11*(B11/(C11+B11))^3</x:f>
        <x:v>0.1663517432853062</x:v>
      </x:c>
      <x:c r="H11" s="32" t="n">
        <x:f>SUM(D11:G11)</x:f>
        <x:v>0.6001841063114618</x:v>
      </x:c>
      <x:c r="I11" s="32" t="n">
        <x:v>0</x:v>
      </x:c>
      <x:c r="J11" t="str">
        <x:v>SENSITIVITY</x:v>
      </x:c>
    </x:row>
    <x:row r="12">
      <x:c r="A12" t="str">
        <x:v>Negative Binomial k=2 @ market mean</x:v>
      </x:c>
      <x:c r="B12" s="96" t="n">
        <x:v>3.3234503026</x:v>
      </x:c>
      <x:c r="C12" s="96" t="n">
        <x:v>2</x:v>
      </x:c>
      <x:c r="D12" s="32" t="n">
        <x:f>(C12/(C12+B12))^C12</x:f>
        <x:v>0.1411476276969517</x:v>
      </x:c>
      <x:c r="E12" s="32" t="n">
        <x:f>COMBIN(C12,1)*(C12/(C12+B12))^C12*(B12/(C12+B12))</x:f>
        <x:v>0.17623800329331407</x:v>
      </x:c>
      <x:c r="F12" s="32" t="n">
        <x:f>COMBIN(C12+1,2)*(C12/(C12+B12))^C12*(B12/(C12+B12))^2</x:f>
        <x:v>0.16503908520251895</x:v>
      </x:c>
      <x:c r="G12" s="32" t="n">
        <x:f>COMBIN(C12+2,3)*(C12/(C12+B12))^C12*(B12/(C12+B12))^3</x:f>
        <x:v>0.13737937276988674</x:v>
      </x:c>
      <x:c r="H12" s="32" t="n">
        <x:f>SUM(D12:G12)</x:f>
        <x:v>0.6198040889626715</x:v>
      </x:c>
      <x:c r="I12" s="32" t="n">
        <x:v>0</x:v>
      </x:c>
      <x:c r="J12" t="str">
        <x:v>SENSITIVITY</x:v>
      </x:c>
    </x:row>
    <x:row r="15">
      <x:c r="A15" s="624" t="str">
        <x:v>DISTRIBUTION GOVERNANCE</x:v>
      </x:c>
      <x:c r="B15" s="624" t="str">
        <x:v>Current</x:v>
      </x:c>
      <x:c r="C15" s="624" t="str">
        <x:v>Why It Matters</x:v>
      </x:c>
      <x:c r="D15" s="624" t="str">
        <x:v>Decision Weight Now</x:v>
      </x:c>
      <x:c r="E15" s="624" t="str">
        <x:v>Activation Requirement</x:v>
      </x:c>
      <x:c r="F15" s="624" t="str">
        <x:v>Primary Metric</x:v>
      </x:c>
      <x:c r="G15" s="624" t="str">
        <x:v>Risk</x:v>
      </x:c>
      <x:c r="H15" s="624" t="str">
        <x:v>Status</x:v>
      </x:c>
    </x:row>
    <x:row r="16">
      <x:c r="A16" s="627" t="str">
        <x:v>Single Poisson adequacy</x:v>
      </x:c>
      <x:c r="B16" s="15" t="str">
        <x:v>QUESTIONED</x:v>
      </x:c>
      <x:c r="C16" s="15" t="str">
        <x:v>2.5 and 3.5 market lines imply different λ</x:v>
      </x:c>
      <x:c r="D16" s="15" t="str">
        <x:v>REFERENCE ONLY</x:v>
      </x:c>
      <x:c r="E16" s="15" t="str">
        <x:v>Cross-line OOS fit</x:v>
      </x:c>
      <x:c r="F16" s="15" t="str">
        <x:v>LogLoss across totals</x:v>
      </x:c>
      <x:c r="G16" s="15" t="str">
        <x:v>Tail misspecification</x:v>
      </x:c>
      <x:c r="H16" s="15" t="str">
        <x:v>WATCH</x:v>
      </x:c>
    </x:row>
    <x:row r="17">
      <x:c r="A17" s="627" t="str">
        <x:v>Negative Binomial</x:v>
      </x:c>
      <x:c r="B17" s="15" t="str">
        <x:v>UNTRAINED</x:v>
      </x:c>
      <x:c r="C17" s="15" t="str">
        <x:v>Allows overdispersion</x:v>
      </x:c>
      <x:c r="D17" s="15" t="str">
        <x:v>0%</x:v>
      </x:c>
      <x:c r="E17" s="15" t="str">
        <x:v>Learn dispersion on training set</x:v>
      </x:c>
      <x:c r="F17" s="15" t="str">
        <x:v>OOS LogLoss/Brier</x:v>
      </x:c>
      <x:c r="G17" s="15" t="str">
        <x:v>Can overfit k</x:v>
      </x:c>
      <x:c r="H17" s="15" t="str">
        <x:v>OFF</x:v>
      </x:c>
    </x:row>
    <x:row r="18">
      <x:c r="A18" s="627" t="str">
        <x:v>Mixture model</x:v>
      </x:c>
      <x:c r="B18" s="15" t="str">
        <x:v>SCHEMA ONLY</x:v>
      </x:c>
      <x:c r="C18" s="15" t="str">
        <x:v>Can represent multiple game regimes</x:v>
      </x:c>
      <x:c r="D18" s="15" t="str">
        <x:v>0%</x:v>
      </x:c>
      <x:c r="E18" s="15" t="str">
        <x:v>Large dataset + regularization</x:v>
      </x:c>
      <x:c r="F18" s="15" t="str">
        <x:v>OOS LogLoss</x:v>
      </x:c>
      <x:c r="G18" s="15" t="str">
        <x:v>Too flexible</x:v>
      </x:c>
      <x:c r="H18" s="15" t="str">
        <x:v>OFF</x:v>
      </x:c>
    </x:row>
    <x:row r="19">
      <x:c r="A19" s="627" t="str">
        <x:v>Zero-inflated model</x:v>
      </x:c>
      <x:c r="B19" s="15" t="str">
        <x:v>SCHEMA ONLY</x:v>
      </x:c>
      <x:c r="C19" s="15" t="str">
        <x:v>Extra low-score mass if empirically needed</x:v>
      </x:c>
      <x:c r="D19" s="15" t="str">
        <x:v>0%</x:v>
      </x:c>
      <x:c r="E19" s="15" t="str">
        <x:v>Evidence of excess zeros</x:v>
      </x:c>
      <x:c r="F19" s="15" t="str">
        <x:v>OOS fit</x:v>
      </x:c>
      <x:c r="G19" s="15" t="str">
        <x:v>Unnecessary complexity</x:v>
      </x:c>
      <x:c r="H19" s="15" t="str">
        <x:v>OFF</x:v>
      </x:c>
    </x:row>
    <x:row r="20">
      <x:c r="A20" s="627" t="str">
        <x:v>Selection rule</x:v>
      </x:c>
      <x:c r="B20" s="15" t="str">
        <x:v>OOS WINNER ONLY</x:v>
      </x:c>
      <x:c r="C20" s="15" t="str">
        <x:v>No model chosen because it fits today's market</x:v>
      </x:c>
      <x:c r="D20" s="15" t="str">
        <x:v>0% until validated</x:v>
      </x:c>
      <x:c r="E20" s="15" t="str">
        <x:v>Frozen walk-forward test</x:v>
      </x:c>
      <x:c r="F20" s="15" t="str">
        <x:v>Multiple scoring rules</x:v>
      </x:c>
      <x:c r="G20" s="15" t="str">
        <x:v>Researcher degrees of freedom</x:v>
      </x:c>
      <x:c r="H20" s="15" t="str">
        <x:v>LOCKED</x:v>
      </x:c>
    </x:row>
    <x:row r="21">
      <x:c r="A21" s="627" t="str">
        <x:v>Current conclusion</x:v>
      </x:c>
      <x:c r="B21" s="15" t="str">
        <x:v>NO DISTRIBUTION PROMOTION</x:v>
      </x:c>
      <x:c r="C21" s="15" t="str">
        <x:v>Sensitivity analysis only</x:v>
      </x:c>
      <x:c r="D21" s="15" t="str">
        <x:v>0%</x:v>
      </x:c>
      <x:c r="E21" s="15" t="str">
        <x:v>Historical multi-line totals dataset</x:v>
      </x:c>
      <x:c r="F21" s="15" t="str">
        <x:v>Cross-line calibration</x:v>
      </x:c>
      <x:c r="G21" s="15" t="str">
        <x:v>False precision</x:v>
      </x:c>
      <x:c r="H21" s="15" t="str">
        <x:v>PASS</x:v>
      </x:c>
    </x:row>
    <x:row r="22">
      <x:c r="A22" s="627"/>
      <x:c r="B22" s="15"/>
      <x:c r="C22" s="15"/>
      <x:c r="D22" s="15"/>
      <x:c r="E22" s="15"/>
      <x:c r="F22" s="15"/>
      <x:c r="G22" s="15"/>
      <x:c r="H22" s="15"/>
    </x:row>
  </x:sheetData>
  <x:mergeCells>
    <x:mergeCell ref="A1:J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  <x:col min="8" max="8" width="20" hidden="0" customWidth="1"/>
  </x:cols>
  <x:sheetData>
    <x:row r="1">
      <x:c r="A1" s="620" t="str">
        <x:v>v0.4.0 — MODEL DISAGREEMENT MATRIX</x:v>
      </x:c>
      <x:c r="B1" s="620"/>
      <x:c r="C1" s="620"/>
      <x:c r="D1" s="620"/>
      <x:c r="E1" s="620"/>
      <x:c r="F1" s="620"/>
      <x:c r="G1" s="620"/>
      <x:c r="H1" s="620"/>
    </x:row>
    <x:row r="3">
      <x:c r="A3" s="607" t="str">
        <x:v>Model / Signal</x:v>
      </x:c>
      <x:c r="B3" s="607" t="str">
        <x:v>Probability / Score</x:v>
      </x:c>
      <x:c r="C3" s="607" t="str">
        <x:v>Market Anchor</x:v>
      </x:c>
      <x:c r="D3" s="607" t="str">
        <x:v>Football M001</x:v>
      </x:c>
      <x:c r="E3" s="607" t="str">
        <x:v>Brain</x:v>
      </x:c>
      <x:c r="F3" s="607" t="str">
        <x:v>Difference vs Market</x:v>
      </x:c>
      <x:c r="G3" s="607" t="str">
        <x:v>Reliability State</x:v>
      </x:c>
      <x:c r="H3" s="607" t="str">
        <x:v>Decision Role</x:v>
      </x:c>
    </x:row>
    <x:row r="4">
      <x:c r="A4" t="str">
        <x:v>Direct Market U3.5</x:v>
      </x:c>
      <x:c r="B4" s="32" t="n">
        <x:f>'Probabilistic_Brain_v0.4.0'!C4</x:f>
        <x:v>0.5751633986928104</x:v>
      </x:c>
      <x:c r="C4" s="32" t="n">
        <x:f>ABS(B4-$B$4)</x:f>
        <x:v>0</x:v>
      </x:c>
      <x:c r="D4" s="32" t="n">
        <x:f>ABS(B4-$B$5)</x:f>
        <x:v>0.06736372700718962</x:v>
      </x:c>
      <x:c r="E4" s="32" t="n">
        <x:f>ABS(B4-$B$6)</x:f>
        <x:v>0.0044465504580407655</x:v>
      </x:c>
      <x:c r="F4" s="32" t="n">
        <x:f>B4-$B$4</x:f>
        <x:v>0</x:v>
      </x:c>
      <x:c r="G4" t="str">
        <x:v>CHAMPION</x:v>
      </x:c>
      <x:c r="H4" t="str">
        <x:v>Primary anchor</x:v>
      </x:c>
    </x:row>
    <x:row r="5">
      <x:c r="A5" t="str">
        <x:v>Football M001 U3.5</x:v>
      </x:c>
      <x:c r="B5" s="32" t="n">
        <x:f>'Probabilistic_Brain_v0.4.0'!C5</x:f>
        <x:v>0.6425271257</x:v>
      </x:c>
      <x:c r="C5" s="32" t="n">
        <x:f>ABS(B5-$B$4)</x:f>
        <x:v>0.06736372700718962</x:v>
      </x:c>
      <x:c r="D5" s="32" t="n">
        <x:f>ABS(B5-$B$5)</x:f>
        <x:v>0</x:v>
      </x:c>
      <x:c r="E5" s="32" t="n">
        <x:f>ABS(B5-$B$6)</x:f>
        <x:v>0.06291717654914886</x:v>
      </x:c>
      <x:c r="F5" s="32" t="n">
        <x:f>B5-$B$4</x:f>
        <x:v>0.06736372700718962</x:v>
      </x:c>
      <x:c r="G5" t="str">
        <x:v>LIMITED</x:v>
      </x:c>
      <x:c r="H5" t="str">
        <x:v>Challenger</x:v>
      </x:c>
    </x:row>
    <x:row r="6">
      <x:c r="A6" t="str">
        <x:v>Reliability Brain U3.5</x:v>
      </x:c>
      <x:c r="B6" s="32" t="n">
        <x:f>'Probabilistic_Brain_v0.4.0'!C8</x:f>
        <x:v>0.5796099491508512</x:v>
      </x:c>
      <x:c r="C6" s="32" t="n">
        <x:f>ABS(B6-$B$4)</x:f>
        <x:v>0.0044465504580407655</x:v>
      </x:c>
      <x:c r="D6" s="32" t="n">
        <x:f>ABS(B6-$B$5)</x:f>
        <x:v>0.06291717654914886</x:v>
      </x:c>
      <x:c r="E6" s="32" t="n">
        <x:f>ABS(B6-$B$6)</x:f>
        <x:v>0</x:v>
      </x:c>
      <x:c r="F6" s="32" t="n">
        <x:f>B6-$B$4</x:f>
        <x:v>0.0044465504580407655</x:v>
      </x:c>
      <x:c r="G6" t="str">
        <x:v>PAPER</x:v>
      </x:c>
      <x:c r="H6" t="str">
        <x:v>Decision research</x:v>
      </x:c>
    </x:row>
    <x:row r="7">
      <x:c r="A7" t="str">
        <x:v>Break-even @1.625</x:v>
      </x:c>
      <x:c r="B7" s="32" t="n">
        <x:f>'Probabilistic_Brain_v0.4.0'!C13</x:f>
        <x:v>0.6153846153846154</x:v>
      </x:c>
      <x:c r="C7" s="32" t="n">
        <x:f>ABS(B7-$B$4)</x:f>
        <x:v>0.040221216691805006</x:v>
      </x:c>
      <x:c r="D7" s="32" t="n">
        <x:f>ABS(B7-$B$5)</x:f>
        <x:v>0.027142510315384616</x:v>
      </x:c>
      <x:c r="E7" s="32" t="n">
        <x:f>ABS(B7-$B$6)</x:f>
        <x:v>0.03577466623376424</x:v>
      </x:c>
      <x:c r="F7" s="32" t="n">
        <x:f>B7-$B$4</x:f>
        <x:v>0.040221216691805006</x:v>
      </x:c>
      <x:c r="G7" t="str">
        <x:v>PRICE</x:v>
      </x:c>
      <x:c r="H7" t="str">
        <x:v>Economic threshold</x:v>
      </x:c>
    </x:row>
    <x:row r="10">
      <x:c r="A10" s="613" t="str">
        <x:v>DISAGREEMENT RULE</x:v>
      </x:c>
      <x:c r="B10" s="613" t="str">
        <x:v>Current</x:v>
      </x:c>
      <x:c r="C10" s="613" t="str">
        <x:v>PASS</x:v>
      </x:c>
      <x:c r="D10" s="613" t="str">
        <x:v>WATCH</x:v>
      </x:c>
      <x:c r="E10" s="613" t="str">
        <x:v>FAIL</x:v>
      </x:c>
      <x:c r="F10" s="613" t="str">
        <x:v>Action</x:v>
      </x:c>
    </x:row>
    <x:row r="11">
      <x:c r="A11" s="15" t="str">
        <x:v>Football vs market</x:v>
      </x:c>
      <x:c r="B11" s="125" t="n">
        <x:f>ABS(B5-B4)</x:f>
        <x:v>0.06736372700718962</x:v>
      </x:c>
      <x:c r="C11" s="15" t="str">
        <x:v>&lt;5pp</x:v>
      </x:c>
      <x:c r="D11" s="15" t="str">
        <x:v>5–10pp</x:v>
      </x:c>
      <x:c r="E11" s="15" t="str">
        <x:v>&gt;10pp</x:v>
      </x:c>
      <x:c r="F11" s="15" t="str">
        <x:v>Reduce internal-model influence</x:v>
      </x:c>
    </x:row>
    <x:row r="12">
      <x:c r="A12" s="15" t="str">
        <x:v>Brain vs break-even</x:v>
      </x:c>
      <x:c r="B12" s="125" t="n">
        <x:f>B6-B7</x:f>
        <x:v>-0.03577466623376424</x:v>
      </x:c>
      <x:c r="C12" s="15" t="str">
        <x:v>&gt;+3pp</x:v>
      </x:c>
      <x:c r="D12" s="15" t="str">
        <x:v>+0–3pp</x:v>
      </x:c>
      <x:c r="E12" s="15" t="str">
        <x:v>&lt;0pp</x:v>
      </x:c>
      <x:c r="F12" s="15" t="str">
        <x:v>No value if below break-even</x:v>
      </x:c>
    </x:row>
    <x:row r="13">
      <x:c r="A13" s="15" t="str">
        <x:v>Market surface λ gap</x:v>
      </x:c>
      <x:c r="B13" s="125" t="n">
        <x:f>'Market_Surface_v0.3.1'!B11</x:f>
        <x:v>0.1758484104</x:v>
      </x:c>
      <x:c r="C13" s="15" t="str">
        <x:v>&lt;0.10</x:v>
      </x:c>
      <x:c r="D13" s="15" t="str">
        <x:v>0.10–0.25</x:v>
      </x:c>
      <x:c r="E13" s="15" t="str">
        <x:v>&gt;0.25</x:v>
      </x:c>
      <x:c r="F13" s="15" t="str">
        <x:v>Activate distribution uncertainty</x:v>
      </x:c>
    </x:row>
    <x:row r="14">
      <x:c r="A14" s="15" t="str">
        <x:v>Live-source quorum</x:v>
      </x:c>
      <x:c r="B14" s="15" t="str">
        <x:v>UNVERIFIED</x:v>
      </x:c>
      <x:c r="C14" s="15" t="str">
        <x:v>Verified</x:v>
      </x:c>
      <x:c r="D14" s="15" t="str">
        <x:v>Conflict / incomplete</x:v>
      </x:c>
      <x:c r="E14" s="15" t="str">
        <x:v>False claim</x:v>
      </x:c>
      <x:c r="F14" s="15" t="str">
        <x:v>Keep live state null</x:v>
      </x:c>
    </x:row>
    <x:row r="15">
      <x:c r="A15" s="15" t="str">
        <x:v>Historical validation</x:v>
      </x:c>
      <x:c r="B15" s="15" t="str">
        <x:v>0</x:v>
      </x:c>
      <x:c r="C15" s="15" t="str">
        <x:v>&gt;=30</x:v>
      </x:c>
      <x:c r="D15" s="15" t="str">
        <x:v>10–29</x:v>
      </x:c>
      <x:c r="E15" s="15" t="str">
        <x:v>&lt;10</x:v>
      </x:c>
      <x:c r="F15" s="15" t="str">
        <x:v>Block promotion</x:v>
      </x:c>
    </x:row>
    <x:row r="16">
      <x:c r="A16" s="15" t="str">
        <x:v>Calibration</x:v>
      </x:c>
      <x:c r="B16" s="15" t="str">
        <x:v>MISSING</x:v>
      </x:c>
      <x:c r="C16" s="15" t="str">
        <x:v>OOS calibrated</x:v>
      </x:c>
      <x:c r="D16" s="15" t="str">
        <x:v>Partial</x:v>
      </x:c>
      <x:c r="E16" s="15" t="str">
        <x:v>Missing</x:v>
      </x:c>
      <x:c r="F16" s="15" t="str">
        <x:v>Block promotion</x:v>
      </x:c>
    </x:row>
    <x:row r="17">
      <x:c r="A17" s="15"/>
      <x:c r="B17" s="15"/>
      <x:c r="C17" s="15"/>
      <x:c r="D17" s="15"/>
      <x:c r="E17" s="15"/>
      <x:c r="F17" s="15"/>
    </x:row>
  </x:sheetData>
  <x:mergeCells>
    <x:mergeCell ref="A1:H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34" hidden="0" customWidth="1"/>
  </x:cols>
  <x:sheetData>
    <x:row r="1">
      <x:c r="A1" s="620" t="str">
        <x:v>v0.4.0 — EVIDENCE GRAPH &amp; PROVENANCE CHAIN</x:v>
      </x:c>
      <x:c r="B1" s="620"/>
      <x:c r="C1" s="620"/>
      <x:c r="D1" s="620"/>
      <x:c r="E1" s="620"/>
      <x:c r="F1" s="620"/>
      <x:c r="G1" s="620"/>
      <x:c r="H1" s="620"/>
      <x:c r="I1" s="620"/>
      <x:c r="J1" s="620"/>
    </x:row>
    <x:row r="3">
      <x:c r="A3" s="607" t="str">
        <x:v>Evidence_ID</x:v>
      </x:c>
      <x:c r="B3" s="607" t="str">
        <x:v>Evidence</x:v>
      </x:c>
      <x:c r="C3" s="607" t="str">
        <x:v>Supports</x:v>
      </x:c>
      <x:c r="D3" s="607" t="str">
        <x:v>Against</x:v>
      </x:c>
      <x:c r="E3" s="607" t="str">
        <x:v>Source Tier</x:v>
      </x:c>
      <x:c r="F3" s="607" t="str">
        <x:v>Timestamp State</x:v>
      </x:c>
      <x:c r="G3" s="607" t="str">
        <x:v>Verified?</x:v>
      </x:c>
      <x:c r="H3" s="607" t="str">
        <x:v>Decision Weight</x:v>
      </x:c>
      <x:c r="I3" s="607" t="str">
        <x:v>Dependency</x:v>
      </x:c>
      <x:c r="J3" s="607" t="str">
        <x:v>Notes</x:v>
      </x:c>
    </x:row>
    <x:row r="4">
      <x:c r="A4" t="str">
        <x:v>E001</x:v>
      </x:c>
      <x:c r="B4" t="str">
        <x:v>FOX direct O/U3.5 pair: O2.20 / U1.625</x:v>
      </x:c>
      <x:c r="C4" t="str">
        <x:v>Market anchor</x:v>
      </x:c>
      <x:c r="D4" t="str">
        <x:v>Under value at short price</x:v>
      </x:c>
      <x:c r="E4" t="str">
        <x:v>B</x:v>
      </x:c>
      <x:c r="F4" t="str">
        <x:v>FINAL PRE-KICK</x:v>
      </x:c>
      <x:c r="G4" t="str">
        <x:v>YES</x:v>
      </x:c>
      <x:c r="H4" t="str">
        <x:v>HIGH</x:v>
      </x:c>
      <x:c r="I4" t="str">
        <x:v>Same-book de-vig</x:v>
      </x:c>
      <x:c r="J4" t="str">
        <x:v>Frozen</x:v>
      </x:c>
    </x:row>
    <x:row r="5">
      <x:c r="A5" t="str">
        <x:v>E002</x:v>
      </x:c>
      <x:c r="B5" t="str">
        <x:v>Football M001 P(U3.5)=64.3%</x:v>
      </x:c>
      <x:c r="C5" t="str">
        <x:v>Under probability</x:v>
      </x:c>
      <x:c r="D5" t="str">
        <x:v>Model maturity</x:v>
      </x:c>
      <x:c r="E5" t="str">
        <x:v>Internal</x:v>
      </x:c>
      <x:c r="F5" t="str">
        <x:v>FINAL PRE-KICK</x:v>
      </x:c>
      <x:c r="G5" t="str">
        <x:v>YES</x:v>
      </x:c>
      <x:c r="H5" t="str">
        <x:v>LOW</x:v>
      </x:c>
      <x:c r="I5" t="str">
        <x:v>Historical model</x:v>
      </x:c>
      <x:c r="J5" t="str">
        <x:v>Unvalidated</x:v>
      </x:c>
    </x:row>
    <x:row r="6">
      <x:c r="A6" t="str">
        <x:v>E003</x:v>
      </x:c>
      <x:c r="B6" t="str">
        <x:v>Adaptive weights ~93.4% market / 6.6% football</x:v>
      </x:c>
      <x:c r="C6" t="str">
        <x:v>Reliability control</x:v>
      </x:c>
      <x:c r="D6" t="str">
        <x:v>Internal-model influence</x:v>
      </x:c>
      <x:c r="E6" t="str">
        <x:v>Internal</x:v>
      </x:c>
      <x:c r="F6" t="str">
        <x:v>PRE/POST LOCK</x:v>
      </x:c>
      <x:c r="G6" t="str">
        <x:v>YES</x:v>
      </x:c>
      <x:c r="H6" t="str">
        <x:v>HIGH</x:v>
      </x:c>
      <x:c r="I6" t="str">
        <x:v>Validation+calibration multipliers</x:v>
      </x:c>
      <x:c r="J6" t="str">
        <x:v>Provisional architecture</x:v>
      </x:c>
    </x:row>
    <x:row r="7">
      <x:c r="A7" t="str">
        <x:v>E004</x:v>
      </x:c>
      <x:c r="B7" t="str">
        <x:v>0 robust full-P002 historical qualifiers</x:v>
      </x:c>
      <x:c r="C7" t="str">
        <x:v>Nothing</x:v>
      </x:c>
      <x:c r="D7" t="str">
        <x:v>Promotion</x:v>
      </x:c>
      <x:c r="E7" t="str">
        <x:v>Internal</x:v>
      </x:c>
      <x:c r="F7" t="str">
        <x:v>CURRENT</x:v>
      </x:c>
      <x:c r="G7" t="str">
        <x:v>YES</x:v>
      </x:c>
      <x:c r="H7" t="str">
        <x:v>CRITICAL</x:v>
      </x:c>
      <x:c r="I7" t="str">
        <x:v>Feature backfill</x:v>
      </x:c>
      <x:c r="J7" t="str">
        <x:v>Blocks real-money</x:v>
      </x:c>
    </x:row>
    <x:row r="8">
      <x:c r="A8" t="str">
        <x:v>E005</x:v>
      </x:c>
      <x:c r="B8" t="str">
        <x:v>No OOS Brier/LogLoss</x:v>
      </x:c>
      <x:c r="C8" t="str">
        <x:v>Nothing</x:v>
      </x:c>
      <x:c r="D8" t="str">
        <x:v>Probability trust</x:v>
      </x:c>
      <x:c r="E8" t="str">
        <x:v>Internal</x:v>
      </x:c>
      <x:c r="F8" t="str">
        <x:v>CURRENT</x:v>
      </x:c>
      <x:c r="G8" t="str">
        <x:v>YES</x:v>
      </x:c>
      <x:c r="H8" t="str">
        <x:v>CRITICAL</x:v>
      </x:c>
      <x:c r="I8" t="str">
        <x:v>Calibration ledger</x:v>
      </x:c>
      <x:c r="J8" t="str">
        <x:v>Blocks promotion</x:v>
      </x:c>
    </x:row>
    <x:row r="9">
      <x:c r="A9" t="str">
        <x:v>E006</x:v>
      </x:c>
      <x:c r="B9" t="str">
        <x:v>Market surface λ gap ≈0.176</x:v>
      </x:c>
      <x:c r="C9" t="str">
        <x:v>Distribution uncertainty</x:v>
      </x:c>
      <x:c r="D9" t="str">
        <x:v>Single-Poisson assumption</x:v>
      </x:c>
      <x:c r="E9" t="str">
        <x:v>Derived</x:v>
      </x:c>
      <x:c r="F9" t="str">
        <x:v>FINAL PRE-KICK</x:v>
      </x:c>
      <x:c r="G9" t="str">
        <x:v>YES</x:v>
      </x:c>
      <x:c r="H9" t="str">
        <x:v>MEDIUM</x:v>
      </x:c>
      <x:c r="I9" t="str">
        <x:v>O/U2.5 + O/U3.5</x:v>
      </x:c>
      <x:c r="J9" t="str">
        <x:v>Triggers M008 priority</x:v>
      </x:c>
    </x:row>
    <x:row r="10">
      <x:c r="A10" t="str">
        <x:v>E007</x:v>
      </x:c>
      <x:c r="B10" t="str">
        <x:v>Live score/minute source conflict/incompleteness</x:v>
      </x:c>
      <x:c r="C10" t="str">
        <x:v>Nothing</x:v>
      </x:c>
      <x:c r="D10" t="str">
        <x:v>Live inference</x:v>
      </x:c>
      <x:c r="E10" t="str">
        <x:v>Web sources</x:v>
      </x:c>
      <x:c r="F10" t="str">
        <x:v>LIVE</x:v>
      </x:c>
      <x:c r="G10" t="str">
        <x:v>NO</x:v>
      </x:c>
      <x:c r="H10" t="str">
        <x:v>CRITICAL</x:v>
      </x:c>
      <x:c r="I10" t="str">
        <x:v>Source quorum</x:v>
      </x:c>
      <x:c r="J10" t="str">
        <x:v>Keep NULL</x:v>
      </x:c>
    </x:row>
    <x:row r="11">
      <x:c r="A11" t="str">
        <x:v>E008</x:v>
      </x:c>
      <x:c r="B11" t="str">
        <x:v>Official kickoff boundary passed</x:v>
      </x:c>
      <x:c r="C11" t="str">
        <x:v>Event partitioning</x:v>
      </x:c>
      <x:c r="D11" t="str">
        <x:v>Nothing</x:v>
      </x:c>
      <x:c r="E11" t="str">
        <x:v>A</x:v>
      </x:c>
      <x:c r="F11" t="str">
        <x:v>OFFICIAL</x:v>
      </x:c>
      <x:c r="G11" t="str">
        <x:v>YES</x:v>
      </x:c>
      <x:c r="H11" t="str">
        <x:v>HIGH</x:v>
      </x:c>
      <x:c r="I11" t="str">
        <x:v>Official club</x:v>
      </x:c>
      <x:c r="J11" t="str">
        <x:v>Pre-match immutable</x:v>
      </x:c>
    </x:row>
  </x:sheetData>
  <x:mergeCells>
    <x:mergeCell ref="A1:J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8" hidden="0" customWidth="1"/>
    <x:col min="5" max="5" width="30" hidden="0" customWidth="1"/>
    <x:col min="6" max="6" width="20" hidden="0" customWidth="1"/>
    <x:col min="7" max="7" width="34" hidden="0" customWidth="1"/>
    <x:col min="8" max="8" width="24" hidden="0" customWidth="1"/>
    <x:col min="9" max="9" width="14" hidden="0" customWidth="1"/>
  </x:cols>
  <x:sheetData>
    <x:row r="1">
      <x:c r="A1" s="620" t="str">
        <x:v>v0.4.0 — SELF-EVALUATION &amp; MODEL HUMILITY ENGINE</x:v>
      </x:c>
      <x:c r="B1" s="620"/>
      <x:c r="C1" s="620"/>
      <x:c r="D1" s="620"/>
      <x:c r="E1" s="620"/>
      <x:c r="F1" s="620"/>
      <x:c r="G1" s="620"/>
      <x:c r="H1" s="620"/>
      <x:c r="I1" s="620"/>
    </x:row>
    <x:row r="3">
      <x:c r="A3" s="607" t="str">
        <x:v>Question</x:v>
      </x:c>
      <x:c r="B3" s="607" t="str">
        <x:v>Current Answer</x:v>
      </x:c>
      <x:c r="C3" s="607" t="str">
        <x:v>Evidence</x:v>
      </x:c>
      <x:c r="D3" s="607" t="str">
        <x:v>Risk If Wrong</x:v>
      </x:c>
      <x:c r="E3" s="607" t="str">
        <x:v>Auto Action</x:v>
      </x:c>
      <x:c r="F3" s="607" t="str">
        <x:v>Can Override Manually?</x:v>
      </x:c>
      <x:c r="G3" s="607" t="str">
        <x:v>Needed To Improve</x:v>
      </x:c>
      <x:c r="H3" s="607" t="str">
        <x:v>Metric</x:v>
      </x:c>
      <x:c r="I3" s="607" t="str">
        <x:v>Status</x:v>
      </x:c>
    </x:row>
    <x:row r="4">
      <x:c r="A4" t="str">
        <x:v>Do we have verified live state?</x:v>
      </x:c>
      <x:c r="B4" t="str">
        <x:v>NO</x:v>
      </x:c>
      <x:c r="C4" t="str">
        <x:v>Source quorum failed</x:v>
      </x:c>
      <x:c r="D4" t="str">
        <x:v>Very high</x:v>
      </x:c>
      <x:c r="E4" t="str">
        <x:v>Keep live model weight 0</x:v>
      </x:c>
      <x:c r="F4" t="str">
        <x:v>NO</x:v>
      </x:c>
      <x:c r="G4" t="str">
        <x:v>Tier-A event feed or 2-source agreement</x:v>
      </x:c>
      <x:c r="H4" t="str">
        <x:v>Integrity rate</x:v>
      </x:c>
      <x:c r="I4" t="str">
        <x:v>FAIL</x:v>
      </x:c>
    </x:row>
    <x:row r="5">
      <x:c r="A5" t="str">
        <x:v>Is the football probability calibrated?</x:v>
      </x:c>
      <x:c r="B5" t="str">
        <x:v>NO</x:v>
      </x:c>
      <x:c r="C5" t="str">
        <x:v>No OOS Brier/LogLoss</x:v>
      </x:c>
      <x:c r="D5" t="str">
        <x:v>High</x:v>
      </x:c>
      <x:c r="E5" t="str">
        <x:v>Penalize weight</x:v>
      </x:c>
      <x:c r="F5" t="str">
        <x:v>NO</x:v>
      </x:c>
      <x:c r="G5" t="str">
        <x:v>Settled paper sample</x:v>
      </x:c>
      <x:c r="H5" t="str">
        <x:v>Brier/LogLoss</x:v>
      </x:c>
      <x:c r="I5" t="str">
        <x:v>FAIL</x:v>
      </x:c>
    </x:row>
    <x:row r="6">
      <x:c r="A6" t="str">
        <x:v>Does internal model beat market OOS?</x:v>
      </x:c>
      <x:c r="B6" t="str">
        <x:v>UNKNOWN</x:v>
      </x:c>
      <x:c r="C6" t="str">
        <x:v>No independent sample</x:v>
      </x:c>
      <x:c r="D6" t="str">
        <x:v>High</x:v>
      </x:c>
      <x:c r="E6" t="str">
        <x:v>Market stays champion</x:v>
      </x:c>
      <x:c r="F6" t="str">
        <x:v>NO</x:v>
      </x:c>
      <x:c r="G6" t="str">
        <x:v>Walk-forward evaluation</x:v>
      </x:c>
      <x:c r="H6" t="str">
        <x:v>Delta log loss/CLV</x:v>
      </x:c>
      <x:c r="I6" t="str">
        <x:v>FAIL</x:v>
      </x:c>
    </x:row>
    <x:row r="7">
      <x:c r="A7" t="str">
        <x:v>Is single Poisson adequate?</x:v>
      </x:c>
      <x:c r="B7" t="str">
        <x:v>QUESTIONED</x:v>
      </x:c>
      <x:c r="C7" t="str">
        <x:v>Cross-line λ gap ~0.176</x:v>
      </x:c>
      <x:c r="D7" t="str">
        <x:v>Medium</x:v>
      </x:c>
      <x:c r="E7" t="str">
        <x:v>Prioritize M008</x:v>
      </x:c>
      <x:c r="F7" t="str">
        <x:v>NO</x:v>
      </x:c>
      <x:c r="G7" t="str">
        <x:v>Multi-line historical totals</x:v>
      </x:c>
      <x:c r="H7" t="str">
        <x:v>Cross-line log loss</x:v>
      </x:c>
      <x:c r="I7" t="str">
        <x:v>WATCH</x:v>
      </x:c>
    </x:row>
    <x:row r="8">
      <x:c r="A8" t="str">
        <x:v>Is current offered price value?</x:v>
      </x:c>
      <x:c r="B8" t="str">
        <x:v>NO at reference 1.625</x:v>
      </x:c>
      <x:c r="C8" t="str">
        <x:v>Brain EV negative</x:v>
      </x:c>
      <x:c r="D8" t="str">
        <x:v>High</x:v>
      </x:c>
      <x:c r="E8" t="str">
        <x:v>No bet</x:v>
      </x:c>
      <x:c r="F8" t="str">
        <x:v>NO</x:v>
      </x:c>
      <x:c r="G8" t="str">
        <x:v>Higher execution odds or better probability evidence</x:v>
      </x:c>
      <x:c r="H8" t="str">
        <x:v>EV/CLV</x:v>
      </x:c>
      <x:c r="I8" t="str">
        <x:v>FAIL</x:v>
      </x:c>
    </x:row>
    <x:row r="9">
      <x:c r="A9" t="str">
        <x:v>Can one match change the model?</x:v>
      </x:c>
      <x:c r="B9" t="str">
        <x:v>NO</x:v>
      </x:c>
      <x:c r="C9" t="str">
        <x:v>Quarantine rule</x:v>
      </x:c>
      <x:c r="D9" t="str">
        <x:v>High</x:v>
      </x:c>
      <x:c r="E9" t="str">
        <x:v>Batch only</x:v>
      </x:c>
      <x:c r="F9" t="str">
        <x:v>NO</x:v>
      </x:c>
      <x:c r="G9" t="str">
        <x:v>Multiple settled matches</x:v>
      </x:c>
      <x:c r="H9" t="str">
        <x:v>Governance violations</x:v>
      </x:c>
      <x:c r="I9" t="str">
        <x:v>PASS</x:v>
      </x:c>
    </x:row>
    <x:row r="10">
      <x:c r="A10" t="str">
        <x:v>Are missing features guessed?</x:v>
      </x:c>
      <x:c r="B10" t="str">
        <x:v>NO</x:v>
      </x:c>
      <x:c r="C10" t="str">
        <x:v>Zero-weight/null policy</x:v>
      </x:c>
      <x:c r="D10" t="str">
        <x:v>High</x:v>
      </x:c>
      <x:c r="E10" t="str">
        <x:v>Keep null</x:v>
      </x:c>
      <x:c r="F10" t="str">
        <x:v>NO</x:v>
      </x:c>
      <x:c r="G10" t="str">
        <x:v>Verified provider data</x:v>
      </x:c>
      <x:c r="H10" t="str">
        <x:v>Missingness audit</x:v>
      </x:c>
      <x:c r="I10" t="str">
        <x:v>PASS</x:v>
      </x:c>
    </x:row>
    <x:row r="11">
      <x:c r="A11" t="str">
        <x:v>Can we claim predictive superiority?</x:v>
      </x:c>
      <x:c r="B11" t="str">
        <x:v>NO</x:v>
      </x:c>
      <x:c r="C11" t="str">
        <x:v>No OOS proof</x:v>
      </x:c>
      <x:c r="D11" t="str">
        <x:v>Very high</x:v>
      </x:c>
      <x:c r="E11" t="str">
        <x:v>Prohibit claim</x:v>
      </x:c>
      <x:c r="F11" t="str">
        <x:v>NO</x:v>
      </x:c>
      <x:c r="G11" t="str">
        <x:v>Sustained OOS benchmark wins</x:v>
      </x:c>
      <x:c r="H11" t="str">
        <x:v>OOS scoring + ROI/CLV</x:v>
      </x:c>
      <x:c r="I11" t="str">
        <x:v>PASS</x:v>
      </x:c>
    </x:row>
  </x:sheetData>
  <x:mergeCells>
    <x:mergeCell ref="A1:I1"/>
  </x:mergeCells>
  <x:conditionalFormatting sqref="I4:I11">
    <x:cfRule type="expression" dxfId="58" priority="1">
      <x:formula>I4="PASS"</x:formula>
    </x:cfRule>
    <x:cfRule type="expression" dxfId="59" priority="2">
      <x:formula>I4="WATCH"</x:formula>
    </x:cfRule>
    <x:cfRule type="expression" dxfId="60" priority="3">
      <x:formula>I4="FAIL"</x:formula>
    </x:cfRule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5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38" hidden="0" customWidth="1"/>
    <x:col min="16" max="16" width="2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</x:cols>
  <x:sheetData>
    <x:row r="1">
      <x:c r="A1" s="697" t="str">
        <x:v>BETTING INTELLIGENCE v0.4.1 — BAYESIAN TEAM MEMORY</x:v>
      </x:c>
      <x:c r="B1" s="697"/>
      <x:c r="C1" s="697"/>
      <x:c r="D1" s="697"/>
      <x:c r="E1" s="697"/>
      <x:c r="F1" s="697"/>
      <x:c r="G1" s="697"/>
      <x:c r="H1" s="697"/>
      <x:c r="I1" s="697"/>
      <x:c r="J1" s="697"/>
      <x:c r="K1" s="697"/>
      <x:c r="L1" s="697"/>
      <x:c r="M1" s="697"/>
      <x:c r="N1" s="697"/>
      <x:c r="O1" s="15"/>
      <x:c r="P1" s="15"/>
      <x:c r="Q1" s="15"/>
      <x:c r="R1" s="15"/>
      <x:c r="S1" s="15"/>
      <x:c r="T1" s="15"/>
      <x:c r="U1" s="15"/>
      <x:c r="V1" s="15"/>
    </x:row>
    <x:row r="3">
      <x:c r="A3" s="657" t="str">
        <x:v>Input / State</x:v>
      </x:c>
      <x:c r="B3" s="657" t="str">
        <x:v>SKC</x:v>
      </x:c>
      <x:c r="C3" s="657" t="str">
        <x:v>STL</x:v>
      </x:c>
      <x:c r="D3" s="657" t="str">
        <x:v>Unit</x:v>
      </x:c>
      <x:c r="E3" s="657" t="str">
        <x:v>Source</x:v>
      </x:c>
      <x:c r="F3" s="657" t="str">
        <x:v>Prior Strength</x:v>
      </x:c>
      <x:c r="G3" s="657" t="str">
        <x:v>Posterior Shape α</x:v>
      </x:c>
      <x:c r="H3" s="657" t="str">
        <x:v>Posterior Rate β</x:v>
      </x:c>
      <x:c r="I3" s="657" t="str">
        <x:v>Posterior Mean</x:v>
      </x:c>
      <x:c r="J3" s="657" t="str">
        <x:v>Posterior SD</x:v>
      </x:c>
      <x:c r="K3" s="657" t="str">
        <x:v>Context</x:v>
      </x:c>
      <x:c r="L3" s="657" t="str">
        <x:v>Decision Weight</x:v>
      </x:c>
      <x:c r="M3" s="657" t="str">
        <x:v>Status</x:v>
      </x:c>
      <x:c r="N3" s="657" t="str">
        <x:v>Notes</x:v>
      </x:c>
      <x:c r="P3" s="661" t="str">
        <x:v>STL State</x:v>
      </x:c>
      <x:c r="Q3" s="661" t="str">
        <x:v>Prior Strength</x:v>
      </x:c>
      <x:c r="R3" s="661" t="str">
        <x:v>Posterior Shape α</x:v>
      </x:c>
      <x:c r="S3" s="661" t="str">
        <x:v>Posterior Rate β</x:v>
      </x:c>
      <x:c r="T3" s="661" t="str">
        <x:v>Posterior Mean</x:v>
      </x:c>
      <x:c r="U3" s="661" t="str">
        <x:v>Posterior SD</x:v>
      </x:c>
      <x:c r="V3" s="661" t="str">
        <x:v>Notes</x:v>
      </x:c>
    </x:row>
    <x:row r="4">
      <x:c r="A4" t="str">
        <x:v>MLS matches</x:v>
      </x:c>
      <x:c r="B4" t="n">
        <x:v>284</x:v>
      </x:c>
      <x:c r="C4" t="n">
        <x:v>284</x:v>
      </x:c>
      <x:c r="D4" t="str">
        <x:v>matches</x:v>
      </x:c>
      <x:c r="E4" t="str">
        <x:v>FootyStats MLS 2026</x:v>
      </x:c>
      <x:c r="F4"/>
      <x:c r="G4"/>
      <x:c r="H4"/>
      <x:c r="I4"/>
      <x:c r="J4"/>
      <x:c r="K4" t="str">
        <x:v>League</x:v>
      </x:c>
      <x:c r="L4" s="171" t="n">
        <x:v>0</x:v>
      </x:c>
      <x:c r="M4" t="str">
        <x:v>GROUND TRUTH</x:v>
      </x:c>
      <x:c r="N4" t="str"/>
      <x:c r="P4" t="str">
        <x:v>Overall attack</x:v>
      </x:c>
      <x:c r="Q4" t="n">
        <x:v>5</x:v>
      </x:c>
      <x:c r="R4" t="n">
        <x:f>$C$6*Q4+C8</x:f>
        <x:v>34.99295774647887</x:v>
      </x:c>
      <x:c r="S4" t="n">
        <x:f>Q4+C7</x:f>
        <x:v>24</x:v>
      </x:c>
      <x:c r="T4" s="96" t="n">
        <x:f>R4/S4</x:f>
        <x:v>1.4580399061032863</x:v>
      </x:c>
      <x:c r="U4" s="96" t="n">
        <x:f>SQRT(R4)/S4</x:f>
        <x:v>0.24647852392105807</x:v>
      </x:c>
      <x:c r="V4" t="str">
        <x:v>League-centered slow memory</x:v>
      </x:c>
    </x:row>
    <x:row r="5">
      <x:c r="A5" t="str">
        <x:v>MLS goals</x:v>
      </x:c>
      <x:c r="B5" t="n">
        <x:v>908</x:v>
      </x:c>
      <x:c r="C5" t="n">
        <x:v>908</x:v>
      </x:c>
      <x:c r="D5" t="str">
        <x:v>goals</x:v>
      </x:c>
      <x:c r="E5" t="str">
        <x:v>FootyStats MLS 2026</x:v>
      </x:c>
      <x:c r="F5"/>
      <x:c r="G5"/>
      <x:c r="H5"/>
      <x:c r="I5"/>
      <x:c r="J5"/>
      <x:c r="K5" t="str">
        <x:v>League</x:v>
      </x:c>
      <x:c r="L5" s="171" t="n">
        <x:v>0</x:v>
      </x:c>
      <x:c r="M5" t="str">
        <x:v>GROUND TRUTH</x:v>
      </x:c>
      <x:c r="N5" t="str"/>
      <x:c r="P5" t="str">
        <x:v>Overall defense</x:v>
      </x:c>
      <x:c r="Q5" t="n">
        <x:v>5</x:v>
      </x:c>
      <x:c r="R5" t="n">
        <x:f>$C$6*Q5+C9</x:f>
        <x:v>32.99295774647887</x:v>
      </x:c>
      <x:c r="S5" t="n">
        <x:f>Q5+C7</x:f>
        <x:v>24</x:v>
      </x:c>
      <x:c r="T5" s="96" t="n">
        <x:f>R5/S5</x:f>
        <x:v>1.374706572769953</x:v>
      </x:c>
      <x:c r="U5" s="96" t="n">
        <x:f>SQRT(R5)/S5</x:f>
        <x:v>0.23933123601419304</x:v>
      </x:c>
      <x:c r="V5" t="str">
        <x:v>League-centered slow memory</x:v>
      </x:c>
    </x:row>
    <x:row r="6">
      <x:c r="A6" t="str">
        <x:v>League mean goals/team/match</x:v>
      </x:c>
      <x:c r="B6" s="96" t="n">
        <x:f>B5/B4/2</x:f>
        <x:v>1.5985915492957747</x:v>
      </x:c>
      <x:c r="C6" s="96" t="n">
        <x:f>C5/C4/2</x:f>
        <x:v>1.5985915492957747</x:v>
      </x:c>
      <x:c r="D6" t="str">
        <x:v>goals</x:v>
      </x:c>
      <x:c r="E6" t="str">
        <x:v>Derived</x:v>
      </x:c>
      <x:c r="F6" t="n">
        <x:v>5</x:v>
      </x:c>
      <x:c r="G6"/>
      <x:c r="H6"/>
      <x:c r="I6"/>
      <x:c r="J6"/>
      <x:c r="K6" t="str">
        <x:v>League prior</x:v>
      </x:c>
      <x:c r="L6" s="171" t="n">
        <x:v>0</x:v>
      </x:c>
      <x:c r="M6" t="str">
        <x:v>PROVISIONAL PRIOR</x:v>
      </x:c>
      <x:c r="N6" t="str">
        <x:v>Prior equivalent sample size=5; must be learned OOS later</x:v>
      </x:c>
      <x:c r="P6" t="str">
        <x:v>Venue attack</x:v>
      </x:c>
      <x:c r="Q6" t="n">
        <x:v>4</x:v>
      </x:c>
      <x:c r="R6" t="n">
        <x:f>T4*Q6+C13</x:f>
        <x:v>16.832159624413144</x:v>
      </x:c>
      <x:c r="S6" t="n">
        <x:f>Q6+C12</x:f>
        <x:v>14</x:v>
      </x:c>
      <x:c r="T6" s="96" t="n">
        <x:f>R6/S6</x:f>
        <x:v>1.2022971160295104</x:v>
      </x:c>
      <x:c r="U6" s="96" t="n">
        <x:f>SQRT(R6)/S6</x:f>
        <x:v>0.29305010737189524</x:v>
      </x:c>
      <x:c r="V6" t="str">
        <x:v>Away context</x:v>
      </x:c>
    </x:row>
    <x:row r="7">
      <x:c r="A7" t="str">
        <x:v>Season matches</x:v>
      </x:c>
      <x:c r="B7" t="n">
        <x:v>19</x:v>
      </x:c>
      <x:c r="C7" t="n">
        <x:v>19</x:v>
      </x:c>
      <x:c r="D7" t="str">
        <x:v>matches</x:v>
      </x:c>
      <x:c r="E7" t="str">
        <x:v>FootyStats team pages</x:v>
      </x:c>
      <x:c r="F7"/>
      <x:c r="G7"/>
      <x:c r="H7"/>
      <x:c r="I7"/>
      <x:c r="J7"/>
      <x:c r="K7" t="str">
        <x:v>Overall</x:v>
      </x:c>
      <x:c r="L7" s="171" t="n">
        <x:v>0</x:v>
      </x:c>
      <x:c r="M7" t="str">
        <x:v>GROUND TRUTH</x:v>
      </x:c>
      <x:c r="N7" t="str"/>
      <x:c r="P7" t="str">
        <x:v>Venue defense</x:v>
      </x:c>
      <x:c r="Q7" t="n">
        <x:v>4</x:v>
      </x:c>
      <x:c r="R7" t="n">
        <x:f>T5*Q7+C14</x:f>
        <x:v>20.498826291079812</x:v>
      </x:c>
      <x:c r="S7" t="n">
        <x:f>Q7+C12</x:f>
        <x:v>14</x:v>
      </x:c>
      <x:c r="T7" s="96" t="n">
        <x:f>R7/S7</x:f>
        <x:v>1.4642018779342723</x:v>
      </x:c>
      <x:c r="U7" s="96" t="n">
        <x:f>SQRT(R7)/S7</x:f>
        <x:v>0.3233973537675851</x:v>
      </x:c>
      <x:c r="V7" t="str">
        <x:v>Away context</x:v>
      </x:c>
    </x:row>
    <x:row r="8">
      <x:c r="A8" t="str">
        <x:v>Season goals for</x:v>
      </x:c>
      <x:c r="B8" t="n">
        <x:v>18</x:v>
      </x:c>
      <x:c r="C8" t="n">
        <x:v>27</x:v>
      </x:c>
      <x:c r="D8" t="str">
        <x:v>goals</x:v>
      </x:c>
      <x:c r="E8" t="str">
        <x:v>FootyStats team pages</x:v>
      </x:c>
      <x:c r="F8"/>
      <x:c r="G8"/>
      <x:c r="H8"/>
      <x:c r="I8"/>
      <x:c r="J8"/>
      <x:c r="K8" t="str">
        <x:v>Overall</x:v>
      </x:c>
      <x:c r="L8" s="171" t="n">
        <x:v>0</x:v>
      </x:c>
      <x:c r="M8" t="str">
        <x:v>GROUND TRUTH</x:v>
      </x:c>
      <x:c r="N8" t="str"/>
    </x:row>
    <x:row r="9">
      <x:c r="A9" t="str">
        <x:v>Season goals against</x:v>
      </x:c>
      <x:c r="B9" t="n">
        <x:v>48</x:v>
      </x:c>
      <x:c r="C9" t="n">
        <x:v>25</x:v>
      </x:c>
      <x:c r="D9" t="str">
        <x:v>goals</x:v>
      </x:c>
      <x:c r="E9" t="str">
        <x:v>FootyStats team pages</x:v>
      </x:c>
      <x:c r="F9"/>
      <x:c r="G9"/>
      <x:c r="H9"/>
      <x:c r="I9"/>
      <x:c r="J9"/>
      <x:c r="K9" t="str">
        <x:v>Overall</x:v>
      </x:c>
      <x:c r="L9" s="171" t="n">
        <x:v>0</x:v>
      </x:c>
      <x:c r="M9" t="str">
        <x:v>GROUND TRUTH</x:v>
      </x:c>
      <x:c r="N9" t="str"/>
    </x:row>
    <x:row r="10">
      <x:c r="A10" t="str">
        <x:v>Overall attack posterior</x:v>
      </x:c>
      <x:c r="B10" s="96" t="n">
        <x:f>I10</x:f>
        <x:v>1.0830399061032863</x:v>
      </x:c>
      <x:c r="C10" s="96" t="n">
        <x:f>T4</x:f>
        <x:v>1.4580399061032863</x:v>
      </x:c>
      <x:c r="D10" t="str">
        <x:v>goals/match</x:v>
      </x:c>
      <x:c r="E10" t="str">
        <x:v>Gamma-Poisson</x:v>
      </x:c>
      <x:c r="F10" t="n">
        <x:v>5</x:v>
      </x:c>
      <x:c r="G10" t="n">
        <x:f>$B$6*$F$10+B8</x:f>
        <x:v>25.992957746478872</x:v>
      </x:c>
      <x:c r="H10" t="n">
        <x:f>$F$10+B7</x:f>
        <x:v>24</x:v>
      </x:c>
      <x:c r="I10" s="96" t="n">
        <x:f>G10/H10</x:f>
        <x:v>1.0830399061032863</x:v>
      </x:c>
      <x:c r="J10" s="96" t="n">
        <x:f>SQRT(G10)/(H10)</x:f>
        <x:v>0.21243037154395694</x:v>
      </x:c>
      <x:c r="K10" t="str">
        <x:v>Slow memory</x:v>
      </x:c>
      <x:c r="L10" s="171" t="n">
        <x:v>0</x:v>
      </x:c>
      <x:c r="M10" t="str">
        <x:v>DIAGNOSTIC</x:v>
      </x:c>
      <x:c r="N10" t="str"/>
    </x:row>
    <x:row r="11">
      <x:c r="A11" t="str">
        <x:v>Overall defense-concession posterior</x:v>
      </x:c>
      <x:c r="B11" s="96" t="n">
        <x:f>I11</x:f>
        <x:v>2.3330399061032865</x:v>
      </x:c>
      <x:c r="C11" s="96" t="n">
        <x:f>T5</x:f>
        <x:v>1.374706572769953</x:v>
      </x:c>
      <x:c r="D11" t="str">
        <x:v>goals/match</x:v>
      </x:c>
      <x:c r="E11" t="str">
        <x:v>Gamma-Poisson</x:v>
      </x:c>
      <x:c r="F11" t="n">
        <x:v>5</x:v>
      </x:c>
      <x:c r="G11" t="n">
        <x:f>$B$6*$F$11+B9</x:f>
        <x:v>55.99295774647887</x:v>
      </x:c>
      <x:c r="H11" t="n">
        <x:f>$F$11+B7</x:f>
        <x:v>24</x:v>
      </x:c>
      <x:c r="I11" s="96" t="n">
        <x:f>G11/H11</x:f>
        <x:v>2.3330399061032865</x:v>
      </x:c>
      <x:c r="J11" s="96" t="n">
        <x:f>SQRT(G11)/(H11)</x:f>
        <x:v>0.3117851761832768</x:v>
      </x:c>
      <x:c r="K11" t="str">
        <x:v>Slow memory</x:v>
      </x:c>
      <x:c r="L11" s="171" t="n">
        <x:v>0</x:v>
      </x:c>
      <x:c r="M11" t="str">
        <x:v>DIAGNOSTIC</x:v>
      </x:c>
      <x:c r="N11" t="str">
        <x:v>Higher = weaker defense</x:v>
      </x:c>
    </x:row>
    <x:row r="12">
      <x:c r="A12" t="str">
        <x:v>Venue matches</x:v>
      </x:c>
      <x:c r="B12" t="n">
        <x:v>9</x:v>
      </x:c>
      <x:c r="C12" t="n">
        <x:v>10</x:v>
      </x:c>
      <x:c r="D12" t="str">
        <x:v>matches</x:v>
      </x:c>
      <x:c r="E12" t="str">
        <x:v>FootyStats: SKC home / STL away</x:v>
      </x:c>
      <x:c r="F12"/>
      <x:c r="G12"/>
      <x:c r="H12"/>
      <x:c r="I12" s="96"/>
      <x:c r="J12" s="96"/>
      <x:c r="K12" t="str">
        <x:v>Venue</x:v>
      </x:c>
      <x:c r="L12" s="171" t="n">
        <x:v>0</x:v>
      </x:c>
      <x:c r="M12" t="str">
        <x:v>GROUND TRUTH</x:v>
      </x:c>
      <x:c r="N12" t="str"/>
    </x:row>
    <x:row r="13">
      <x:c r="A13" t="str">
        <x:v>Venue goals for</x:v>
      </x:c>
      <x:c r="B13" t="n">
        <x:v>11</x:v>
      </x:c>
      <x:c r="C13" t="n">
        <x:v>11</x:v>
      </x:c>
      <x:c r="D13" t="str">
        <x:v>goals</x:v>
      </x:c>
      <x:c r="E13" t="str">
        <x:v>FootyStats: 1.22×9 / 1.10×10 exact totals from split</x:v>
      </x:c>
      <x:c r="F13"/>
      <x:c r="G13"/>
      <x:c r="H13"/>
      <x:c r="I13" s="96"/>
      <x:c r="J13" s="96"/>
      <x:c r="K13" t="str">
        <x:v>Venue</x:v>
      </x:c>
      <x:c r="L13" s="171" t="n">
        <x:v>0</x:v>
      </x:c>
      <x:c r="M13" t="str">
        <x:v>GROUND TRUTH</x:v>
      </x:c>
      <x:c r="N13" t="str"/>
    </x:row>
    <x:row r="14">
      <x:c r="A14" t="str">
        <x:v>Venue goals against</x:v>
      </x:c>
      <x:c r="B14" t="n">
        <x:v>17</x:v>
      </x:c>
      <x:c r="C14" t="n">
        <x:v>15</x:v>
      </x:c>
      <x:c r="D14" t="str">
        <x:v>goals</x:v>
      </x:c>
      <x:c r="E14" t="str">
        <x:v>FootyStats: 1.89×9 / 1.50×10 exact totals from split</x:v>
      </x:c>
      <x:c r="F14"/>
      <x:c r="G14"/>
      <x:c r="H14"/>
      <x:c r="I14" s="96"/>
      <x:c r="J14" s="96"/>
      <x:c r="K14" t="str">
        <x:v>Venue</x:v>
      </x:c>
      <x:c r="L14" s="171" t="n">
        <x:v>0</x:v>
      </x:c>
      <x:c r="M14" t="str">
        <x:v>GROUND TRUTH</x:v>
      </x:c>
      <x:c r="N14" t="str"/>
    </x:row>
    <x:row r="15">
      <x:c r="A15" t="str">
        <x:v>Venue attack posterior</x:v>
      </x:c>
      <x:c r="B15" s="96" t="n">
        <x:f>I15</x:f>
        <x:v>1.1793968941856265</x:v>
      </x:c>
      <x:c r="C15" s="96" t="n">
        <x:f>T6</x:f>
        <x:v>1.2022971160295104</x:v>
      </x:c>
      <x:c r="D15" t="str">
        <x:v>goals/match</x:v>
      </x:c>
      <x:c r="E15" t="str">
        <x:v>Hierarchical Gamma-Poisson</x:v>
      </x:c>
      <x:c r="F15" t="n">
        <x:v>4</x:v>
      </x:c>
      <x:c r="G15" t="n">
        <x:f>I10*F15+B13</x:f>
        <x:v>15.332159624413144</x:v>
      </x:c>
      <x:c r="H15" t="n">
        <x:f>F15+B12</x:f>
        <x:v>13</x:v>
      </x:c>
      <x:c r="I15" s="96" t="n">
        <x:f>G15/H15</x:f>
        <x:v>1.1793968941856265</x:v>
      </x:c>
      <x:c r="J15" s="96" t="n">
        <x:f>SQRT(G15)/H15</x:f>
        <x:v>0.30120232073189435</x:v>
      </x:c>
      <x:c r="K15" t="str">
        <x:v>Context memory</x:v>
      </x:c>
      <x:c r="L15" s="171" t="n">
        <x:v>0</x:v>
      </x:c>
      <x:c r="M15" t="str">
        <x:v>DIAGNOSTIC</x:v>
      </x:c>
      <x:c r="N15" t="str">
        <x:v>Prior centered on overall posterior</x:v>
      </x:c>
    </x:row>
    <x:row r="16">
      <x:c r="A16" t="str">
        <x:v>Venue defense posterior</x:v>
      </x:c>
      <x:c r="B16" s="96" t="n">
        <x:f>I16</x:f>
        <x:v>2.025550740339473</x:v>
      </x:c>
      <x:c r="C16" s="96" t="n">
        <x:f>T7</x:f>
        <x:v>1.4642018779342723</x:v>
      </x:c>
      <x:c r="D16" t="str">
        <x:v>goals/match</x:v>
      </x:c>
      <x:c r="E16" t="str">
        <x:v>Hierarchical Gamma-Poisson</x:v>
      </x:c>
      <x:c r="F16" t="n">
        <x:v>4</x:v>
      </x:c>
      <x:c r="G16" t="n">
        <x:f>I11*F16+B14</x:f>
        <x:v>26.332159624413144</x:v>
      </x:c>
      <x:c r="H16" t="n">
        <x:f>F16+B12</x:f>
        <x:v>13</x:v>
      </x:c>
      <x:c r="I16" s="96" t="n">
        <x:f>G16/H16</x:f>
        <x:v>2.025550740339473</x:v>
      </x:c>
      <x:c r="J16" s="96" t="n">
        <x:f>SQRT(G16)/H16</x:f>
        <x:v>0.39472977517629537</x:v>
      </x:c>
      <x:c r="K16" t="str">
        <x:v>Context memory</x:v>
      </x:c>
      <x:c r="L16" s="171" t="n">
        <x:v>0</x:v>
      </x:c>
      <x:c r="M16" t="str">
        <x:v>DIAGNOSTIC</x:v>
      </x:c>
      <x:c r="N16" t="str">
        <x:v>Prior centered on overall posterior</x:v>
      </x:c>
    </x:row>
  </x:sheetData>
  <x:mergeCells>
    <x:mergeCell ref="A1:N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2" max="12" width="23" hidden="0" customWidth="1"/>
    <x:col min="13" max="13" width="18" hidden="0" customWidth="1"/>
    <x:col min="14" max="14" width="27" hidden="0" customWidth="1"/>
    <x:col min="15" max="15" width="30" hidden="0" customWidth="1"/>
    <x:col min="16" max="16" width="14" hidden="0" customWidth="1"/>
    <x:col min="17" max="17" width="34" hidden="0" customWidth="1"/>
  </x:cols>
  <x:sheetData>
    <x:row r="1">
      <x:c r="A1" s="686" t="str">
        <x:v>v0.4.1 — DYNAMIC STRENGTH &amp; OPPONENT-ADJUSTED MATCHUP</x:v>
      </x:c>
      <x:c r="B1" s="686"/>
      <x:c r="C1" s="686"/>
      <x:c r="D1" s="686"/>
      <x:c r="E1" s="686"/>
      <x:c r="F1" s="686"/>
      <x:c r="G1" s="686"/>
      <x:c r="H1" s="686"/>
      <x:c r="I1" s="686"/>
      <x:c r="J1" s="686"/>
      <x:c r="K1" s="15"/>
      <x:c r="L1" s="15"/>
      <x:c r="M1" s="15"/>
      <x:c r="N1" s="15"/>
      <x:c r="O1" s="15"/>
      <x:c r="P1" s="15"/>
      <x:c r="Q1" s="15"/>
    </x:row>
    <x:row r="3">
      <x:c r="A3" s="656" t="str">
        <x:v>Model Layer</x:v>
      </x:c>
      <x:c r="B3" s="656" t="str">
        <x:v>Home Attack</x:v>
      </x:c>
      <x:c r="C3" s="656" t="str">
        <x:v>Home Defense</x:v>
      </x:c>
      <x:c r="D3" s="656" t="str">
        <x:v>Away Attack</x:v>
      </x:c>
      <x:c r="E3" s="656" t="str">
        <x:v>Away Defense</x:v>
      </x:c>
      <x:c r="F3" s="656" t="str">
        <x:v>Expected Home Goals</x:v>
      </x:c>
      <x:c r="G3" s="656" t="str">
        <x:v>Expected Away Goals</x:v>
      </x:c>
      <x:c r="H3" s="656" t="str">
        <x:v>Total λ</x:v>
      </x:c>
      <x:c r="I3" s="656" t="str">
        <x:v>P Under3.5</x:v>
      </x:c>
      <x:c r="J3" s="656" t="str">
        <x:v>Status</x:v>
      </x:c>
      <x:c r="L3" s="672" t="str">
        <x:v>MEMORY LAYER</x:v>
      </x:c>
      <x:c r="M3" s="672" t="str">
        <x:v>Timescale</x:v>
      </x:c>
      <x:c r="N3" s="672" t="str">
        <x:v>Current Data</x:v>
      </x:c>
      <x:c r="O3" s="672" t="str">
        <x:v>Update Rule</x:v>
      </x:c>
      <x:c r="P3" s="672" t="str">
        <x:v>Weight Now</x:v>
      </x:c>
      <x:c r="Q3" s="672" t="str">
        <x:v>Future Upgrade</x:v>
      </x:c>
    </x:row>
    <x:row r="4">
      <x:c r="A4" t="str">
        <x:v>Slow season memory</x:v>
      </x:c>
      <x:c r="B4" s="96" t="n">
        <x:f>'Bayesian_Memory_v0.4.1'!B10</x:f>
        <x:v>1.0830399061032863</x:v>
      </x:c>
      <x:c r="C4" s="96" t="n">
        <x:f>'Bayesian_Memory_v0.4.1'!B11</x:f>
        <x:v>2.3330399061032865</x:v>
      </x:c>
      <x:c r="D4" s="96" t="n">
        <x:f>'Bayesian_Memory_v0.4.1'!C10</x:f>
        <x:v>1.4580399061032863</x:v>
      </x:c>
      <x:c r="E4" s="96" t="n">
        <x:f>'Bayesian_Memory_v0.4.1'!C11</x:f>
        <x:v>1.374706572769953</x:v>
      </x:c>
      <x:c r="F4" s="96" t="n">
        <x:f>B4*E4/'Bayesian_Memory_v0.4.1'!B6</x:f>
        <x:v>0.9313586564049001</x:v>
      </x:c>
      <x:c r="G4" s="96" t="n">
        <x:f>D4*C4/'Bayesian_Memory_v0.4.1'!B6</x:f>
        <x:v>2.1279139672223253</x:v>
      </x:c>
      <x:c r="H4" s="96" t="n">
        <x:f>F4+G4</x:f>
        <x:v>3.0592726236272254</x:v>
      </x:c>
      <x:c r="I4" s="32" t="n">
        <x:f>EXP(-H4)*(1+H4+H4^2/2+H4^3/6)</x:f>
        <x:v>0.63395490919427</x:v>
      </x:c>
      <x:c r="J4" t="str">
        <x:v>DIAGNOSTIC</x:v>
      </x:c>
      <x:c r="L4" s="674" t="str">
        <x:v>League prior</x:v>
      </x:c>
      <x:c r="M4" t="str">
        <x:v>Multi-season</x:v>
      </x:c>
      <x:c r="N4" t="str">
        <x:v>2026 league goals</x:v>
      </x:c>
      <x:c r="O4" t="str">
        <x:v>Slow rolling prior</x:v>
      </x:c>
      <x:c r="P4" s="171" t="n">
        <x:v>0</x:v>
      </x:c>
      <x:c r="Q4" t="str">
        <x:v>Season/league hierarchical prior</x:v>
      </x:c>
    </x:row>
    <x:row r="5">
      <x:c r="A5" t="str">
        <x:v>Venue-context memory</x:v>
      </x:c>
      <x:c r="B5" s="96" t="n">
        <x:f>'Bayesian_Memory_v0.4.1'!B15</x:f>
        <x:v>1.1793968941856265</x:v>
      </x:c>
      <x:c r="C5" s="96" t="n">
        <x:f>'Bayesian_Memory_v0.4.1'!B16</x:f>
        <x:v>2.025550740339473</x:v>
      </x:c>
      <x:c r="D5" s="96" t="n">
        <x:f>'Bayesian_Memory_v0.4.1'!C15</x:f>
        <x:v>1.2022971160295104</x:v>
      </x:c>
      <x:c r="E5" s="96" t="n">
        <x:f>'Bayesian_Memory_v0.4.1'!C16</x:f>
        <x:v>1.4642018779342723</x:v>
      </x:c>
      <x:c r="F5" s="96" t="n">
        <x:f>B5*E5/'Bayesian_Memory_v0.4.1'!B6</x:f>
        <x:v>1.080247889498215</x:v>
      </x:c>
      <x:c r="G5" s="96" t="n">
        <x:f>D5*C5/'Bayesian_Memory_v0.4.1'!B6</x:f>
        <x:v>1.52341216526161</x:v>
      </x:c>
      <x:c r="H5" s="96" t="n">
        <x:f>F5+G5</x:f>
        <x:v>2.6036600547598248</x:v>
      </x:c>
      <x:c r="I5" s="32" t="n">
        <x:f>EXP(-H5)*(1+H5+H5^2/2+H5^3/6)</x:f>
        <x:v>0.7352050952475568</x:v>
      </x:c>
      <x:c r="J5" t="str">
        <x:v>DIAGNOSTIC</x:v>
      </x:c>
      <x:c r="L5" s="674" t="str">
        <x:v>Season slow memory</x:v>
      </x:c>
      <x:c r="M5" t="str">
        <x:v>Months</x:v>
      </x:c>
      <x:c r="N5" t="str">
        <x:v>19 matches/team</x:v>
      </x:c>
      <x:c r="O5" t="str">
        <x:v>Gamma-Poisson posterior</x:v>
      </x:c>
      <x:c r="P5" s="171" t="n">
        <x:v>0</x:v>
      </x:c>
      <x:c r="Q5" t="str">
        <x:v>Dynamic state-space</x:v>
      </x:c>
    </x:row>
    <x:row r="6">
      <x:c r="A6" t="str">
        <x:v>Football M001 frozen</x:v>
      </x:c>
      <x:c r="B6" s="96"/>
      <x:c r="C6" s="96"/>
      <x:c r="D6" s="96"/>
      <x:c r="E6" s="96"/>
      <x:c r="F6" s="96"/>
      <x:c r="G6" s="96"/>
      <x:c r="H6" s="96" t="n">
        <x:v>3.021</x:v>
      </x:c>
      <x:c r="I6" s="32" t="n">
        <x:v>0.6425271257</x:v>
      </x:c>
      <x:c r="J6" t="str">
        <x:v>EXISTING CHALLENGER</x:v>
      </x:c>
      <x:c r="L6" s="674" t="str">
        <x:v>Venue context</x:v>
      </x:c>
      <x:c r="M6" t="str">
        <x:v>Home/away</x:v>
      </x:c>
      <x:c r="N6" t="str">
        <x:v>9 SKC home; 10 STL away</x:v>
      </x:c>
      <x:c r="O6" t="str">
        <x:v>Hierarchical posterior</x:v>
      </x:c>
      <x:c r="P6" s="171" t="n">
        <x:v>0</x:v>
      </x:c>
      <x:c r="Q6" t="str">
        <x:v>Learn context coefficient</x:v>
      </x:c>
    </x:row>
    <x:row r="7">
      <x:c r="L7" s="674" t="str">
        <x:v>Fast form memory</x:v>
      </x:c>
      <x:c r="M7" t="str">
        <x:v>Weeks</x:v>
      </x:c>
      <x:c r="N7" t="str">
        <x:v>Last-10 summary only</x:v>
      </x:c>
      <x:c r="O7" t="str">
        <x:v>NOT ACTIVATED</x:v>
      </x:c>
      <x:c r="P7" s="171" t="n">
        <x:v>0</x:v>
      </x:c>
      <x:c r="Q7" t="str">
        <x:v>Exponential decay learned OOS</x:v>
      </x:c>
    </x:row>
    <x:row r="8">
      <x:c r="L8" s="674" t="str">
        <x:v>xG memory</x:v>
      </x:c>
      <x:c r="M8" t="str">
        <x:v>Weeks/months</x:v>
      </x:c>
      <x:c r="N8" t="str">
        <x:v>Provider not normalized</x:v>
      </x:c>
      <x:c r="O8" t="str">
        <x:v>NOT ACTIVATED</x:v>
      </x:c>
      <x:c r="P8" s="171" t="n">
        <x:v>0</x:v>
      </x:c>
      <x:c r="Q8" t="str">
        <x:v>Bayesian xG state-space</x:v>
      </x:c>
    </x:row>
    <x:row r="9">
      <x:c r="A9" s="668" t="str">
        <x:v>UNCERTAINTY PROPAGATION</x:v>
      </x:c>
      <x:c r="B9" s="668" t="str">
        <x:v>Value</x:v>
      </x:c>
      <x:c r="C9" s="668" t="str">
        <x:v>Formula / Meaning</x:v>
      </x:c>
      <x:c r="D9" s="668" t="str">
        <x:v>Decision Use</x:v>
      </x:c>
      <x:c r="E9" s="668" t="str">
        <x:v>Status</x:v>
      </x:c>
      <x:c r="F9" s="668" t="str">
        <x:v>Threshold</x:v>
      </x:c>
      <x:c r="G9" s="668" t="str">
        <x:v>Source</x:v>
      </x:c>
      <x:c r="H9" s="668" t="str">
        <x:v>Notes</x:v>
      </x:c>
      <x:c r="L9" s="674" t="str">
        <x:v>Player memory</x:v>
      </x:c>
      <x:c r="M9" t="str">
        <x:v>Match/minutes</x:v>
      </x:c>
      <x:c r="N9" t="str">
        <x:v>Not trained</x:v>
      </x:c>
      <x:c r="O9" t="str">
        <x:v>NOT ACTIVATED</x:v>
      </x:c>
      <x:c r="P9" s="171" t="n">
        <x:v>0</x:v>
      </x:c>
      <x:c r="Q9" t="str">
        <x:v>Hierarchical player effects</x:v>
      </x:c>
    </x:row>
    <x:row r="10">
      <x:c r="A10" t="str">
        <x:v>Home λ variance</x:v>
      </x:c>
      <x:c r="B10" s="96" t="n">
        <x:f>(('Bayesian_Memory_v0.4.1'!G15*('Bayesian_Memory_v0.4.1'!G15+1)/('Bayesian_Memory_v0.4.1'!H15^2))*('Bayesian_Memory_v0.4.1'!R7*('Bayesian_Memory_v0.4.1'!R7+1)/('Bayesian_Memory_v0.4.1'!S7^2))/('Bayesian_Memory_v0.4.1'!B6^2))-F5^2</x:f>
        <x:v>0.13675016851613653</x:v>
      </x:c>
      <x:c r="C10" t="str">
        <x:v>Gamma product variance</x:v>
      </x:c>
      <x:c r="D10" t="str">
        <x:v>Diagnostic only</x:v>
      </x:c>
      <x:c r="E10" t="str">
        <x:v>INFO</x:v>
      </x:c>
      <x:c r="F10" t="str"/>
      <x:c r="G10" t="str">
        <x:v>Derived</x:v>
      </x:c>
      <x:c r="H10" t="str"/>
      <x:c r="L10" s="674" t="str">
        <x:v>Regime memory</x:v>
      </x:c>
      <x:c r="M10" t="str">
        <x:v>League/time</x:v>
      </x:c>
      <x:c r="N10" t="str">
        <x:v>Drift observed</x:v>
      </x:c>
      <x:c r="O10" t="str">
        <x:v>Rolling prior only</x:v>
      </x:c>
      <x:c r="P10" s="171" t="n">
        <x:v>0</x:v>
      </x:c>
      <x:c r="Q10" t="str">
        <x:v>Change-point detection</x:v>
      </x:c>
    </x:row>
    <x:row r="11">
      <x:c r="A11" t="str">
        <x:v>Away λ variance</x:v>
      </x:c>
      <x:c r="B11" s="96" t="n">
        <x:f>(('Bayesian_Memory_v0.4.1'!R6*('Bayesian_Memory_v0.4.1'!R6+1)/('Bayesian_Memory_v0.4.1'!S6^2))*('Bayesian_Memory_v0.4.1'!G16*('Bayesian_Memory_v0.4.1'!G16+1)/('Bayesian_Memory_v0.4.1'!H16^2))/('Bayesian_Memory_v0.4.1'!B6^2))-G5^2</x:f>
        <x:v>0.23124910423610867</x:v>
      </x:c>
      <x:c r="C11" t="str">
        <x:v>Gamma product variance</x:v>
      </x:c>
      <x:c r="D11" t="str">
        <x:v>Diagnostic only</x:v>
      </x:c>
      <x:c r="E11" t="str">
        <x:v>INFO</x:v>
      </x:c>
      <x:c r="F11" t="str"/>
      <x:c r="G11" t="str">
        <x:v>Derived</x:v>
      </x:c>
      <x:c r="H11" t="str"/>
      <x:c r="L11" s="674" t="str">
        <x:v>Market memory</x:v>
      </x:c>
      <x:c r="M11" t="str">
        <x:v>Minutes/hours</x:v>
      </x:c>
      <x:c r="N11" t="str">
        <x:v>Current snapshots</x:v>
      </x:c>
      <x:c r="O11" t="str">
        <x:v>Champion baseline</x:v>
      </x:c>
      <x:c r="P11" s="171" t="str">
        <x:v>ACTIVE</x:v>
      </x:c>
      <x:c r="Q11" t="str">
        <x:v>5-min microstructure</x:v>
      </x:c>
    </x:row>
    <x:row r="12">
      <x:c r="A12" t="str">
        <x:v>Total λ SD</x:v>
      </x:c>
      <x:c r="B12" s="96" t="n">
        <x:f>SQRT(B10+B11)</x:f>
        <x:v>0.6066294361076169</x:v>
      </x:c>
      <x:c r="C12" t="str">
        <x:v>sqrt(var_home+var_away)</x:v>
      </x:c>
      <x:c r="D12" t="str">
        <x:v>Diagnostic only</x:v>
      </x:c>
      <x:c r="E12" t="str">
        <x:v>INFO</x:v>
      </x:c>
      <x:c r="F12" t="str"/>
      <x:c r="G12" t="str">
        <x:v>Derived</x:v>
      </x:c>
      <x:c r="H12" t="str"/>
      <x:c r="L12" s="674"/>
      <x:c r="P12" s="171"/>
    </x:row>
    <x:row r="13">
      <x:c r="A13" t="str">
        <x:v>80% λ low</x:v>
      </x:c>
      <x:c r="B13" s="96" t="n">
        <x:f>MAX(0,H5-1.281551566*B12)</x:f>
        <x:v>1.8262331509344114</x:v>
      </x:c>
      <x:c r="C13" t="str">
        <x:v>max(0, mean - 1.2816 SD)</x:v>
      </x:c>
      <x:c r="D13" t="str">
        <x:v>Envelope</x:v>
      </x:c>
      <x:c r="E13" t="str">
        <x:v>INFO</x:v>
      </x:c>
      <x:c r="F13" t="str"/>
      <x:c r="G13" t="str">
        <x:v>Derived</x:v>
      </x:c>
      <x:c r="H13" t="str"/>
    </x:row>
    <x:row r="14">
      <x:c r="A14" t="str">
        <x:v>80% λ high</x:v>
      </x:c>
      <x:c r="B14" s="96" t="n">
        <x:f>H5+1.281551566*B12</x:f>
        <x:v>3.381086958585238</x:v>
      </x:c>
      <x:c r="C14" t="str">
        <x:v>mean + 1.2816 SD</x:v>
      </x:c>
      <x:c r="D14" t="str">
        <x:v>Envelope</x:v>
      </x:c>
      <x:c r="E14" t="str">
        <x:v>INFO</x:v>
      </x:c>
      <x:c r="F14" t="str"/>
      <x:c r="G14" t="str">
        <x:v>Derived</x:v>
      </x:c>
      <x:c r="H14" t="str"/>
    </x:row>
    <x:row r="15">
      <x:c r="A15" t="str">
        <x:v>P(U3.5) at mean</x:v>
      </x:c>
      <x:c r="B15" s="32" t="n">
        <x:f>I5</x:f>
        <x:v>0.7352050952475568</x:v>
      </x:c>
      <x:c r="C15" t="str">
        <x:v>Poisson at posterior mean λ</x:v>
      </x:c>
      <x:c r="D15" t="str">
        <x:v>Diagnostic</x:v>
      </x:c>
      <x:c r="E15" t="str">
        <x:v>INFO</x:v>
      </x:c>
      <x:c r="F15" t="str"/>
      <x:c r="G15" t="str">
        <x:v>Derived</x:v>
      </x:c>
      <x:c r="H15" t="str"/>
    </x:row>
    <x:row r="16">
      <x:c r="A16" t="str">
        <x:v>P(U3.5) low bound</x:v>
      </x:c>
      <x:c r="B16" s="32" t="n">
        <x:f>EXP(-B14)*(1+B14+B14^2/2+B14^3/6)</x:f>
        <x:v>0.5624963099789578</x:v>
      </x:c>
      <x:c r="C16" t="str">
        <x:v>P at high λ</x:v>
      </x:c>
      <x:c r="D16" t="str">
        <x:v>Uncertainty</x:v>
      </x:c>
      <x:c r="E16" t="str">
        <x:v>WATCH</x:v>
      </x:c>
      <x:c r="F16" t="str"/>
      <x:c r="G16" t="str">
        <x:v>Derived</x:v>
      </x:c>
      <x:c r="H16" t="str"/>
    </x:row>
    <x:row r="17">
      <x:c r="A17" t="str">
        <x:v>P(U3.5) high bound</x:v>
      </x:c>
      <x:c r="B17" s="32" t="n">
        <x:f>EXP(-B13)*(1+B13+B13^2/2+B13^3/6)</x:f>
        <x:v>0.8870400890679747</x:v>
      </x:c>
      <x:c r="C17" t="str">
        <x:v>P at low λ</x:v>
      </x:c>
      <x:c r="D17" t="str">
        <x:v>Uncertainty</x:v>
      </x:c>
      <x:c r="E17" t="str">
        <x:v>WATCH</x:v>
      </x:c>
      <x:c r="F17" t="str"/>
      <x:c r="G17" t="str">
        <x:v>Derived</x:v>
      </x:c>
      <x:c r="H17" t="str"/>
    </x:row>
    <x:row r="18">
      <x:c r="A18" t="str">
        <x:v>Market fair P(U3.5)</x:v>
      </x:c>
      <x:c r="B18" s="32" t="n">
        <x:f>'Probabilistic_Brain_v0.4.0'!C4</x:f>
        <x:v>0.5751633986928104</x:v>
      </x:c>
      <x:c r="C18" t="str">
        <x:v>Direct FOX de-vig</x:v>
      </x:c>
      <x:c r="D18" t="str">
        <x:v>Champion anchor</x:v>
      </x:c>
      <x:c r="E18" t="str">
        <x:v>PASS</x:v>
      </x:c>
      <x:c r="F18" t="str"/>
      <x:c r="G18" t="str">
        <x:v>Market_Surface_v0.3.1</x:v>
      </x:c>
      <x:c r="H18" t="str"/>
    </x:row>
    <x:row r="19">
      <x:c r="A19" t="str">
        <x:v>Bayes-context gap vs market</x:v>
      </x:c>
      <x:c r="B19" s="32" t="n">
        <x:f>B15-B18</x:f>
        <x:v>0.16004169655474643</x:v>
      </x:c>
      <x:c r="C19" t="str">
        <x:v>Bayes mean P - market P</x:v>
      </x:c>
      <x:c r="D19" t="str">
        <x:v>Disagreement</x:v>
      </x:c>
      <x:c r="E19" t="str">
        <x:v>FAIL if &gt;10pp</x:v>
      </x:c>
      <x:c r="F19" t="str">
        <x:v>10pp</x:v>
      </x:c>
      <x:c r="G19" t="str">
        <x:v>Derived</x:v>
      </x:c>
      <x:c r="H19" t="str"/>
    </x:row>
    <x:row r="20">
      <x:c r="A20" t="str">
        <x:v>Decision weight</x:v>
      </x:c>
      <x:c r="B20" t="str">
        <x:v>0%</x:v>
      </x:c>
      <x:c r="C20" t="str">
        <x:v>Unvalidated + wide uncertainty</x:v>
      </x:c>
      <x:c r="D20" t="str">
        <x:v>NO</x:v>
      </x:c>
      <x:c r="E20" t="str">
        <x:v>LOCKED</x:v>
      </x:c>
      <x:c r="F20" t="str">
        <x:v>0 until OOS validation</x:v>
      </x:c>
      <x:c r="G20" t="str">
        <x:v>System</x:v>
      </x:c>
      <x:c r="H20" t="str"/>
    </x:row>
  </x:sheetData>
  <x:mergeCells>
    <x:mergeCell ref="A1:J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>
      <x:c r="A1" s="686" t="str">
        <x:v>v0.4.1 — PRIOR &amp; CONTEXT SENSITIVITY TEST</x:v>
      </x:c>
      <x:c r="B1" s="686"/>
      <x:c r="C1" s="686"/>
      <x:c r="D1" s="686"/>
      <x:c r="E1" s="686"/>
      <x:c r="F1" s="686"/>
      <x:c r="G1" s="686"/>
      <x:c r="H1" s="686"/>
      <x:c r="I1" s="15"/>
      <x:c r="J1" s="15"/>
      <x:c r="K1" s="15"/>
      <x:c r="L1" s="15"/>
      <x:c r="M1" s="15"/>
    </x:row>
    <x:row r="3">
      <x:c r="A3" s="656" t="str">
        <x:v>League Prior Strength</x:v>
      </x:c>
      <x:c r="B3" s="656" t="str">
        <x:v>Total λ (Overall Memory)</x:v>
      </x:c>
      <x:c r="C3" s="656" t="str">
        <x:v>P Under3.5</x:v>
      </x:c>
      <x:c r="D3" s="656" t="str">
        <x:v>Market P U3.5</x:v>
      </x:c>
      <x:c r="E3" s="656" t="str">
        <x:v>Gap vs Market</x:v>
      </x:c>
      <x:c r="F3" s="656" t="str">
        <x:v>Interpretation</x:v>
      </x:c>
      <x:c r="H3" s="678" t="str">
        <x:v>Venue Prior Strength</x:v>
      </x:c>
      <x:c r="I3" s="678" t="str">
        <x:v>Total λ (Venue Memory)</x:v>
      </x:c>
      <x:c r="J3" s="678" t="str">
        <x:v>P Under3.5</x:v>
      </x:c>
      <x:c r="K3" s="678" t="str">
        <x:v>Market P U3.5</x:v>
      </x:c>
      <x:c r="L3" s="678" t="str">
        <x:v>Gap vs Market</x:v>
      </x:c>
      <x:c r="M3" s="678" t="str">
        <x:v>Interpretation</x:v>
      </x:c>
    </x:row>
    <x:row r="4">
      <x:c r="A4" t="n">
        <x:v>2</x:v>
      </x:c>
      <x:c r="B4" s="96" t="n">
        <x:v>3.0408167486</x:v>
      </x:c>
      <x:c r="C4" s="32" t="n">
        <x:v>0.6380880713</x:v>
      </x:c>
      <x:c r="D4" s="32" t="n">
        <x:f>'Probabilistic_Brain_v0.4.0'!C4</x:f>
        <x:v>0.5751633986928104</x:v>
      </x:c>
      <x:c r="E4" s="32" t="n">
        <x:f>C4-D4</x:f>
        <x:v>0.06292467260718959</x:v>
      </x:c>
      <x:c r="F4" t="str">
        <x:v>Weak shrinkage</x:v>
      </x:c>
      <x:c r="H4" t="n">
        <x:v>2</x:v>
      </x:c>
      <x:c r="I4" s="96" t="n">
        <x:v>2.5363097787</x:v>
      </x:c>
      <x:c r="J4" s="32" t="n">
        <x:v>0.7497870115</x:v>
      </x:c>
      <x:c r="K4" s="32" t="n">
        <x:f>'Probabilistic_Brain_v0.4.0'!C4</x:f>
        <x:v>0.5751633986928104</x:v>
      </x:c>
      <x:c r="L4" s="32" t="n">
        <x:f>J4-K4</x:f>
        <x:v>0.17462361280718963</x:v>
      </x:c>
      <x:c r="M4" t="str">
        <x:v>Very venue-reactive</x:v>
      </x:c>
    </x:row>
    <x:row r="5">
      <x:c r="A5" t="n">
        <x:v>5</x:v>
      </x:c>
      <x:c r="B5" s="96" t="n">
        <x:v>3.0592726236</x:v>
      </x:c>
      <x:c r="C5" s="32" t="n">
        <x:v>0.6339549092</x:v>
      </x:c>
      <x:c r="D5" s="32" t="n">
        <x:f>'Probabilistic_Brain_v0.4.0'!C4</x:f>
        <x:v>0.5751633986928104</x:v>
      </x:c>
      <x:c r="E5" s="32" t="n">
        <x:f>C5-D5</x:f>
        <x:v>0.05879151050718956</x:v>
      </x:c>
      <x:c r="F5" t="str">
        <x:v>Current provisional prior</x:v>
      </x:c>
      <x:c r="H5" t="n">
        <x:v>4</x:v>
      </x:c>
      <x:c r="I5" s="96" t="n">
        <x:v>2.6036600548</x:v>
      </x:c>
      <x:c r="J5" s="32" t="n">
        <x:v>0.7352050952</x:v>
      </x:c>
      <x:c r="K5" s="32" t="n">
        <x:f>'Probabilistic_Brain_v0.4.0'!C4</x:f>
        <x:v>0.5751633986928104</x:v>
      </x:c>
      <x:c r="L5" s="32" t="n">
        <x:f>J5-K5</x:f>
        <x:v>0.16004169650718958</x:v>
      </x:c>
      <x:c r="M5" t="str">
        <x:v>Current provisional context prior</x:v>
      </x:c>
    </x:row>
    <x:row r="6">
      <x:c r="A6" t="n">
        <x:v>10</x:v>
      </x:c>
      <x:c r="B6" s="96" t="n">
        <x:v>3.08196166897</x:v>
      </x:c>
      <x:c r="C6" s="32" t="n">
        <x:v>0.6288758071</x:v>
      </x:c>
      <x:c r="D6" s="32" t="n">
        <x:f>'Probabilistic_Brain_v0.4.0'!C4</x:f>
        <x:v>0.5751633986928104</x:v>
      </x:c>
      <x:c r="E6" s="32" t="n">
        <x:f>C6-D6</x:f>
        <x:v>0.053712408407189605</x:v>
      </x:c>
      <x:c r="F6" t="str">
        <x:v>Moderate shrinkage</x:v>
      </x:c>
      <x:c r="H6" t="n">
        <x:v>8</x:v>
      </x:c>
      <x:c r="I6" s="96" t="n">
        <x:v>2.6975004944</x:v>
      </x:c>
      <x:c r="J6" s="32" t="n">
        <x:v>0.7146431591</x:v>
      </x:c>
      <x:c r="K6" s="32" t="n">
        <x:f>'Probabilistic_Brain_v0.4.0'!C4</x:f>
        <x:v>0.5751633986928104</x:v>
      </x:c>
      <x:c r="L6" s="32" t="n">
        <x:f>J6-K6</x:f>
        <x:v>0.13947976040718957</x:v>
      </x:c>
      <x:c r="M6" t="str">
        <x:v>More shrinkage to overall</x:v>
      </x:c>
    </x:row>
    <x:row r="7">
      <x:c r="A7" t="n">
        <x:v>20</x:v>
      </x:c>
      <x:c r="B7" s="96" t="n">
        <x:v>3.11050933148</x:v>
      </x:c>
      <x:c r="C7" s="32" t="n">
        <x:v>0.6224896637</x:v>
      </x:c>
      <x:c r="D7" s="32" t="n">
        <x:f>'Probabilistic_Brain_v0.4.0'!C4</x:f>
        <x:v>0.5751633986928104</x:v>
      </x:c>
      <x:c r="E7" s="32" t="n">
        <x:f>C7-D7</x:f>
        <x:v>0.047326265007189616</x:v>
      </x:c>
      <x:c r="F7" t="str">
        <x:v>Strong shrinkage</x:v>
      </x:c>
      <x:c r="H7" t="n">
        <x:v>12</x:v>
      </x:c>
      <x:c r="I7" s="96" t="n">
        <x:v>2.7595257501</x:v>
      </x:c>
      <x:c r="J7" s="32" t="n">
        <x:v>0.7009283459</x:v>
      </x:c>
      <x:c r="K7" s="32" t="n">
        <x:f>'Probabilistic_Brain_v0.4.0'!C4</x:f>
        <x:v>0.5751633986928104</x:v>
      </x:c>
      <x:c r="L7" s="32" t="n">
        <x:f>J7-K7</x:f>
        <x:v>0.12576494720718956</x:v>
      </x:c>
      <x:c r="M7" t="str">
        <x:v>Strong context shrinkage</x:v>
      </x:c>
    </x:row>
    <x:row r="10">
      <x:c r="A10" s="682" t="str">
        <x:v>SENSITIVITY GOVERNANCE</x:v>
      </x:c>
      <x:c r="B10" s="682" t="str">
        <x:v>Current</x:v>
      </x:c>
      <x:c r="C10" s="682" t="str">
        <x:v>Threshold</x:v>
      </x:c>
      <x:c r="D10" s="682" t="str">
        <x:v>Status</x:v>
      </x:c>
      <x:c r="E10" s="682" t="str">
        <x:v>Why</x:v>
      </x:c>
      <x:c r="F10" s="682" t="str">
        <x:v>Action</x:v>
      </x:c>
    </x:row>
    <x:row r="11">
      <x:c r="A11" s="685" t="str">
        <x:v>Overall prior sensitivity</x:v>
      </x:c>
      <x:c r="B11" s="15" t="str">
        <x:v>~1.6pp P range</x:v>
      </x:c>
      <x:c r="C11" s="15" t="str">
        <x:v>&lt;5pp preferred</x:v>
      </x:c>
      <x:c r="D11" s="15" t="str">
        <x:v>PASS</x:v>
      </x:c>
      <x:c r="E11" s="15" t="str">
        <x:v>Slow memory relatively stable</x:v>
      </x:c>
      <x:c r="F11" s="15" t="str">
        <x:v>Keep diagnostic</x:v>
      </x:c>
    </x:row>
    <x:row r="12">
      <x:c r="A12" s="685" t="str">
        <x:v>Venue prior sensitivity</x:v>
      </x:c>
      <x:c r="B12" s="15" t="str">
        <x:v>~4.9pp P range</x:v>
      </x:c>
      <x:c r="C12" s="15" t="str">
        <x:v>&lt;5pp preferred</x:v>
      </x:c>
      <x:c r="D12" s="15" t="str">
        <x:v>WATCH</x:v>
      </x:c>
      <x:c r="E12" s="15" t="str">
        <x:v>Context prior materially matters</x:v>
      </x:c>
      <x:c r="F12" s="15" t="str">
        <x:v>Learn context shrinkage OOS</x:v>
      </x:c>
    </x:row>
    <x:row r="13">
      <x:c r="A13" s="685" t="str">
        <x:v>Venue vs overall disagreement</x:v>
      </x:c>
      <x:c r="B13" s="15" t="str">
        <x:v>~10pp+</x:v>
      </x:c>
      <x:c r="C13" s="15" t="str">
        <x:v>&lt;5pp preferred</x:v>
      </x:c>
      <x:c r="D13" s="15" t="str">
        <x:v>FAIL</x:v>
      </x:c>
      <x:c r="E13" s="15" t="str">
        <x:v>Context and season memory diverge</x:v>
      </x:c>
      <x:c r="F13" s="15" t="str">
        <x:v>Do not promote either</x:v>
      </x:c>
    </x:row>
    <x:row r="14">
      <x:c r="A14" s="685" t="str">
        <x:v>Bayes vs market disagreement</x:v>
      </x:c>
      <x:c r="B14" s="15" t="str">
        <x:v>~16pp venue gap</x:v>
      </x:c>
      <x:c r="C14" s="15" t="str">
        <x:v>&lt;10pp preferred</x:v>
      </x:c>
      <x:c r="D14" s="15" t="str">
        <x:v>FAIL</x:v>
      </x:c>
      <x:c r="E14" s="15" t="str">
        <x:v>Strong contradiction without validation</x:v>
      </x:c>
      <x:c r="F14" s="15" t="str">
        <x:v>Weight remains 0</x:v>
      </x:c>
    </x:row>
    <x:row r="15">
      <x:c r="A15" s="685" t="str">
        <x:v>Current decision weight</x:v>
      </x:c>
      <x:c r="B15" s="15" t="str">
        <x:v>0%</x:v>
      </x:c>
      <x:c r="C15" s="15" t="str">
        <x:v>Until OOS validated</x:v>
      </x:c>
      <x:c r="D15" s="15" t="str">
        <x:v>PASS</x:v>
      </x:c>
      <x:c r="E15" s="15" t="str">
        <x:v>No circular self-confirmation</x:v>
      </x:c>
      <x:c r="F15" s="15" t="str">
        <x:v>Diagnostic only</x:v>
      </x:c>
    </x:row>
    <x:row r="16">
      <x:c r="A16" s="685" t="str">
        <x:v>Next requirement</x:v>
      </x:c>
      <x:c r="B16" s="15" t="str">
        <x:v>Chronological match-by-match backfill</x:v>
      </x:c>
      <x:c r="C16" s="15" t="str">
        <x:v>Required</x:v>
      </x:c>
      <x:c r="D16" s="15" t="str">
        <x:v>PENDING</x:v>
      </x:c>
      <x:c r="E16" s="15" t="str">
        <x:v>Need posterior updates before every historical kickoff</x:v>
      </x:c>
      <x:c r="F16" s="15" t="str">
        <x:v>Build walk-forward memory</x:v>
      </x:c>
    </x:row>
    <x:row r="17">
      <x:c r="A17" s="685"/>
      <x:c r="B17" s="15"/>
      <x:c r="C17" s="15"/>
      <x:c r="D17" s="15"/>
      <x:c r="E17" s="15"/>
      <x:c r="F17" s="15"/>
    </x:row>
  </x:sheetData>
  <x:mergeCells>
    <x:mergeCell ref="A1:H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32" hidden="0" customWidth="1"/>
    <x:col min="9" max="9" width="18" hidden="0" customWidth="1"/>
  </x:cols>
  <x:sheetData>
    <x:row r="1">
      <x:c r="A1" s="686" t="str">
        <x:v>v0.4.1 — BAYESIAN MEMORY GOVERNANCE</x:v>
      </x:c>
      <x:c r="B1" s="686"/>
      <x:c r="C1" s="686"/>
      <x:c r="D1" s="686"/>
      <x:c r="E1" s="686"/>
      <x:c r="F1" s="686"/>
      <x:c r="G1" s="686"/>
      <x:c r="H1" s="686"/>
      <x:c r="I1" s="686"/>
    </x:row>
    <x:row r="3">
      <x:c r="A3" s="656" t="str">
        <x:v>Rule</x:v>
      </x:c>
      <x:c r="B3" s="656" t="str">
        <x:v>Current</x:v>
      </x:c>
      <x:c r="C3" s="656" t="str">
        <x:v>Why</x:v>
      </x:c>
      <x:c r="D3" s="656" t="str">
        <x:v>Training Rule</x:v>
      </x:c>
      <x:c r="E3" s="656" t="str">
        <x:v>Live Rule</x:v>
      </x:c>
      <x:c r="F3" s="656" t="str">
        <x:v>Failure Mode</x:v>
      </x:c>
      <x:c r="G3" s="656" t="str">
        <x:v>Can Change From One Match?</x:v>
      </x:c>
      <x:c r="H3" s="656" t="str">
        <x:v>Promotion Requirement</x:v>
      </x:c>
      <x:c r="I3" s="656" t="str">
        <x:v>Status</x:v>
      </x:c>
    </x:row>
    <x:row r="4">
      <x:c r="A4" t="str">
        <x:v>Conjugate prior</x:v>
      </x:c>
      <x:c r="B4" t="str">
        <x:v>Gamma-Poisson</x:v>
      </x:c>
      <x:c r="C4" t="str">
        <x:v>Positive rates + exact update</x:v>
      </x:c>
      <x:c r="D4" t="str">
        <x:v>Fit hyperparameters only on training data</x:v>
      </x:c>
      <x:c r="E4" t="str">
        <x:v>Frozen in live</x:v>
      </x:c>
      <x:c r="F4" t="str">
        <x:v>Arbitrary shrinkage</x:v>
      </x:c>
      <x:c r="G4" t="str">
        <x:v>NO</x:v>
      </x:c>
      <x:c r="H4" t="str">
        <x:v>OOS-learned prior strength</x:v>
      </x:c>
      <x:c r="I4" t="str">
        <x:v>PROVISIONAL</x:v>
      </x:c>
    </x:row>
    <x:row r="5">
      <x:c r="A5" t="str">
        <x:v>League prior</x:v>
      </x:c>
      <x:c r="B5" t="str">
        <x:v>Current MLS mean</x:v>
      </x:c>
      <x:c r="C5" t="str">
        <x:v>Shrink extremes to league base rate</x:v>
      </x:c>
      <x:c r="D5" t="str">
        <x:v>Rolling time-aware prior</x:v>
      </x:c>
      <x:c r="E5" t="str">
        <x:v>Pre-match snapshot only</x:v>
      </x:c>
      <x:c r="F5" t="str">
        <x:v>Regime leakage</x:v>
      </x:c>
      <x:c r="G5" t="str">
        <x:v>NO</x:v>
      </x:c>
      <x:c r="H5" t="str">
        <x:v>Walk-forward prior</x:v>
      </x:c>
      <x:c r="I5" t="str">
        <x:v>ACTIVE DIAGNOSTIC</x:v>
      </x:c>
    </x:row>
    <x:row r="6">
      <x:c r="A6" t="str">
        <x:v>Slow memory</x:v>
      </x:c>
      <x:c r="B6" t="str">
        <x:v>Season posterior</x:v>
      </x:c>
      <x:c r="C6" t="str">
        <x:v>Stable team identity</x:v>
      </x:c>
      <x:c r="D6" t="str">
        <x:v>Update after each settled match</x:v>
      </x:c>
      <x:c r="E6" t="str">
        <x:v>Use state before kickoff</x:v>
      </x:c>
      <x:c r="F6" t="str">
        <x:v>Future-data leakage</x:v>
      </x:c>
      <x:c r="G6" t="str">
        <x:v>NO</x:v>
      </x:c>
      <x:c r="H6" t="str">
        <x:v>Chronological backtest</x:v>
      </x:c>
      <x:c r="I6" t="str">
        <x:v>SCHEMA READY</x:v>
      </x:c>
    </x:row>
    <x:row r="7">
      <x:c r="A7" t="str">
        <x:v>Venue memory</x:v>
      </x:c>
      <x:c r="B7" t="str">
        <x:v>Hierarchical home/away posterior</x:v>
      </x:c>
      <x:c r="C7" t="str">
        <x:v>Context-specific strength</x:v>
      </x:c>
      <x:c r="D7" t="str">
        <x:v>Learn shrinkage parameter OOS</x:v>
      </x:c>
      <x:c r="E7" t="str">
        <x:v>Pre-kick only</x:v>
      </x:c>
      <x:c r="F7" t="str">
        <x:v>Small-sample overreaction</x:v>
      </x:c>
      <x:c r="G7" t="str">
        <x:v>NO</x:v>
      </x:c>
      <x:c r="H7" t="str">
        <x:v>Beat slow-memory baseline</x:v>
      </x:c>
      <x:c r="I7" t="str">
        <x:v>PROVISIONAL</x:v>
      </x:c>
    </x:row>
    <x:row r="8">
      <x:c r="A8" t="str">
        <x:v>Fast memory</x:v>
      </x:c>
      <x:c r="B8" t="str">
        <x:v>OFF</x:v>
      </x:c>
      <x:c r="C8" t="str">
        <x:v>Recency may matter but decay unknown</x:v>
      </x:c>
      <x:c r="D8" t="str">
        <x:v>Learn half-life OOS</x:v>
      </x:c>
      <x:c r="E8" t="str">
        <x:v>Never hand-tune</x:v>
      </x:c>
      <x:c r="F8" t="str">
        <x:v>Narrative chasing</x:v>
      </x:c>
      <x:c r="G8" t="str">
        <x:v>NO</x:v>
      </x:c>
      <x:c r="H8" t="str">
        <x:v>OOS log-loss gain</x:v>
      </x:c>
      <x:c r="I8" t="str">
        <x:v>OFF</x:v>
      </x:c>
    </x:row>
    <x:row r="9">
      <x:c r="A9" t="str">
        <x:v>xG memory</x:v>
      </x:c>
      <x:c r="B9" t="str">
        <x:v>OFF</x:v>
      </x:c>
      <x:c r="C9" t="str">
        <x:v>Better process signal</x:v>
      </x:c>
      <x:c r="D9" t="str">
        <x:v>Same-provider history</x:v>
      </x:c>
      <x:c r="E9" t="str">
        <x:v>Zero if provider mismatch</x:v>
      </x:c>
      <x:c r="F9" t="str">
        <x:v>Scale drift</x:v>
      </x:c>
      <x:c r="G9" t="str">
        <x:v>NO</x:v>
      </x:c>
      <x:c r="H9" t="str">
        <x:v>Provider-normalized OOS gain</x:v>
      </x:c>
      <x:c r="I9" t="str">
        <x:v>OFF</x:v>
      </x:c>
    </x:row>
    <x:row r="10">
      <x:c r="A10" t="str">
        <x:v>Player memory</x:v>
      </x:c>
      <x:c r="B10" t="str">
        <x:v>OFF</x:v>
      </x:c>
      <x:c r="C10" t="str">
        <x:v>Absences have unequal effects</x:v>
      </x:c>
      <x:c r="D10" t="str">
        <x:v>Hierarchical player model</x:v>
      </x:c>
      <x:c r="E10" t="str">
        <x:v>Pre-match availability only</x:v>
      </x:c>
      <x:c r="F10" t="str">
        <x:v>Equal-weight injuries</x:v>
      </x:c>
      <x:c r="G10" t="str">
        <x:v>NO</x:v>
      </x:c>
      <x:c r="H10" t="str">
        <x:v>Large player sample</x:v>
      </x:c>
      <x:c r="I10" t="str">
        <x:v>OFF</x:v>
      </x:c>
    </x:row>
    <x:row r="11">
      <x:c r="A11" t="str">
        <x:v>Posterior uncertainty</x:v>
      </x:c>
      <x:c r="B11" t="str">
        <x:v>Explicit</x:v>
      </x:c>
      <x:c r="C11" t="str">
        <x:v>Avoid false precision</x:v>
      </x:c>
      <x:c r="D11" t="str">
        <x:v>Carry variance through matchup</x:v>
      </x:c>
      <x:c r="E11" t="str">
        <x:v>Display interval</x:v>
      </x:c>
      <x:c r="F11" t="str">
        <x:v>Point-estimate overconfidence</x:v>
      </x:c>
      <x:c r="G11" t="str">
        <x:v>NO</x:v>
      </x:c>
      <x:c r="H11" t="str">
        <x:v>Calibration coverage</x:v>
      </x:c>
      <x:c r="I11" t="str">
        <x:v>ACTIVE</x:v>
      </x:c>
    </x:row>
    <x:row r="12">
      <x:c r="A12" t="str">
        <x:v>Decision influence</x:v>
      </x:c>
      <x:c r="B12" t="str">
        <x:v>0%</x:v>
      </x:c>
      <x:c r="C12" t="str">
        <x:v>Model is not validated</x:v>
      </x:c>
      <x:c r="D12" t="str">
        <x:v>Only OOS promotion</x:v>
      </x:c>
      <x:c r="E12" t="str">
        <x:v>No manual override</x:v>
      </x:c>
      <x:c r="F12" t="str">
        <x:v>Self-confirmation</x:v>
      </x:c>
      <x:c r="G12" t="str">
        <x:v>NO</x:v>
      </x:c>
      <x:c r="H12" t="str">
        <x:v>Beat market/brain benchmark</x:v>
      </x:c>
      <x:c r="I12" t="str">
        <x:v>LOCKED</x:v>
      </x:c>
    </x:row>
  </x:sheetData>
  <x:mergeCells>
    <x:mergeCell ref="A1:I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0" hidden="0" customWidth="1"/>
    <x:col min="5" max="5" width="20" hidden="0" customWidth="1"/>
    <x:col min="6" max="6" width="9" hidden="0" customWidth="1"/>
    <x:col min="7" max="7" width="9" hidden="0" customWidth="1"/>
    <x:col min="8" max="8" width="9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8" hidden="0" customWidth="1"/>
    <x:col min="38" max="38" width="18" hidden="0" customWidth="1"/>
    <x:col min="39" max="39" width="14" hidden="0" customWidth="1"/>
    <x:col min="40" max="40" width="14" hidden="0" customWidth="1"/>
    <x:col min="41" max="41" width="14" hidden="0" customWidth="1"/>
    <x:col min="42" max="42" width="48" hidden="0" customWidth="1"/>
    <x:col min="44" max="44" width="30" hidden="0" customWidth="1"/>
    <x:col min="45" max="45" width="18" hidden="0" customWidth="1"/>
    <x:col min="46" max="46" width="18" hidden="0" customWidth="1"/>
    <x:col min="47" max="47" width="18" hidden="0" customWidth="1"/>
    <x:col min="48" max="48" width="36" hidden="0" customWidth="1"/>
  </x:cols>
  <x:sheetData>
    <x:row r="1">
      <x:c r="A1" s="733" t="str">
        <x:v>BETTING INTELLIGENCE v0.4.2 — WALK-FORWARD BAYESIAN MEMORY ENGINE</x:v>
      </x:c>
      <x:c r="B1" s="733"/>
      <x:c r="C1" s="733"/>
      <x:c r="D1" s="733"/>
      <x:c r="E1" s="733"/>
      <x:c r="F1" s="733"/>
      <x:c r="G1" s="733"/>
      <x:c r="H1" s="733"/>
      <x:c r="I1" s="733"/>
      <x:c r="J1" s="733"/>
      <x:c r="K1" s="733"/>
      <x:c r="L1" s="733"/>
      <x:c r="M1" s="733"/>
      <x:c r="N1" s="733"/>
      <x:c r="O1" s="733"/>
      <x:c r="P1" s="733"/>
      <x:c r="Q1" s="733"/>
      <x:c r="R1" s="733"/>
      <x:c r="S1" s="733"/>
      <x:c r="T1" s="733"/>
      <x:c r="U1" s="733"/>
      <x:c r="V1" s="733"/>
      <x:c r="W1" s="733"/>
      <x:c r="X1" s="733"/>
      <x:c r="Y1" s="733"/>
      <x:c r="Z1" s="733"/>
      <x:c r="AA1" s="733"/>
      <x:c r="AB1" s="733"/>
      <x:c r="AC1" s="733"/>
      <x:c r="AD1" s="733"/>
      <x:c r="AE1" s="733"/>
      <x:c r="AF1" s="733"/>
      <x:c r="AG1" s="733"/>
      <x:c r="AH1" s="733"/>
      <x:c r="AI1" s="733"/>
      <x:c r="AJ1" s="733"/>
      <x:c r="AK1" s="733"/>
      <x:c r="AL1" s="733"/>
      <x:c r="AM1" s="733"/>
      <x:c r="AN1" s="733"/>
      <x:c r="AO1" s="733"/>
      <x:c r="AP1" s="15"/>
      <x:c r="AQ1" s="15"/>
      <x:c r="AR1" s="15"/>
      <x:c r="AS1" s="15"/>
      <x:c r="AT1" s="15"/>
      <x:c r="AU1" s="15"/>
      <x:c r="AV1" s="15"/>
    </x:row>
    <x:row r="2">
      <x:c r="A2" s="705" t="str">
        <x:v>2025 prior is fixed before 2026. Every 2026 prediction uses only rows above it; result is applied only after prediction.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</x:row>
    <x:row r="4">
      <x:c r="A4" s="710" t="str">
        <x:v>Seq</x:v>
      </x:c>
      <x:c r="B4" s="710" t="str">
        <x:v>Match_ID</x:v>
      </x:c>
      <x:c r="C4" s="710" t="str">
        <x:v>Date</x:v>
      </x:c>
      <x:c r="D4" s="710" t="str">
        <x:v>Home</x:v>
      </x:c>
      <x:c r="E4" s="710" t="str">
        <x:v>Away</x:v>
      </x:c>
      <x:c r="F4" s="710" t="str">
        <x:v>HG</x:v>
      </x:c>
      <x:c r="G4" s="710" t="str">
        <x:v>AG</x:v>
      </x:c>
      <x:c r="H4" s="710" t="str">
        <x:v>Total</x:v>
      </x:c>
      <x:c r="I4" s="710" t="str">
        <x:v>O3.5</x:v>
      </x:c>
      <x:c r="J4" s="710" t="str">
        <x:v>U3.5</x:v>
      </x:c>
      <x:c r="K4" s="710" t="str">
        <x:v>Market_P_U35</x:v>
      </x:c>
      <x:c r="L4" s="710" t="str">
        <x:v>Home_Prior_N</x:v>
      </x:c>
      <x:c r="M4" s="710" t="str">
        <x:v>Away_Prior_N</x:v>
      </x:c>
      <x:c r="N4" s="710" t="str">
        <x:v>Home_GF_Prior</x:v>
      </x:c>
      <x:c r="O4" s="710" t="str">
        <x:v>Home_GA_Prior</x:v>
      </x:c>
      <x:c r="P4" s="710" t="str">
        <x:v>Away_GF_Prior</x:v>
      </x:c>
      <x:c r="Q4" s="710" t="str">
        <x:v>Away_GA_Prior</x:v>
      </x:c>
      <x:c r="R4" s="710" t="str">
        <x:v>Prior_Mean</x:v>
      </x:c>
      <x:c r="S4" s="710" t="str">
        <x:v>Prior_Strength</x:v>
      </x:c>
      <x:c r="T4" s="710" t="str">
        <x:v>Home_Att_Post</x:v>
      </x:c>
      <x:c r="U4" s="710" t="str">
        <x:v>Home_Def_Post</x:v>
      </x:c>
      <x:c r="V4" s="710" t="str">
        <x:v>Away_Att_Post</x:v>
      </x:c>
      <x:c r="W4" s="710" t="str">
        <x:v>Away_Def_Post</x:v>
      </x:c>
      <x:c r="X4" s="710" t="str">
        <x:v>λ_Home</x:v>
      </x:c>
      <x:c r="Y4" s="710" t="str">
        <x:v>λ_Away</x:v>
      </x:c>
      <x:c r="Z4" s="710" t="str">
        <x:v>λ_Total</x:v>
      </x:c>
      <x:c r="AA4" s="710" t="str">
        <x:v>Bayes_P_U35</x:v>
      </x:c>
      <x:c r="AB4" s="710" t="str">
        <x:v>Edge_vs_Market</x:v>
      </x:c>
      <x:c r="AC4" s="710" t="str">
        <x:v>Bayes_EV</x:v>
      </x:c>
      <x:c r="AD4" s="710" t="str">
        <x:v>Outcome_1_0</x:v>
      </x:c>
      <x:c r="AE4" s="710" t="str">
        <x:v>Bayes_Brier</x:v>
      </x:c>
      <x:c r="AF4" s="710" t="str">
        <x:v>Market_Brier</x:v>
      </x:c>
      <x:c r="AG4" s="710" t="str">
        <x:v>Bayes_LogLoss</x:v>
      </x:c>
      <x:c r="AH4" s="710" t="str">
        <x:v>Market_LogLoss</x:v>
      </x:c>
      <x:c r="AI4" s="710" t="str">
        <x:v>Prior_Dominance_H</x:v>
      </x:c>
      <x:c r="AJ4" s="710" t="str">
        <x:v>Prior_Dominance_A</x:v>
      </x:c>
      <x:c r="AK4" s="710" t="str">
        <x:v>Warmup_Class</x:v>
      </x:c>
      <x:c r="AL4" s="710" t="str">
        <x:v>Value_Flag</x:v>
      </x:c>
      <x:c r="AM4" s="710" t="str">
        <x:v>Paper_Profit</x:v>
      </x:c>
      <x:c r="AN4" s="710" t="str">
        <x:v>Market_Profit</x:v>
      </x:c>
      <x:c r="AO4" s="710" t="str">
        <x:v>Integrity</x:v>
      </x:c>
      <x:c r="AP4" s="710" t="str">
        <x:v>Source</x:v>
      </x:c>
      <x:c r="AR4" s="714" t="str">
        <x:v>WALK-FORWARD SCORECARD</x:v>
      </x:c>
      <x:c r="AS4" s="714" t="str">
        <x:v>Value</x:v>
      </x:c>
      <x:c r="AT4" s="714" t="str">
        <x:v>Market / Benchmark</x:v>
      </x:c>
      <x:c r="AU4" s="714" t="str">
        <x:v>Delta</x:v>
      </x:c>
      <x:c r="AV4" s="714" t="str">
        <x:v>Interpretation</x:v>
      </x:c>
    </x:row>
    <x:row r="5">
      <x:c r="A5" t="n">
        <x:v>1</x:v>
      </x:c>
      <x:c r="B5" t="str">
        <x:f>'Normalized_History_v0.2.1'!A4</x:f>
        <x:v>97190</x:v>
      </x:c>
      <x:c r="C5" s="28" t="str">
        <x:f>'Normalized_History_v0.2.1'!B4</x:f>
        <x:v>2026-02-21</x:v>
      </x:c>
      <x:c r="D5" t="str">
        <x:f>'Normalized_History_v0.2.1'!D4</x:f>
        <x:v>St. Louis City</x:v>
      </x:c>
      <x:c r="E5" t="str">
        <x:f>'Normalized_History_v0.2.1'!E4</x:f>
        <x:v>Charlotte</x:v>
      </x:c>
      <x:c r="F5" t="n">
        <x:f>'Normalized_History_v0.2.1'!F4</x:f>
        <x:v>1</x:v>
      </x:c>
      <x:c r="G5" t="n">
        <x:f>'Normalized_History_v0.2.1'!G4</x:f>
        <x:v>1</x:v>
      </x:c>
      <x:c r="H5" t="n">
        <x:f>F5+G5</x:f>
        <x:v>2</x:v>
      </x:c>
      <x:c r="I5" s="30" t="n">
        <x:f>'Normalized_History_v0.2.1'!K4</x:f>
        <x:v>2.82</x:v>
      </x:c>
      <x:c r="J5" s="30" t="n">
        <x:f>'Normalized_History_v0.2.1'!L4</x:f>
        <x:v>1.45</x:v>
      </x:c>
      <x:c r="K5" s="32" t="n">
        <x:f>(1/J5)/((1/J5)+(1/I5))</x:f>
        <x:v>0.6604215456674473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1.5</x:v>
      </x:c>
      <x:c r="S5" t="n">
        <x:v>5</x:v>
      </x:c>
      <x:c r="T5" s="96" t="n">
        <x:f>(R5*S5+N5)/(S5+L5)</x:f>
        <x:v>1.5</x:v>
      </x:c>
      <x:c r="U5" s="96" t="n">
        <x:f>(R5*S5+O5)/(S5+L5)</x:f>
        <x:v>1.5</x:v>
      </x:c>
      <x:c r="V5" s="96" t="n">
        <x:f>(R5*S5+P5)/(S5+M5)</x:f>
        <x:v>1.5</x:v>
      </x:c>
      <x:c r="W5" s="96" t="n">
        <x:f>(R5*S5+Q5)/(S5+M5)</x:f>
        <x:v>1.5</x:v>
      </x:c>
      <x:c r="X5" s="96" t="n">
        <x:f>T5*W5/R5</x:f>
        <x:v>1.5</x:v>
      </x:c>
      <x:c r="Y5" s="96" t="n">
        <x:f>V5*U5/R5</x:f>
        <x:v>1.5</x:v>
      </x:c>
      <x:c r="Z5" s="96" t="n">
        <x:f>X5+Y5</x:f>
        <x:v>3</x:v>
      </x:c>
      <x:c r="AA5" s="32" t="n">
        <x:f>EXP(-Z5)*(1+Z5+Z5^2/2+Z5^3/6)</x:f>
        <x:v>0.6472318887822313</x:v>
      </x:c>
      <x:c r="AB5" s="32" t="n">
        <x:f>AA5-K5</x:f>
        <x:v>-0.013189656885216006</x:v>
      </x:c>
      <x:c r="AC5" s="32" t="n">
        <x:f>AA5*J5-1</x:f>
        <x:v>-0.06151376126576469</x:v>
      </x:c>
      <x:c r="AD5" s="32" t="n">
        <x:f>IF(H5&lt;=3,1,0)</x:f>
        <x:v>1</x:v>
      </x:c>
      <x:c r="AE5" s="32" t="n">
        <x:f>(AA5-AD5)^2</x:f>
        <x:v>0.12444534029215205</x:v>
      </x:c>
      <x:c r="AF5" s="32" t="n">
        <x:f>(K5-AD5)^2</x:f>
        <x:v>0.1153135266468856</x:v>
      </x:c>
      <x:c r="AG5" s="32" t="n">
        <x:f>-1*(AD5*LN(AA5)+(1-AD5)*LN(1-AA5))</x:f>
        <x:v>0.43505064253846326</x:v>
      </x:c>
      <x:c r="AH5" s="32" t="n">
        <x:f>-1*(AD5*LN(K5)+(1-AD5)*LN(1-K5))</x:f>
        <x:v>0.41487694229051103</x:v>
      </x:c>
      <x:c r="AI5" s="32" t="n">
        <x:f>S5/(S5+L5)</x:f>
        <x:v>1</x:v>
      </x:c>
      <x:c r="AJ5" s="32" t="n">
        <x:f>S5/(S5+M5)</x:f>
        <x:v>1</x:v>
      </x:c>
      <x:c r="AK5" t="str">
        <x:f>IF(MIN(L5,M5)&gt;=3,"VALIDATION",IF(MIN(L5,M5)&gt;=1,"RESEARCH","PRIOR-DOMINATED"))</x:f>
        <x:v>PRIOR-DOMINATED</x:v>
      </x:c>
      <x:c r="AL5" t="str">
        <x:f>IF(AND(AB5&gt;=0.05,AC5&gt;=0.03,AK5&lt;&gt;"PRIOR-DOMINATED"),"PAPER VALUE","NO")</x:f>
        <x:v>NO</x:v>
      </x:c>
      <x:c r="AM5" s="30" t="str">
        <x:f>IF(AL5&lt;&gt;"PAPER VALUE","",IF(AD5=1,J5-1,-1))</x:f>
      </x:c>
      <x:c r="AN5" s="30" t="n">
        <x:f>IF(AD5=1,J5-1,-1)</x:f>
        <x:v>0.44999999999999996</x:v>
      </x:c>
      <x:c r="AO5" t="str">
        <x:f>IF(AND(R5=1.5,S5=5),"PASS","FAIL")</x:f>
        <x:v>PASS</x:v>
      </x:c>
      <x:c r="AP5" t="str">
        <x:v>https://footiqo.com/database/leagues/usa-mls/</x:v>
      </x:c>
      <x:c r="AR5" s="716" t="str">
        <x:v>Seed N</x:v>
      </x:c>
      <x:c r="AS5" t="n">
        <x:v>25</x:v>
      </x:c>
      <x:c r="AT5" t="str"/>
      <x:c r="AU5" t="str"/>
      <x:c r="AV5" t="str">
        <x:v>All chronological rows</x:v>
      </x:c>
    </x:row>
    <x:row r="6">
      <x:c r="A6" t="n">
        <x:v>2</x:v>
      </x:c>
      <x:c r="B6" t="str">
        <x:f>'Normalized_History_v0.2.1'!A5</x:f>
        <x:v>97189</x:v>
      </x:c>
      <x:c r="C6" s="28" t="str">
        <x:f>'Normalized_History_v0.2.1'!B5</x:f>
        <x:v>2026-02-21</x:v>
      </x:c>
      <x:c r="D6" t="str">
        <x:f>'Normalized_History_v0.2.1'!D5</x:f>
        <x:v>FC Cincinnati</x:v>
      </x:c>
      <x:c r="E6" t="str">
        <x:f>'Normalized_History_v0.2.1'!E5</x:f>
        <x:v>Atlanta Utd</x:v>
      </x:c>
      <x:c r="F6" t="n">
        <x:f>'Normalized_History_v0.2.1'!F5</x:f>
        <x:v>2</x:v>
      </x:c>
      <x:c r="G6" t="n">
        <x:f>'Normalized_History_v0.2.1'!G5</x:f>
        <x:v>0</x:v>
      </x:c>
      <x:c r="H6" t="n">
        <x:f>F6+G6</x:f>
        <x:v>2</x:v>
      </x:c>
      <x:c r="I6" s="30" t="n">
        <x:f>'Normalized_History_v0.2.1'!K5</x:f>
        <x:v>2.57</x:v>
      </x:c>
      <x:c r="J6" s="30" t="n">
        <x:f>'Normalized_History_v0.2.1'!L5</x:f>
        <x:v>1.4</x:v>
      </x:c>
      <x:c r="K6" s="32" t="n">
        <x:f>(1/J6)/((1/J6)+(1/I6))</x:f>
        <x:v>0.6473551637279596</x:v>
      </x:c>
      <x:c r="L6" t="n">
        <x:f>COUNTIF($D$5:D5,D6)+COUNTIF($E$5:E5,D6)</x:f>
        <x:v>0</x:v>
      </x:c>
      <x:c r="M6" t="n">
        <x:f>COUNTIF($D$5:D5,E6)+COUNTIF($E$5:E5,E6)</x:f>
        <x:v>0</x:v>
      </x:c>
      <x:c r="N6" t="n">
        <x:f>SUMIF($D$5:D5,D6,$F$5:F5)+SUMIF($E$5:E5,D6,$G$5:G5)</x:f>
        <x:v>0</x:v>
      </x:c>
      <x:c r="O6" t="n">
        <x:f>SUMIF($D$5:D5,D6,$G$5:G5)+SUMIF($E$5:E5,D6,$F$5:F5)</x:f>
        <x:v>0</x:v>
      </x:c>
      <x:c r="P6" t="n">
        <x:f>SUMIF($D$5:D5,E6,$F$5:F5)+SUMIF($E$5:E5,E6,$G$5:G5)</x:f>
        <x:v>0</x:v>
      </x:c>
      <x:c r="Q6" t="n">
        <x:f>SUMIF($D$5:D5,E6,$G$5:G5)+SUMIF($E$5:E5,E6,$F$5:F5)</x:f>
        <x:v>0</x:v>
      </x:c>
      <x:c r="R6" t="n">
        <x:v>1.5</x:v>
      </x:c>
      <x:c r="S6" t="n">
        <x:v>5</x:v>
      </x:c>
      <x:c r="T6" s="96" t="n">
        <x:f>(R6*S6+N6)/(S6+L6)</x:f>
        <x:v>1.5</x:v>
      </x:c>
      <x:c r="U6" s="96" t="n">
        <x:f>(R6*S6+O6)/(S6+L6)</x:f>
        <x:v>1.5</x:v>
      </x:c>
      <x:c r="V6" s="96" t="n">
        <x:f>(R6*S6+P6)/(S6+M6)</x:f>
        <x:v>1.5</x:v>
      </x:c>
      <x:c r="W6" s="96" t="n">
        <x:f>(R6*S6+Q6)/(S6+M6)</x:f>
        <x:v>1.5</x:v>
      </x:c>
      <x:c r="X6" s="96" t="n">
        <x:f>T6*W6/R6</x:f>
        <x:v>1.5</x:v>
      </x:c>
      <x:c r="Y6" s="96" t="n">
        <x:f>V6*U6/R6</x:f>
        <x:v>1.5</x:v>
      </x:c>
      <x:c r="Z6" s="96" t="n">
        <x:f>X6+Y6</x:f>
        <x:v>3</x:v>
      </x:c>
      <x:c r="AA6" s="32" t="n">
        <x:f>EXP(-Z6)*(1+Z6+Z6^2/2+Z6^3/6)</x:f>
        <x:v>0.6472318887822313</x:v>
      </x:c>
      <x:c r="AB6" s="32" t="n">
        <x:f>AA6-K6</x:f>
        <x:v>-0.00012327494572839104</x:v>
      </x:c>
      <x:c r="AC6" s="32" t="n">
        <x:f>AA6*J6-1</x:f>
        <x:v>-0.09387535570487626</x:v>
      </x:c>
      <x:c r="AD6" s="32" t="n">
        <x:f>IF(H6&lt;=3,1,0)</x:f>
        <x:v>1</x:v>
      </x:c>
      <x:c r="AE6" s="32" t="n">
        <x:f>(AA6-AD6)^2</x:f>
        <x:v>0.12444534029215205</x:v>
      </x:c>
      <x:c r="AF6" s="32" t="n">
        <x:f>(K6-AD6)^2</x:f>
        <x:v>0.12435838054933415</x:v>
      </x:c>
      <x:c r="AG6" s="32" t="n">
        <x:f>-1*(AD6*LN(AA6)+(1-AD6)*LN(1-AA6))</x:f>
        <x:v>0.43505064253846326</x:v>
      </x:c>
      <x:c r="AH6" s="32" t="n">
        <x:f>-1*(AD6*LN(K6)+(1-AD6)*LN(1-K6))</x:f>
        <x:v>0.4348601957919707</x:v>
      </x:c>
      <x:c r="AI6" s="32" t="n">
        <x:f>S6/(S6+L6)</x:f>
        <x:v>1</x:v>
      </x:c>
      <x:c r="AJ6" s="32" t="n">
        <x:f>S6/(S6+M6)</x:f>
        <x:v>1</x:v>
      </x:c>
      <x:c r="AK6" t="str">
        <x:f>IF(MIN(L6,M6)&gt;=3,"VALIDATION",IF(MIN(L6,M6)&gt;=1,"RESEARCH","PRIOR-DOMINATED"))</x:f>
        <x:v>PRIOR-DOMINATED</x:v>
      </x:c>
      <x:c r="AL6" t="str">
        <x:f>IF(AND(AB6&gt;=0.05,AC6&gt;=0.03,AK6&lt;&gt;"PRIOR-DOMINATED"),"PAPER VALUE","NO")</x:f>
        <x:v>NO</x:v>
      </x:c>
      <x:c r="AM6" s="30" t="str">
        <x:f>IF(AL6&lt;&gt;"PAPER VALUE","",IF(AD6=1,J6-1,-1))</x:f>
      </x:c>
      <x:c r="AN6" s="30" t="n">
        <x:f>IF(AD6=1,J6-1,-1)</x:f>
        <x:v>0.3999999999999999</x:v>
      </x:c>
      <x:c r="AO6" t="str">
        <x:f>IF(AND(R6=1.5,S6=5),"PASS","FAIL")</x:f>
        <x:v>PASS</x:v>
      </x:c>
      <x:c r="AP6" t="str">
        <x:v>https://footiqo.com/database/leagues/usa-mls/</x:v>
      </x:c>
      <x:c r="AR6" s="716" t="str">
        <x:v>Prior source</x:v>
      </x:c>
      <x:c r="AS6" t="str">
        <x:v>MLS 2025: 1530 goals / 510 matches</x:v>
      </x:c>
      <x:c r="AT6" t="str">
        <x:v>1.50 goals/team/match</x:v>
      </x:c>
      <x:c r="AU6" t="str"/>
      <x:c r="AV6" t="str">
        <x:v>Fixed before 2026</x:v>
      </x:c>
    </x:row>
    <x:row r="7">
      <x:c r="A7" t="n">
        <x:v>3</x:v>
      </x:c>
      <x:c r="B7" t="str">
        <x:f>'Normalized_History_v0.2.1'!A6</x:f>
        <x:v>97193</x:v>
      </x:c>
      <x:c r="C7" s="28" t="str">
        <x:f>'Normalized_History_v0.2.1'!B6</x:f>
        <x:v>2026-02-22</x:v>
      </x:c>
      <x:c r="D7" t="str">
        <x:f>'Normalized_History_v0.2.1'!D6</x:f>
        <x:v>DC United</x:v>
      </x:c>
      <x:c r="E7" t="str">
        <x:f>'Normalized_History_v0.2.1'!E6</x:f>
        <x:v>Philadelphia Union</x:v>
      </x:c>
      <x:c r="F7" t="n">
        <x:f>'Normalized_History_v0.2.1'!F6</x:f>
        <x:v>1</x:v>
      </x:c>
      <x:c r="G7" t="n">
        <x:f>'Normalized_History_v0.2.1'!G6</x:f>
        <x:v>0</x:v>
      </x:c>
      <x:c r="H7" t="n">
        <x:f>F7+G7</x:f>
        <x:v>1</x:v>
      </x:c>
      <x:c r="I7" s="30" t="n">
        <x:f>'Normalized_History_v0.2.1'!K6</x:f>
        <x:v>4.05</x:v>
      </x:c>
      <x:c r="J7" s="30" t="n">
        <x:f>'Normalized_History_v0.2.1'!L6</x:f>
        <x:v>1.25</x:v>
      </x:c>
      <x:c r="K7" s="32" t="n">
        <x:f>(1/J7)/((1/J7)+(1/I7))</x:f>
        <x:v>0.7641509433962265</x:v>
      </x:c>
      <x:c r="L7" t="n">
        <x:f>COUNTIF($D$5:D6,D7)+COUNTIF($E$5:E6,D7)</x:f>
        <x:v>0</x:v>
      </x:c>
      <x:c r="M7" t="n">
        <x:f>COUNTIF($D$5:D6,E7)+COUNTIF($E$5:E6,E7)</x:f>
        <x:v>0</x:v>
      </x:c>
      <x:c r="N7" t="n">
        <x:f>SUMIF($D$5:D6,D7,$F$5:F6)+SUMIF($E$5:E6,D7,$G$5:G6)</x:f>
        <x:v>0</x:v>
      </x:c>
      <x:c r="O7" t="n">
        <x:f>SUMIF($D$5:D6,D7,$G$5:G6)+SUMIF($E$5:E6,D7,$F$5:F6)</x:f>
        <x:v>0</x:v>
      </x:c>
      <x:c r="P7" t="n">
        <x:f>SUMIF($D$5:D6,E7,$F$5:F6)+SUMIF($E$5:E6,E7,$G$5:G6)</x:f>
        <x:v>0</x:v>
      </x:c>
      <x:c r="Q7" t="n">
        <x:f>SUMIF($D$5:D6,E7,$G$5:G6)+SUMIF($E$5:E6,E7,$F$5:F6)</x:f>
        <x:v>0</x:v>
      </x:c>
      <x:c r="R7" t="n">
        <x:v>1.5</x:v>
      </x:c>
      <x:c r="S7" t="n">
        <x:v>5</x:v>
      </x:c>
      <x:c r="T7" s="96" t="n">
        <x:f>(R7*S7+N7)/(S7+L7)</x:f>
        <x:v>1.5</x:v>
      </x:c>
      <x:c r="U7" s="96" t="n">
        <x:f>(R7*S7+O7)/(S7+L7)</x:f>
        <x:v>1.5</x:v>
      </x:c>
      <x:c r="V7" s="96" t="n">
        <x:f>(R7*S7+P7)/(S7+M7)</x:f>
        <x:v>1.5</x:v>
      </x:c>
      <x:c r="W7" s="96" t="n">
        <x:f>(R7*S7+Q7)/(S7+M7)</x:f>
        <x:v>1.5</x:v>
      </x:c>
      <x:c r="X7" s="96" t="n">
        <x:f>T7*W7/R7</x:f>
        <x:v>1.5</x:v>
      </x:c>
      <x:c r="Y7" s="96" t="n">
        <x:f>V7*U7/R7</x:f>
        <x:v>1.5</x:v>
      </x:c>
      <x:c r="Z7" s="96" t="n">
        <x:f>X7+Y7</x:f>
        <x:v>3</x:v>
      </x:c>
      <x:c r="AA7" s="32" t="n">
        <x:f>EXP(-Z7)*(1+Z7+Z7^2/2+Z7^3/6)</x:f>
        <x:v>0.6472318887822313</x:v>
      </x:c>
      <x:c r="AB7" s="32" t="n">
        <x:f>AA7-K7</x:f>
        <x:v>-0.11691905461399521</x:v>
      </x:c>
      <x:c r="AC7" s="32" t="n">
        <x:f>AA7*J7-1</x:f>
        <x:v>-0.19096013902221087</x:v>
      </x:c>
      <x:c r="AD7" s="32" t="n">
        <x:f>IF(H7&lt;=3,1,0)</x:f>
        <x:v>1</x:v>
      </x:c>
      <x:c r="AE7" s="32" t="n">
        <x:f>(AA7-AD7)^2</x:f>
        <x:v>0.12444534029215205</x:v>
      </x:c>
      <x:c r="AF7" s="32" t="n">
        <x:f>(K7-AD7)^2</x:f>
        <x:v>0.05562477750088997</x:v>
      </x:c>
      <x:c r="AG7" s="32" t="n">
        <x:f>-1*(AD7*LN(AA7)+(1-AD7)*LN(1-AA7))</x:f>
        <x:v>0.43505064253846326</x:v>
      </x:c>
      <x:c r="AH7" s="32" t="n">
        <x:f>-1*(AD7*LN(K7)+(1-AD7)*LN(1-K7))</x:f>
        <x:v>0.2689899394396283</x:v>
      </x:c>
      <x:c r="AI7" s="32" t="n">
        <x:f>S7/(S7+L7)</x:f>
        <x:v>1</x:v>
      </x:c>
      <x:c r="AJ7" s="32" t="n">
        <x:f>S7/(S7+M7)</x:f>
        <x:v>1</x:v>
      </x:c>
      <x:c r="AK7" t="str">
        <x:f>IF(MIN(L7,M7)&gt;=3,"VALIDATION",IF(MIN(L7,M7)&gt;=1,"RESEARCH","PRIOR-DOMINATED"))</x:f>
        <x:v>PRIOR-DOMINATED</x:v>
      </x:c>
      <x:c r="AL7" t="str">
        <x:f>IF(AND(AB7&gt;=0.05,AC7&gt;=0.03,AK7&lt;&gt;"PRIOR-DOMINATED"),"PAPER VALUE","NO")</x:f>
        <x:v>NO</x:v>
      </x:c>
      <x:c r="AM7" s="30" t="str">
        <x:f>IF(AL7&lt;&gt;"PAPER VALUE","",IF(AD7=1,J7-1,-1))</x:f>
      </x:c>
      <x:c r="AN7" s="30" t="n">
        <x:f>IF(AD7=1,J7-1,-1)</x:f>
        <x:v>0.25</x:v>
      </x:c>
      <x:c r="AO7" t="str">
        <x:f>IF(AND(R7=1.5,S7=5),"PASS","FAIL")</x:f>
        <x:v>PASS</x:v>
      </x:c>
      <x:c r="AP7" t="str">
        <x:v>https://footiqo.com/database/leagues/usa-mls/</x:v>
      </x:c>
      <x:c r="AR7" s="716" t="str">
        <x:v>Prior strength</x:v>
      </x:c>
      <x:c r="AS7" t="n">
        <x:v>5</x:v>
      </x:c>
      <x:c r="AT7" t="str">
        <x:v>Sensitivity only; not tuned</x:v>
      </x:c>
      <x:c r="AU7" t="str"/>
      <x:c r="AV7" t="str">
        <x:v>Equivalent 5 matches</x:v>
      </x:c>
    </x:row>
    <x:row r="8">
      <x:c r="A8" t="n">
        <x:v>4</x:v>
      </x:c>
      <x:c r="B8" t="str">
        <x:f>'Normalized_History_v0.2.1'!A7</x:f>
        <x:v>97194</x:v>
      </x:c>
      <x:c r="C8" s="28" t="str">
        <x:f>'Normalized_History_v0.2.1'!B7</x:f>
        <x:v>2026-02-22</x:v>
      </x:c>
      <x:c r="D8" t="str">
        <x:f>'Normalized_History_v0.2.1'!D7</x:f>
        <x:v>Orlando City</x:v>
      </x:c>
      <x:c r="E8" t="str">
        <x:f>'Normalized_History_v0.2.1'!E7</x:f>
        <x:v>New York Red Bulls</x:v>
      </x:c>
      <x:c r="F8" t="n">
        <x:f>'Normalized_History_v0.2.1'!F7</x:f>
        <x:v>1</x:v>
      </x:c>
      <x:c r="G8" t="n">
        <x:f>'Normalized_History_v0.2.1'!G7</x:f>
        <x:v>2</x:v>
      </x:c>
      <x:c r="H8" t="n">
        <x:f>F8+G8</x:f>
        <x:v>3</x:v>
      </x:c>
      <x:c r="I8" s="30" t="n">
        <x:f>'Normalized_History_v0.2.1'!K7</x:f>
        <x:v>2.53</x:v>
      </x:c>
      <x:c r="J8" s="30" t="n">
        <x:f>'Normalized_History_v0.2.1'!L7</x:f>
        <x:v>1.54</x:v>
      </x:c>
      <x:c r="K8" s="32" t="n">
        <x:f>(1/J8)/((1/J8)+(1/I8))</x:f>
        <x:v>0.6216216216216216</x:v>
      </x:c>
      <x:c r="L8" t="n">
        <x:f>COUNTIF($D$5:D7,D8)+COUNTIF($E$5:E7,D8)</x:f>
        <x:v>0</x:v>
      </x:c>
      <x:c r="M8" t="n">
        <x:f>COUNTIF($D$5:D7,E8)+COUNTIF($E$5:E7,E8)</x:f>
        <x:v>0</x:v>
      </x:c>
      <x:c r="N8" t="n">
        <x:f>SUMIF($D$5:D7,D8,$F$5:F7)+SUMIF($E$5:E7,D8,$G$5:G7)</x:f>
        <x:v>0</x:v>
      </x:c>
      <x:c r="O8" t="n">
        <x:f>SUMIF($D$5:D7,D8,$G$5:G7)+SUMIF($E$5:E7,D8,$F$5:F7)</x:f>
        <x:v>0</x:v>
      </x:c>
      <x:c r="P8" t="n">
        <x:f>SUMIF($D$5:D7,E8,$F$5:F7)+SUMIF($E$5:E7,E8,$G$5:G7)</x:f>
        <x:v>0</x:v>
      </x:c>
      <x:c r="Q8" t="n">
        <x:f>SUMIF($D$5:D7,E8,$G$5:G7)+SUMIF($E$5:E7,E8,$F$5:F7)</x:f>
        <x:v>0</x:v>
      </x:c>
      <x:c r="R8" t="n">
        <x:v>1.5</x:v>
      </x:c>
      <x:c r="S8" t="n">
        <x:v>5</x:v>
      </x:c>
      <x:c r="T8" s="96" t="n">
        <x:f>(R8*S8+N8)/(S8+L8)</x:f>
        <x:v>1.5</x:v>
      </x:c>
      <x:c r="U8" s="96" t="n">
        <x:f>(R8*S8+O8)/(S8+L8)</x:f>
        <x:v>1.5</x:v>
      </x:c>
      <x:c r="V8" s="96" t="n">
        <x:f>(R8*S8+P8)/(S8+M8)</x:f>
        <x:v>1.5</x:v>
      </x:c>
      <x:c r="W8" s="96" t="n">
        <x:f>(R8*S8+Q8)/(S8+M8)</x:f>
        <x:v>1.5</x:v>
      </x:c>
      <x:c r="X8" s="96" t="n">
        <x:f>T8*W8/R8</x:f>
        <x:v>1.5</x:v>
      </x:c>
      <x:c r="Y8" s="96" t="n">
        <x:f>V8*U8/R8</x:f>
        <x:v>1.5</x:v>
      </x:c>
      <x:c r="Z8" s="96" t="n">
        <x:f>X8+Y8</x:f>
        <x:v>3</x:v>
      </x:c>
      <x:c r="AA8" s="32" t="n">
        <x:f>EXP(-Z8)*(1+Z8+Z8^2/2+Z8^3/6)</x:f>
        <x:v>0.6472318887822313</x:v>
      </x:c>
      <x:c r="AB8" s="32" t="n">
        <x:f>AA8-K8</x:f>
        <x:v>0.025610267160609657</x:v>
      </x:c>
      <x:c r="AC8" s="32" t="n">
        <x:f>AA8*J8-1</x:f>
        <x:v>-0.003262891275363833</x:v>
      </x:c>
      <x:c r="AD8" s="32" t="n">
        <x:f>IF(H8&lt;=3,1,0)</x:f>
        <x:v>1</x:v>
      </x:c>
      <x:c r="AE8" s="32" t="n">
        <x:f>(AA8-AD8)^2</x:f>
        <x:v>0.12444534029215205</x:v>
      </x:c>
      <x:c r="AF8" s="32" t="n">
        <x:f>(K8-AD8)^2</x:f>
        <x:v>0.14317019722425128</x:v>
      </x:c>
      <x:c r="AG8" s="32" t="n">
        <x:f>-1*(AD8*LN(AA8)+(1-AD8)*LN(1-AA8))</x:f>
        <x:v>0.43505064253846326</x:v>
      </x:c>
      <x:c r="AH8" s="32" t="n">
        <x:f>-1*(AD8*LN(K8)+(1-AD8)*LN(1-K8))</x:f>
        <x:v>0.4754236967150748</x:v>
      </x:c>
      <x:c r="AI8" s="32" t="n">
        <x:f>S8/(S8+L8)</x:f>
        <x:v>1</x:v>
      </x:c>
      <x:c r="AJ8" s="32" t="n">
        <x:f>S8/(S8+M8)</x:f>
        <x:v>1</x:v>
      </x:c>
      <x:c r="AK8" t="str">
        <x:f>IF(MIN(L8,M8)&gt;=3,"VALIDATION",IF(MIN(L8,M8)&gt;=1,"RESEARCH","PRIOR-DOMINATED"))</x:f>
        <x:v>PRIOR-DOMINATED</x:v>
      </x:c>
      <x:c r="AL8" t="str">
        <x:f>IF(AND(AB8&gt;=0.05,AC8&gt;=0.03,AK8&lt;&gt;"PRIOR-DOMINATED"),"PAPER VALUE","NO")</x:f>
        <x:v>NO</x:v>
      </x:c>
      <x:c r="AM8" s="30" t="str">
        <x:f>IF(AL8&lt;&gt;"PAPER VALUE","",IF(AD8=1,J8-1,-1))</x:f>
      </x:c>
      <x:c r="AN8" s="30" t="n">
        <x:f>IF(AD8=1,J8-1,-1)</x:f>
        <x:v>0.54</x:v>
      </x:c>
      <x:c r="AO8" t="str">
        <x:f>IF(AND(R8=1.5,S8=5),"PASS","FAIL")</x:f>
        <x:v>PASS</x:v>
      </x:c>
      <x:c r="AP8" t="str">
        <x:v>https://footiqo.com/database/leagues/usa-mls/</x:v>
      </x:c>
      <x:c r="AR8" s="716" t="str">
        <x:v>All-row Bayes Brier</x:v>
      </x:c>
      <x:c r="AS8" s="96" t="n">
        <x:f>AVERAGE(AE5:AE29)</x:f>
        <x:v>0.19888024544640787</x:v>
      </x:c>
      <x:c r="AT8" s="96" t="n">
        <x:f>AS9</x:f>
        <x:v>0.19797293975373578</x:v>
      </x:c>
      <x:c r="AU8" s="96" t="n">
        <x:f>AS8-AS9</x:f>
        <x:v>0.0009073056926720835</x:v>
      </x:c>
      <x:c r="AV8" t="str">
        <x:v>Lower is better</x:v>
      </x:c>
    </x:row>
    <x:row r="9">
      <x:c r="A9" t="n">
        <x:v>5</x:v>
      </x:c>
      <x:c r="B9" t="str">
        <x:f>'Normalized_History_v0.2.1'!A8</x:f>
        <x:v>97195</x:v>
      </x:c>
      <x:c r="C9" s="28" t="str">
        <x:f>'Normalized_History_v0.2.1'!B8</x:f>
        <x:v>2026-02-22</x:v>
      </x:c>
      <x:c r="D9" t="str">
        <x:f>'Normalized_History_v0.2.1'!D8</x:f>
        <x:v>Vancouver Whitecaps</x:v>
      </x:c>
      <x:c r="E9" t="str">
        <x:f>'Normalized_History_v0.2.1'!E8</x:f>
        <x:v>Real Salt Lake</x:v>
      </x:c>
      <x:c r="F9" t="n">
        <x:f>'Normalized_History_v0.2.1'!F8</x:f>
        <x:v>1</x:v>
      </x:c>
      <x:c r="G9" t="n">
        <x:f>'Normalized_History_v0.2.1'!G8</x:f>
        <x:v>0</x:v>
      </x:c>
      <x:c r="H9" t="n">
        <x:f>F9+G9</x:f>
        <x:v>1</x:v>
      </x:c>
      <x:c r="I9" s="30" t="n">
        <x:f>'Normalized_History_v0.2.1'!K8</x:f>
        <x:v>2.21</x:v>
      </x:c>
      <x:c r="J9" s="30" t="n">
        <x:f>'Normalized_History_v0.2.1'!L8</x:f>
        <x:v>1.73</x:v>
      </x:c>
      <x:c r="K9" s="32" t="n">
        <x:f>(1/J9)/((1/J9)+(1/I9))</x:f>
        <x:v>0.5609137055837563</x:v>
      </x:c>
      <x:c r="L9" t="n">
        <x:f>COUNTIF($D$5:D8,D9)+COUNTIF($E$5:E8,D9)</x:f>
        <x:v>0</x:v>
      </x:c>
      <x:c r="M9" t="n">
        <x:f>COUNTIF($D$5:D8,E9)+COUNTIF($E$5:E8,E9)</x:f>
        <x:v>0</x:v>
      </x:c>
      <x:c r="N9" t="n">
        <x:f>SUMIF($D$5:D8,D9,$F$5:F8)+SUMIF($E$5:E8,D9,$G$5:G8)</x:f>
        <x:v>0</x:v>
      </x:c>
      <x:c r="O9" t="n">
        <x:f>SUMIF($D$5:D8,D9,$G$5:G8)+SUMIF($E$5:E8,D9,$F$5:F8)</x:f>
        <x:v>0</x:v>
      </x:c>
      <x:c r="P9" t="n">
        <x:f>SUMIF($D$5:D8,E9,$F$5:F8)+SUMIF($E$5:E8,E9,$G$5:G8)</x:f>
        <x:v>0</x:v>
      </x:c>
      <x:c r="Q9" t="n">
        <x:f>SUMIF($D$5:D8,E9,$G$5:G8)+SUMIF($E$5:E8,E9,$F$5:F8)</x:f>
        <x:v>0</x:v>
      </x:c>
      <x:c r="R9" t="n">
        <x:v>1.5</x:v>
      </x:c>
      <x:c r="S9" t="n">
        <x:v>5</x:v>
      </x:c>
      <x:c r="T9" s="96" t="n">
        <x:f>(R9*S9+N9)/(S9+L9)</x:f>
        <x:v>1.5</x:v>
      </x:c>
      <x:c r="U9" s="96" t="n">
        <x:f>(R9*S9+O9)/(S9+L9)</x:f>
        <x:v>1.5</x:v>
      </x:c>
      <x:c r="V9" s="96" t="n">
        <x:f>(R9*S9+P9)/(S9+M9)</x:f>
        <x:v>1.5</x:v>
      </x:c>
      <x:c r="W9" s="96" t="n">
        <x:f>(R9*S9+Q9)/(S9+M9)</x:f>
        <x:v>1.5</x:v>
      </x:c>
      <x:c r="X9" s="96" t="n">
        <x:f>T9*W9/R9</x:f>
        <x:v>1.5</x:v>
      </x:c>
      <x:c r="Y9" s="96" t="n">
        <x:f>V9*U9/R9</x:f>
        <x:v>1.5</x:v>
      </x:c>
      <x:c r="Z9" s="96" t="n">
        <x:f>X9+Y9</x:f>
        <x:v>3</x:v>
      </x:c>
      <x:c r="AA9" s="32" t="n">
        <x:f>EXP(-Z9)*(1+Z9+Z9^2/2+Z9^3/6)</x:f>
        <x:v>0.6472318887822313</x:v>
      </x:c>
      <x:c r="AB9" s="32" t="n">
        <x:f>AA9-K9</x:f>
        <x:v>0.08631818319847495</x:v>
      </x:c>
      <x:c r="AC9" s="32" t="n">
        <x:f>AA9*J9-1</x:f>
        <x:v>0.11971116759326006</x:v>
      </x:c>
      <x:c r="AD9" s="32" t="n">
        <x:f>IF(H9&lt;=3,1,0)</x:f>
        <x:v>1</x:v>
      </x:c>
      <x:c r="AE9" s="32" t="n">
        <x:f>(AA9-AD9)^2</x:f>
        <x:v>0.12444534029215205</x:v>
      </x:c>
      <x:c r="AF9" s="32" t="n">
        <x:f>(K9-AD9)^2</x:f>
        <x:v>0.19279677394418823</x:v>
      </x:c>
      <x:c r="AG9" s="32" t="n">
        <x:f>-1*(AD9*LN(AA9)+(1-AD9)*LN(1-AA9))</x:f>
        <x:v>0.43505064253846326</x:v>
      </x:c>
      <x:c r="AH9" s="32" t="n">
        <x:f>-1*(AD9*LN(K9)+(1-AD9)*LN(1-K9))</x:f>
        <x:v>0.5781882077801811</x:v>
      </x:c>
      <x:c r="AI9" s="32" t="n">
        <x:f>S9/(S9+L9)</x:f>
        <x:v>1</x:v>
      </x:c>
      <x:c r="AJ9" s="32" t="n">
        <x:f>S9/(S9+M9)</x:f>
        <x:v>1</x:v>
      </x:c>
      <x:c r="AK9" t="str">
        <x:f>IF(MIN(L9,M9)&gt;=3,"VALIDATION",IF(MIN(L9,M9)&gt;=1,"RESEARCH","PRIOR-DOMINATED"))</x:f>
        <x:v>PRIOR-DOMINATED</x:v>
      </x:c>
      <x:c r="AL9" t="str">
        <x:f>IF(AND(AB9&gt;=0.05,AC9&gt;=0.03,AK9&lt;&gt;"PRIOR-DOMINATED"),"PAPER VALUE","NO")</x:f>
        <x:v>NO</x:v>
      </x:c>
      <x:c r="AM9" s="30" t="str">
        <x:f>IF(AL9&lt;&gt;"PAPER VALUE","",IF(AD9=1,J9-1,-1))</x:f>
      </x:c>
      <x:c r="AN9" s="30" t="n">
        <x:f>IF(AD9=1,J9-1,-1)</x:f>
        <x:v>0.73</x:v>
      </x:c>
      <x:c r="AO9" t="str">
        <x:f>IF(AND(R9=1.5,S9=5),"PASS","FAIL")</x:f>
        <x:v>PASS</x:v>
      </x:c>
      <x:c r="AP9" t="str">
        <x:v>https://footiqo.com/database/leagues/usa-mls/</x:v>
      </x:c>
      <x:c r="AR9" s="716" t="str">
        <x:v>All-row Market Brier</x:v>
      </x:c>
      <x:c r="AS9" s="96" t="n">
        <x:f>AVERAGE(AF5:AF29)</x:f>
        <x:v>0.19797293975373578</x:v>
      </x:c>
      <x:c r="AT9" s="96" t="str"/>
      <x:c r="AU9" s="96" t="str"/>
      <x:c r="AV9" t="str">
        <x:v>Champion benchmark</x:v>
      </x:c>
    </x:row>
    <x:row r="10">
      <x:c r="A10" t="n">
        <x:v>6</x:v>
      </x:c>
      <x:c r="B10" t="str">
        <x:f>'Normalized_History_v0.2.1'!A9</x:f>
        <x:v>97197</x:v>
      </x:c>
      <x:c r="C10" s="28" t="str">
        <x:f>'Normalized_History_v0.2.1'!B9</x:f>
        <x:v>2026-02-22</x:v>
      </x:c>
      <x:c r="D10" t="str">
        <x:f>'Normalized_History_v0.2.1'!D9</x:f>
        <x:v>Austin FC</x:v>
      </x:c>
      <x:c r="E10" t="str">
        <x:f>'Normalized_History_v0.2.1'!E9</x:f>
        <x:v>Minnesota United</x:v>
      </x:c>
      <x:c r="F10" t="n">
        <x:f>'Normalized_History_v0.2.1'!F9</x:f>
        <x:v>2</x:v>
      </x:c>
      <x:c r="G10" t="n">
        <x:f>'Normalized_History_v0.2.1'!G9</x:f>
        <x:v>2</x:v>
      </x:c>
      <x:c r="H10" t="n">
        <x:f>F10+G10</x:f>
        <x:v>4</x:v>
      </x:c>
      <x:c r="I10" s="30" t="n">
        <x:f>'Normalized_History_v0.2.1'!K9</x:f>
        <x:v>3.37</x:v>
      </x:c>
      <x:c r="J10" s="30" t="n">
        <x:f>'Normalized_History_v0.2.1'!L9</x:f>
        <x:v>1.34</x:v>
      </x:c>
      <x:c r="K10" s="32" t="n">
        <x:f>(1/J10)/((1/J10)+(1/I10))</x:f>
        <x:v>0.7154989384288747</x:v>
      </x:c>
      <x:c r="L10" t="n">
        <x:f>COUNTIF($D$5:D9,D10)+COUNTIF($E$5:E9,D10)</x:f>
        <x:v>0</x:v>
      </x:c>
      <x:c r="M10" t="n">
        <x:f>COUNTIF($D$5:D9,E10)+COUNTIF($E$5:E9,E10)</x:f>
        <x:v>0</x:v>
      </x:c>
      <x:c r="N10" t="n">
        <x:f>SUMIF($D$5:D9,D10,$F$5:F9)+SUMIF($E$5:E9,D10,$G$5:G9)</x:f>
        <x:v>0</x:v>
      </x:c>
      <x:c r="O10" t="n">
        <x:f>SUMIF($D$5:D9,D10,$G$5:G9)+SUMIF($E$5:E9,D10,$F$5:F9)</x:f>
        <x:v>0</x:v>
      </x:c>
      <x:c r="P10" t="n">
        <x:f>SUMIF($D$5:D9,E10,$F$5:F9)+SUMIF($E$5:E9,E10,$G$5:G9)</x:f>
        <x:v>0</x:v>
      </x:c>
      <x:c r="Q10" t="n">
        <x:f>SUMIF($D$5:D9,E10,$G$5:G9)+SUMIF($E$5:E9,E10,$F$5:F9)</x:f>
        <x:v>0</x:v>
      </x:c>
      <x:c r="R10" t="n">
        <x:v>1.5</x:v>
      </x:c>
      <x:c r="S10" t="n">
        <x:v>5</x:v>
      </x:c>
      <x:c r="T10" s="96" t="n">
        <x:f>(R10*S10+N10)/(S10+L10)</x:f>
        <x:v>1.5</x:v>
      </x:c>
      <x:c r="U10" s="96" t="n">
        <x:f>(R10*S10+O10)/(S10+L10)</x:f>
        <x:v>1.5</x:v>
      </x:c>
      <x:c r="V10" s="96" t="n">
        <x:f>(R10*S10+P10)/(S10+M10)</x:f>
        <x:v>1.5</x:v>
      </x:c>
      <x:c r="W10" s="96" t="n">
        <x:f>(R10*S10+Q10)/(S10+M10)</x:f>
        <x:v>1.5</x:v>
      </x:c>
      <x:c r="X10" s="96" t="n">
        <x:f>T10*W10/R10</x:f>
        <x:v>1.5</x:v>
      </x:c>
      <x:c r="Y10" s="96" t="n">
        <x:f>V10*U10/R10</x:f>
        <x:v>1.5</x:v>
      </x:c>
      <x:c r="Z10" s="96" t="n">
        <x:f>X10+Y10</x:f>
        <x:v>3</x:v>
      </x:c>
      <x:c r="AA10" s="32" t="n">
        <x:f>EXP(-Z10)*(1+Z10+Z10^2/2+Z10^3/6)</x:f>
        <x:v>0.6472318887822313</x:v>
      </x:c>
      <x:c r="AB10" s="32" t="n">
        <x:f>AA10-K10</x:f>
        <x:v>-0.06826704964664343</x:v>
      </x:c>
      <x:c r="AC10" s="32" t="n">
        <x:f>AA10*J10-1</x:f>
        <x:v>-0.13270926903181002</x:v>
      </x:c>
      <x:c r="AD10" s="32" t="n">
        <x:f>IF(H10&lt;=3,1,0)</x:f>
        <x:v>0</x:v>
      </x:c>
      <x:c r="AE10" s="32" t="n">
        <x:f>(AA10-AD10)^2</x:f>
        <x:v>0.41890911785661455</x:v>
      </x:c>
      <x:c r="AF10" s="32" t="n">
        <x:f>(K10-AD10)^2</x:f>
        <x:v>0.5119387308928466</x:v>
      </x:c>
      <x:c r="AG10" s="32" t="n">
        <x:f>-1*(AD10*LN(AA10)+(1-AD10)*LN(1-AA10))</x:f>
        <x:v>1.0419443466394527</x:v>
      </x:c>
      <x:c r="AH10" s="32" t="n">
        <x:f>-1*(AD10*LN(K10)+(1-AD10)*LN(1-K10))</x:f>
        <x:v>1.2570182940655061</x:v>
      </x:c>
      <x:c r="AI10" s="32" t="n">
        <x:f>S10/(S10+L10)</x:f>
        <x:v>1</x:v>
      </x:c>
      <x:c r="AJ10" s="32" t="n">
        <x:f>S10/(S10+M10)</x:f>
        <x:v>1</x:v>
      </x:c>
      <x:c r="AK10" t="str">
        <x:f>IF(MIN(L10,M10)&gt;=3,"VALIDATION",IF(MIN(L10,M10)&gt;=1,"RESEARCH","PRIOR-DOMINATED"))</x:f>
        <x:v>PRIOR-DOMINATED</x:v>
      </x:c>
      <x:c r="AL10" t="str">
        <x:f>IF(AND(AB10&gt;=0.05,AC10&gt;=0.03,AK10&lt;&gt;"PRIOR-DOMINATED"),"PAPER VALUE","NO")</x:f>
        <x:v>NO</x:v>
      </x:c>
      <x:c r="AM10" s="30" t="str">
        <x:f>IF(AL10&lt;&gt;"PAPER VALUE","",IF(AD10=1,J10-1,-1))</x:f>
      </x:c>
      <x:c r="AN10" s="30" t="n">
        <x:f>IF(AD10=1,J10-1,-1)</x:f>
        <x:v>-1</x:v>
      </x:c>
      <x:c r="AO10" t="str">
        <x:f>IF(AND(R10=1.5,S10=5),"PASS","FAIL")</x:f>
        <x:v>PASS</x:v>
      </x:c>
      <x:c r="AP10" t="str">
        <x:v>https://footiqo.com/database/leagues/usa-mls/</x:v>
      </x:c>
      <x:c r="AR10" s="716" t="str">
        <x:v>All-row Bayes LogLoss</x:v>
      </x:c>
      <x:c r="AS10" s="96" t="n">
        <x:f>AVERAGE(AG5:AG29)</x:f>
        <x:v>0.587596899583201</x:v>
      </x:c>
      <x:c r="AT10" s="96" t="n">
        <x:f>AS11</x:f>
        <x:v>0.5860065861003125</x:v>
      </x:c>
      <x:c r="AU10" s="96" t="n">
        <x:f>AS10-AS11</x:f>
        <x:v>0.0015903134828885168</x:v>
      </x:c>
      <x:c r="AV10" t="str">
        <x:v>Lower is better</x:v>
      </x:c>
    </x:row>
    <x:row r="11">
      <x:c r="A11" t="n">
        <x:v>7</x:v>
      </x:c>
      <x:c r="B11" t="str">
        <x:f>'Normalized_History_v0.2.1'!A10</x:f>
        <x:v>97198</x:v>
      </x:c>
      <x:c r="C11" s="28" t="str">
        <x:f>'Normalized_History_v0.2.1'!B10</x:f>
        <x:v>2026-02-22</x:v>
      </x:c>
      <x:c r="D11" t="str">
        <x:f>'Normalized_History_v0.2.1'!D10</x:f>
        <x:v>FC Dallas</x:v>
      </x:c>
      <x:c r="E11" t="str">
        <x:f>'Normalized_History_v0.2.1'!E10</x:f>
        <x:v>Toronto FC</x:v>
      </x:c>
      <x:c r="F11" t="n">
        <x:f>'Normalized_History_v0.2.1'!F10</x:f>
        <x:v>3</x:v>
      </x:c>
      <x:c r="G11" t="n">
        <x:f>'Normalized_History_v0.2.1'!G10</x:f>
        <x:v>2</x:v>
      </x:c>
      <x:c r="H11" t="n">
        <x:f>F11+G11</x:f>
        <x:v>5</x:v>
      </x:c>
      <x:c r="I11" s="30" t="n">
        <x:f>'Normalized_History_v0.2.1'!K10</x:f>
        <x:v>3.01</x:v>
      </x:c>
      <x:c r="J11" s="30" t="n">
        <x:f>'Normalized_History_v0.2.1'!L10</x:f>
        <x:v>1.4</x:v>
      </x:c>
      <x:c r="K11" s="32" t="n">
        <x:f>(1/J11)/((1/J11)+(1/I11))</x:f>
        <x:v>0.6825396825396824</x:v>
      </x:c>
      <x:c r="L11" t="n">
        <x:f>COUNTIF($D$5:D10,D11)+COUNTIF($E$5:E10,D11)</x:f>
        <x:v>0</x:v>
      </x:c>
      <x:c r="M11" t="n">
        <x:f>COUNTIF($D$5:D10,E11)+COUNTIF($E$5:E10,E11)</x:f>
        <x:v>0</x:v>
      </x:c>
      <x:c r="N11" t="n">
        <x:f>SUMIF($D$5:D10,D11,$F$5:F10)+SUMIF($E$5:E10,D11,$G$5:G10)</x:f>
        <x:v>0</x:v>
      </x:c>
      <x:c r="O11" t="n">
        <x:f>SUMIF($D$5:D10,D11,$G$5:G10)+SUMIF($E$5:E10,D11,$F$5:F10)</x:f>
        <x:v>0</x:v>
      </x:c>
      <x:c r="P11" t="n">
        <x:f>SUMIF($D$5:D10,E11,$F$5:F10)+SUMIF($E$5:E10,E11,$G$5:G10)</x:f>
        <x:v>0</x:v>
      </x:c>
      <x:c r="Q11" t="n">
        <x:f>SUMIF($D$5:D10,E11,$G$5:G10)+SUMIF($E$5:E10,E11,$F$5:F10)</x:f>
        <x:v>0</x:v>
      </x:c>
      <x:c r="R11" t="n">
        <x:v>1.5</x:v>
      </x:c>
      <x:c r="S11" t="n">
        <x:v>5</x:v>
      </x:c>
      <x:c r="T11" s="96" t="n">
        <x:f>(R11*S11+N11)/(S11+L11)</x:f>
        <x:v>1.5</x:v>
      </x:c>
      <x:c r="U11" s="96" t="n">
        <x:f>(R11*S11+O11)/(S11+L11)</x:f>
        <x:v>1.5</x:v>
      </x:c>
      <x:c r="V11" s="96" t="n">
        <x:f>(R11*S11+P11)/(S11+M11)</x:f>
        <x:v>1.5</x:v>
      </x:c>
      <x:c r="W11" s="96" t="n">
        <x:f>(R11*S11+Q11)/(S11+M11)</x:f>
        <x:v>1.5</x:v>
      </x:c>
      <x:c r="X11" s="96" t="n">
        <x:f>T11*W11/R11</x:f>
        <x:v>1.5</x:v>
      </x:c>
      <x:c r="Y11" s="96" t="n">
        <x:f>V11*U11/R11</x:f>
        <x:v>1.5</x:v>
      </x:c>
      <x:c r="Z11" s="96" t="n">
        <x:f>X11+Y11</x:f>
        <x:v>3</x:v>
      </x:c>
      <x:c r="AA11" s="32" t="n">
        <x:f>EXP(-Z11)*(1+Z11+Z11^2/2+Z11^3/6)</x:f>
        <x:v>0.6472318887822313</x:v>
      </x:c>
      <x:c r="AB11" s="32" t="n">
        <x:f>AA11-K11</x:f>
        <x:v>-0.03530779375745119</x:v>
      </x:c>
      <x:c r="AC11" s="32" t="n">
        <x:f>AA11*J11-1</x:f>
        <x:v>-0.09387535570487626</x:v>
      </x:c>
      <x:c r="AD11" s="32" t="n">
        <x:f>IF(H11&lt;=3,1,0)</x:f>
        <x:v>0</x:v>
      </x:c>
      <x:c r="AE11" s="32" t="n">
        <x:f>(AA11-AD11)^2</x:f>
        <x:v>0.41890911785661455</x:v>
      </x:c>
      <x:c r="AF11" s="32" t="n">
        <x:f>(K11-AD11)^2</x:f>
        <x:v>0.4658604182413705</x:v>
      </x:c>
      <x:c r="AG11" s="32" t="n">
        <x:f>-1*(AD11*LN(AA11)+(1-AD11)*LN(1-AA11))</x:f>
        <x:v>1.0419443466394527</x:v>
      </x:c>
      <x:c r="AH11" s="32" t="n">
        <x:f>-1*(AD11*LN(K11)+(1-AD11)*LN(1-K11))</x:f>
        <x:v>1.1474024528375415</x:v>
      </x:c>
      <x:c r="AI11" s="32" t="n">
        <x:f>S11/(S11+L11)</x:f>
        <x:v>1</x:v>
      </x:c>
      <x:c r="AJ11" s="32" t="n">
        <x:f>S11/(S11+M11)</x:f>
        <x:v>1</x:v>
      </x:c>
      <x:c r="AK11" t="str">
        <x:f>IF(MIN(L11,M11)&gt;=3,"VALIDATION",IF(MIN(L11,M11)&gt;=1,"RESEARCH","PRIOR-DOMINATED"))</x:f>
        <x:v>PRIOR-DOMINATED</x:v>
      </x:c>
      <x:c r="AL11" t="str">
        <x:f>IF(AND(AB11&gt;=0.05,AC11&gt;=0.03,AK11&lt;&gt;"PRIOR-DOMINATED"),"PAPER VALUE","NO")</x:f>
        <x:v>NO</x:v>
      </x:c>
      <x:c r="AM11" s="30" t="str">
        <x:f>IF(AL11&lt;&gt;"PAPER VALUE","",IF(AD11=1,J11-1,-1))</x:f>
      </x:c>
      <x:c r="AN11" s="30" t="n">
        <x:f>IF(AD11=1,J11-1,-1)</x:f>
        <x:v>-1</x:v>
      </x:c>
      <x:c r="AO11" t="str">
        <x:f>IF(AND(R11=1.5,S11=5),"PASS","FAIL")</x:f>
        <x:v>PASS</x:v>
      </x:c>
      <x:c r="AP11" t="str">
        <x:v>https://footiqo.com/database/leagues/usa-mls/</x:v>
      </x:c>
      <x:c r="AR11" s="716" t="str">
        <x:v>All-row Market LogLoss</x:v>
      </x:c>
      <x:c r="AS11" s="96" t="n">
        <x:f>AVERAGE(AH5:AH29)</x:f>
        <x:v>0.5860065861003125</x:v>
      </x:c>
      <x:c r="AT11" s="96" t="str"/>
      <x:c r="AU11" s="96" t="str"/>
      <x:c r="AV11" t="str">
        <x:v>Champion benchmark</x:v>
      </x:c>
    </x:row>
    <x:row r="12">
      <x:c r="A12" t="n">
        <x:v>8</x:v>
      </x:c>
      <x:c r="B12" t="str">
        <x:f>'Normalized_History_v0.2.1'!A11</x:f>
        <x:v>97199</x:v>
      </x:c>
      <x:c r="C12" s="28" t="str">
        <x:f>'Normalized_History_v0.2.1'!B11</x:f>
        <x:v>2026-02-22</x:v>
      </x:c>
      <x:c r="D12" t="str">
        <x:f>'Normalized_History_v0.2.1'!D11</x:f>
        <x:v>Houston Dynamo</x:v>
      </x:c>
      <x:c r="E12" t="str">
        <x:f>'Normalized_History_v0.2.1'!E11</x:f>
        <x:v>Chicago Fire</x:v>
      </x:c>
      <x:c r="F12" t="n">
        <x:f>'Normalized_History_v0.2.1'!F11</x:f>
        <x:v>2</x:v>
      </x:c>
      <x:c r="G12" t="n">
        <x:f>'Normalized_History_v0.2.1'!G11</x:f>
        <x:v>1</x:v>
      </x:c>
      <x:c r="H12" t="n">
        <x:f>F12+G12</x:f>
        <x:v>3</x:v>
      </x:c>
      <x:c r="I12" s="30" t="n">
        <x:f>'Normalized_History_v0.2.1'!K11</x:f>
        <x:v>2.82</x:v>
      </x:c>
      <x:c r="J12" s="30" t="n">
        <x:f>'Normalized_History_v0.2.1'!L11</x:f>
        <x:v>1.45</x:v>
      </x:c>
      <x:c r="K12" s="32" t="n">
        <x:f>(1/J12)/((1/J12)+(1/I12))</x:f>
        <x:v>0.6604215456674473</x:v>
      </x:c>
      <x:c r="L12" t="n">
        <x:f>COUNTIF($D$5:D11,D12)+COUNTIF($E$5:E11,D12)</x:f>
        <x:v>0</x:v>
      </x:c>
      <x:c r="M12" t="n">
        <x:f>COUNTIF($D$5:D11,E12)+COUNTIF($E$5:E11,E12)</x:f>
        <x:v>0</x:v>
      </x:c>
      <x:c r="N12" t="n">
        <x:f>SUMIF($D$5:D11,D12,$F$5:F11)+SUMIF($E$5:E11,D12,$G$5:G11)</x:f>
        <x:v>0</x:v>
      </x:c>
      <x:c r="O12" t="n">
        <x:f>SUMIF($D$5:D11,D12,$G$5:G11)+SUMIF($E$5:E11,D12,$F$5:F11)</x:f>
        <x:v>0</x:v>
      </x:c>
      <x:c r="P12" t="n">
        <x:f>SUMIF($D$5:D11,E12,$F$5:F11)+SUMIF($E$5:E11,E12,$G$5:G11)</x:f>
        <x:v>0</x:v>
      </x:c>
      <x:c r="Q12" t="n">
        <x:f>SUMIF($D$5:D11,E12,$G$5:G11)+SUMIF($E$5:E11,E12,$F$5:F11)</x:f>
        <x:v>0</x:v>
      </x:c>
      <x:c r="R12" t="n">
        <x:v>1.5</x:v>
      </x:c>
      <x:c r="S12" t="n">
        <x:v>5</x:v>
      </x:c>
      <x:c r="T12" s="96" t="n">
        <x:f>(R12*S12+N12)/(S12+L12)</x:f>
        <x:v>1.5</x:v>
      </x:c>
      <x:c r="U12" s="96" t="n">
        <x:f>(R12*S12+O12)/(S12+L12)</x:f>
        <x:v>1.5</x:v>
      </x:c>
      <x:c r="V12" s="96" t="n">
        <x:f>(R12*S12+P12)/(S12+M12)</x:f>
        <x:v>1.5</x:v>
      </x:c>
      <x:c r="W12" s="96" t="n">
        <x:f>(R12*S12+Q12)/(S12+M12)</x:f>
        <x:v>1.5</x:v>
      </x:c>
      <x:c r="X12" s="96" t="n">
        <x:f>T12*W12/R12</x:f>
        <x:v>1.5</x:v>
      </x:c>
      <x:c r="Y12" s="96" t="n">
        <x:f>V12*U12/R12</x:f>
        <x:v>1.5</x:v>
      </x:c>
      <x:c r="Z12" s="96" t="n">
        <x:f>X12+Y12</x:f>
        <x:v>3</x:v>
      </x:c>
      <x:c r="AA12" s="32" t="n">
        <x:f>EXP(-Z12)*(1+Z12+Z12^2/2+Z12^3/6)</x:f>
        <x:v>0.6472318887822313</x:v>
      </x:c>
      <x:c r="AB12" s="32" t="n">
        <x:f>AA12-K12</x:f>
        <x:v>-0.013189656885216006</x:v>
      </x:c>
      <x:c r="AC12" s="32" t="n">
        <x:f>AA12*J12-1</x:f>
        <x:v>-0.06151376126576469</x:v>
      </x:c>
      <x:c r="AD12" s="32" t="n">
        <x:f>IF(H12&lt;=3,1,0)</x:f>
        <x:v>1</x:v>
      </x:c>
      <x:c r="AE12" s="32" t="n">
        <x:f>(AA12-AD12)^2</x:f>
        <x:v>0.12444534029215205</x:v>
      </x:c>
      <x:c r="AF12" s="32" t="n">
        <x:f>(K12-AD12)^2</x:f>
        <x:v>0.1153135266468856</x:v>
      </x:c>
      <x:c r="AG12" s="32" t="n">
        <x:f>-1*(AD12*LN(AA12)+(1-AD12)*LN(1-AA12))</x:f>
        <x:v>0.43505064253846326</x:v>
      </x:c>
      <x:c r="AH12" s="32" t="n">
        <x:f>-1*(AD12*LN(K12)+(1-AD12)*LN(1-K12))</x:f>
        <x:v>0.41487694229051103</x:v>
      </x:c>
      <x:c r="AI12" s="32" t="n">
        <x:f>S12/(S12+L12)</x:f>
        <x:v>1</x:v>
      </x:c>
      <x:c r="AJ12" s="32" t="n">
        <x:f>S12/(S12+M12)</x:f>
        <x:v>1</x:v>
      </x:c>
      <x:c r="AK12" t="str">
        <x:f>IF(MIN(L12,M12)&gt;=3,"VALIDATION",IF(MIN(L12,M12)&gt;=1,"RESEARCH","PRIOR-DOMINATED"))</x:f>
        <x:v>PRIOR-DOMINATED</x:v>
      </x:c>
      <x:c r="AL12" t="str">
        <x:f>IF(AND(AB12&gt;=0.05,AC12&gt;=0.03,AK12&lt;&gt;"PRIOR-DOMINATED"),"PAPER VALUE","NO")</x:f>
        <x:v>NO</x:v>
      </x:c>
      <x:c r="AM12" s="30" t="str">
        <x:f>IF(AL12&lt;&gt;"PAPER VALUE","",IF(AD12=1,J12-1,-1))</x:f>
      </x:c>
      <x:c r="AN12" s="30" t="n">
        <x:f>IF(AD12=1,J12-1,-1)</x:f>
        <x:v>0.44999999999999996</x:v>
      </x:c>
      <x:c r="AO12" t="str">
        <x:f>IF(AND(R12=1.5,S12=5),"PASS","FAIL")</x:f>
        <x:v>PASS</x:v>
      </x:c>
      <x:c r="AP12" t="str">
        <x:v>https://footiqo.com/database/leagues/usa-mls/</x:v>
      </x:c>
      <x:c r="AR12" s="716" t="str">
        <x:v>Both teams prior N&gt;=1</x:v>
      </x:c>
      <x:c r="AS12" s="96" t="n">
        <x:f>COUNTIF(AK5:AK29,"RESEARCH")</x:f>
        <x:v>10</x:v>
      </x:c>
      <x:c r="AT12" s="96" t="str"/>
      <x:c r="AU12" s="96" t="str"/>
      <x:c r="AV12" t="str">
        <x:v>Research warm-up</x:v>
      </x:c>
    </x:row>
    <x:row r="13">
      <x:c r="A13" t="n">
        <x:v>9</x:v>
      </x:c>
      <x:c r="B13" t="str">
        <x:f>'Normalized_History_v0.2.1'!A12</x:f>
        <x:v>97200</x:v>
      </x:c>
      <x:c r="C13" s="28" t="str">
        <x:f>'Normalized_History_v0.2.1'!B12</x:f>
        <x:v>2026-02-22</x:v>
      </x:c>
      <x:c r="D13" t="str">
        <x:f>'Normalized_History_v0.2.1'!D12</x:f>
        <x:v>Nashville SC</x:v>
      </x:c>
      <x:c r="E13" t="str">
        <x:f>'Normalized_History_v0.2.1'!E12</x:f>
        <x:v>New England Revolution</x:v>
      </x:c>
      <x:c r="F13" t="n">
        <x:f>'Normalized_History_v0.2.1'!F12</x:f>
        <x:v>4</x:v>
      </x:c>
      <x:c r="G13" t="n">
        <x:f>'Normalized_History_v0.2.1'!G12</x:f>
        <x:v>1</x:v>
      </x:c>
      <x:c r="H13" t="n">
        <x:f>F13+G13</x:f>
        <x:v>5</x:v>
      </x:c>
      <x:c r="I13" s="30" t="n">
        <x:f>'Normalized_History_v0.2.1'!K12</x:f>
        <x:v>2.53</x:v>
      </x:c>
      <x:c r="J13" s="30" t="n">
        <x:f>'Normalized_History_v0.2.1'!L12</x:f>
        <x:v>1.54</x:v>
      </x:c>
      <x:c r="K13" s="32" t="n">
        <x:f>(1/J13)/((1/J13)+(1/I13))</x:f>
        <x:v>0.6216216216216216</x:v>
      </x:c>
      <x:c r="L13" t="n">
        <x:f>COUNTIF($D$5:D12,D13)+COUNTIF($E$5:E12,D13)</x:f>
        <x:v>0</x:v>
      </x:c>
      <x:c r="M13" t="n">
        <x:f>COUNTIF($D$5:D12,E13)+COUNTIF($E$5:E12,E13)</x:f>
        <x:v>0</x:v>
      </x:c>
      <x:c r="N13" t="n">
        <x:f>SUMIF($D$5:D12,D13,$F$5:F12)+SUMIF($E$5:E12,D13,$G$5:G12)</x:f>
        <x:v>0</x:v>
      </x:c>
      <x:c r="O13" t="n">
        <x:f>SUMIF($D$5:D12,D13,$G$5:G12)+SUMIF($E$5:E12,D13,$F$5:F12)</x:f>
        <x:v>0</x:v>
      </x:c>
      <x:c r="P13" t="n">
        <x:f>SUMIF($D$5:D12,E13,$F$5:F12)+SUMIF($E$5:E12,E13,$G$5:G12)</x:f>
        <x:v>0</x:v>
      </x:c>
      <x:c r="Q13" t="n">
        <x:f>SUMIF($D$5:D12,E13,$G$5:G12)+SUMIF($E$5:E12,E13,$F$5:F12)</x:f>
        <x:v>0</x:v>
      </x:c>
      <x:c r="R13" t="n">
        <x:v>1.5</x:v>
      </x:c>
      <x:c r="S13" t="n">
        <x:v>5</x:v>
      </x:c>
      <x:c r="T13" s="96" t="n">
        <x:f>(R13*S13+N13)/(S13+L13)</x:f>
        <x:v>1.5</x:v>
      </x:c>
      <x:c r="U13" s="96" t="n">
        <x:f>(R13*S13+O13)/(S13+L13)</x:f>
        <x:v>1.5</x:v>
      </x:c>
      <x:c r="V13" s="96" t="n">
        <x:f>(R13*S13+P13)/(S13+M13)</x:f>
        <x:v>1.5</x:v>
      </x:c>
      <x:c r="W13" s="96" t="n">
        <x:f>(R13*S13+Q13)/(S13+M13)</x:f>
        <x:v>1.5</x:v>
      </x:c>
      <x:c r="X13" s="96" t="n">
        <x:f>T13*W13/R13</x:f>
        <x:v>1.5</x:v>
      </x:c>
      <x:c r="Y13" s="96" t="n">
        <x:f>V13*U13/R13</x:f>
        <x:v>1.5</x:v>
      </x:c>
      <x:c r="Z13" s="96" t="n">
        <x:f>X13+Y13</x:f>
        <x:v>3</x:v>
      </x:c>
      <x:c r="AA13" s="32" t="n">
        <x:f>EXP(-Z13)*(1+Z13+Z13^2/2+Z13^3/6)</x:f>
        <x:v>0.6472318887822313</x:v>
      </x:c>
      <x:c r="AB13" s="32" t="n">
        <x:f>AA13-K13</x:f>
        <x:v>0.025610267160609657</x:v>
      </x:c>
      <x:c r="AC13" s="32" t="n">
        <x:f>AA13*J13-1</x:f>
        <x:v>-0.003262891275363833</x:v>
      </x:c>
      <x:c r="AD13" s="32" t="n">
        <x:f>IF(H13&lt;=3,1,0)</x:f>
        <x:v>0</x:v>
      </x:c>
      <x:c r="AE13" s="32" t="n">
        <x:f>(AA13-AD13)^2</x:f>
        <x:v>0.41890911785661455</x:v>
      </x:c>
      <x:c r="AF13" s="32" t="n">
        <x:f>(K13-AD13)^2</x:f>
        <x:v>0.3864134404674945</x:v>
      </x:c>
      <x:c r="AG13" s="32" t="n">
        <x:f>-1*(AD13*LN(AA13)+(1-AD13)*LN(1-AA13))</x:f>
        <x:v>1.0419443466394527</x:v>
      </x:c>
      <x:c r="AH13" s="32" t="n">
        <x:f>-1*(AD13*LN(K13)+(1-AD13)*LN(1-K13))</x:f>
        <x:v>0.9718605830289658</x:v>
      </x:c>
      <x:c r="AI13" s="32" t="n">
        <x:f>S13/(S13+L13)</x:f>
        <x:v>1</x:v>
      </x:c>
      <x:c r="AJ13" s="32" t="n">
        <x:f>S13/(S13+M13)</x:f>
        <x:v>1</x:v>
      </x:c>
      <x:c r="AK13" t="str">
        <x:f>IF(MIN(L13,M13)&gt;=3,"VALIDATION",IF(MIN(L13,M13)&gt;=1,"RESEARCH","PRIOR-DOMINATED"))</x:f>
        <x:v>PRIOR-DOMINATED</x:v>
      </x:c>
      <x:c r="AL13" t="str">
        <x:f>IF(AND(AB13&gt;=0.05,AC13&gt;=0.03,AK13&lt;&gt;"PRIOR-DOMINATED"),"PAPER VALUE","NO")</x:f>
        <x:v>NO</x:v>
      </x:c>
      <x:c r="AM13" s="30" t="str">
        <x:f>IF(AL13&lt;&gt;"PAPER VALUE","",IF(AD13=1,J13-1,-1))</x:f>
      </x:c>
      <x:c r="AN13" s="30" t="n">
        <x:f>IF(AD13=1,J13-1,-1)</x:f>
        <x:v>-1</x:v>
      </x:c>
      <x:c r="AO13" t="str">
        <x:f>IF(AND(R13=1.5,S13=5),"PASS","FAIL")</x:f>
        <x:v>PASS</x:v>
      </x:c>
      <x:c r="AP13" t="str">
        <x:v>https://footiqo.com/database/leagues/usa-mls/</x:v>
      </x:c>
      <x:c r="AR13" s="716" t="str">
        <x:v>Warm Bayes Brier</x:v>
      </x:c>
      <x:c r="AS13" s="96" t="n">
        <x:f>IF(AS12=0,"",SUMPRODUCT((AK5:AK29="RESEARCH")*AE5:AE29)/AS12)</x:f>
        <x:v>0.16330071439556054</x:v>
      </x:c>
      <x:c r="AT13" s="96" t="n">
        <x:f>AS14</x:f>
        <x:v>0.1400922080649444</x:v>
      </x:c>
      <x:c r="AU13" s="96" t="n">
        <x:f>AS13-AS14</x:f>
        <x:v>0.023208506330616135</x:v>
      </x:c>
      <x:c r="AV13" t="str"/>
    </x:row>
    <x:row r="14">
      <x:c r="A14" t="n">
        <x:v>10</x:v>
      </x:c>
      <x:c r="B14" t="str">
        <x:f>'Normalized_History_v0.2.1'!A13</x:f>
        <x:v>97201</x:v>
      </x:c>
      <x:c r="C14" s="28" t="str">
        <x:f>'Normalized_History_v0.2.1'!B13</x:f>
        <x:v>2026-02-22</x:v>
      </x:c>
      <x:c r="D14" t="str">
        <x:f>'Normalized_History_v0.2.1'!D13</x:f>
        <x:v>Los Angeles FC</x:v>
      </x:c>
      <x:c r="E14" t="str">
        <x:f>'Normalized_History_v0.2.1'!E13</x:f>
        <x:v>Inter Miami</x:v>
      </x:c>
      <x:c r="F14" t="n">
        <x:f>'Normalized_History_v0.2.1'!F13</x:f>
        <x:v>3</x:v>
      </x:c>
      <x:c r="G14" t="n">
        <x:f>'Normalized_History_v0.2.1'!G13</x:f>
        <x:v>0</x:v>
      </x:c>
      <x:c r="H14" t="n">
        <x:f>F14+G14</x:f>
        <x:v>3</x:v>
      </x:c>
      <x:c r="I14" s="30" t="n">
        <x:f>'Normalized_History_v0.2.1'!K13</x:f>
        <x:v>2.21</x:v>
      </x:c>
      <x:c r="J14" s="30" t="n">
        <x:f>'Normalized_History_v0.2.1'!L13</x:f>
        <x:v>1.73</x:v>
      </x:c>
      <x:c r="K14" s="32" t="n">
        <x:f>(1/J14)/((1/J14)+(1/I14))</x:f>
        <x:v>0.5609137055837563</x:v>
      </x:c>
      <x:c r="L14" t="n">
        <x:f>COUNTIF($D$5:D13,D14)+COUNTIF($E$5:E13,D14)</x:f>
        <x:v>0</x:v>
      </x:c>
      <x:c r="M14" t="n">
        <x:f>COUNTIF($D$5:D13,E14)+COUNTIF($E$5:E13,E14)</x:f>
        <x:v>0</x:v>
      </x:c>
      <x:c r="N14" t="n">
        <x:f>SUMIF($D$5:D13,D14,$F$5:F13)+SUMIF($E$5:E13,D14,$G$5:G13)</x:f>
        <x:v>0</x:v>
      </x:c>
      <x:c r="O14" t="n">
        <x:f>SUMIF($D$5:D13,D14,$G$5:G13)+SUMIF($E$5:E13,D14,$F$5:F13)</x:f>
        <x:v>0</x:v>
      </x:c>
      <x:c r="P14" t="n">
        <x:f>SUMIF($D$5:D13,E14,$F$5:F13)+SUMIF($E$5:E13,E14,$G$5:G13)</x:f>
        <x:v>0</x:v>
      </x:c>
      <x:c r="Q14" t="n">
        <x:f>SUMIF($D$5:D13,E14,$G$5:G13)+SUMIF($E$5:E13,E14,$F$5:F13)</x:f>
        <x:v>0</x:v>
      </x:c>
      <x:c r="R14" t="n">
        <x:v>1.5</x:v>
      </x:c>
      <x:c r="S14" t="n">
        <x:v>5</x:v>
      </x:c>
      <x:c r="T14" s="96" t="n">
        <x:f>(R14*S14+N14)/(S14+L14)</x:f>
        <x:v>1.5</x:v>
      </x:c>
      <x:c r="U14" s="96" t="n">
        <x:f>(R14*S14+O14)/(S14+L14)</x:f>
        <x:v>1.5</x:v>
      </x:c>
      <x:c r="V14" s="96" t="n">
        <x:f>(R14*S14+P14)/(S14+M14)</x:f>
        <x:v>1.5</x:v>
      </x:c>
      <x:c r="W14" s="96" t="n">
        <x:f>(R14*S14+Q14)/(S14+M14)</x:f>
        <x:v>1.5</x:v>
      </x:c>
      <x:c r="X14" s="96" t="n">
        <x:f>T14*W14/R14</x:f>
        <x:v>1.5</x:v>
      </x:c>
      <x:c r="Y14" s="96" t="n">
        <x:f>V14*U14/R14</x:f>
        <x:v>1.5</x:v>
      </x:c>
      <x:c r="Z14" s="96" t="n">
        <x:f>X14+Y14</x:f>
        <x:v>3</x:v>
      </x:c>
      <x:c r="AA14" s="32" t="n">
        <x:f>EXP(-Z14)*(1+Z14+Z14^2/2+Z14^3/6)</x:f>
        <x:v>0.6472318887822313</x:v>
      </x:c>
      <x:c r="AB14" s="32" t="n">
        <x:f>AA14-K14</x:f>
        <x:v>0.08631818319847495</x:v>
      </x:c>
      <x:c r="AC14" s="32" t="n">
        <x:f>AA14*J14-1</x:f>
        <x:v>0.11971116759326006</x:v>
      </x:c>
      <x:c r="AD14" s="32" t="n">
        <x:f>IF(H14&lt;=3,1,0)</x:f>
        <x:v>1</x:v>
      </x:c>
      <x:c r="AE14" s="32" t="n">
        <x:f>(AA14-AD14)^2</x:f>
        <x:v>0.12444534029215205</x:v>
      </x:c>
      <x:c r="AF14" s="32" t="n">
        <x:f>(K14-AD14)^2</x:f>
        <x:v>0.19279677394418823</x:v>
      </x:c>
      <x:c r="AG14" s="32" t="n">
        <x:f>-1*(AD14*LN(AA14)+(1-AD14)*LN(1-AA14))</x:f>
        <x:v>0.43505064253846326</x:v>
      </x:c>
      <x:c r="AH14" s="32" t="n">
        <x:f>-1*(AD14*LN(K14)+(1-AD14)*LN(1-K14))</x:f>
        <x:v>0.5781882077801811</x:v>
      </x:c>
      <x:c r="AI14" s="32" t="n">
        <x:f>S14/(S14+L14)</x:f>
        <x:v>1</x:v>
      </x:c>
      <x:c r="AJ14" s="32" t="n">
        <x:f>S14/(S14+M14)</x:f>
        <x:v>1</x:v>
      </x:c>
      <x:c r="AK14" t="str">
        <x:f>IF(MIN(L14,M14)&gt;=3,"VALIDATION",IF(MIN(L14,M14)&gt;=1,"RESEARCH","PRIOR-DOMINATED"))</x:f>
        <x:v>PRIOR-DOMINATED</x:v>
      </x:c>
      <x:c r="AL14" t="str">
        <x:f>IF(AND(AB14&gt;=0.05,AC14&gt;=0.03,AK14&lt;&gt;"PRIOR-DOMINATED"),"PAPER VALUE","NO")</x:f>
        <x:v>NO</x:v>
      </x:c>
      <x:c r="AM14" s="30" t="str">
        <x:f>IF(AL14&lt;&gt;"PAPER VALUE","",IF(AD14=1,J14-1,-1))</x:f>
      </x:c>
      <x:c r="AN14" s="30" t="n">
        <x:f>IF(AD14=1,J14-1,-1)</x:f>
        <x:v>0.73</x:v>
      </x:c>
      <x:c r="AO14" t="str">
        <x:f>IF(AND(R14=1.5,S14=5),"PASS","FAIL")</x:f>
        <x:v>PASS</x:v>
      </x:c>
      <x:c r="AP14" t="str">
        <x:v>https://footiqo.com/database/leagues/usa-mls/</x:v>
      </x:c>
      <x:c r="AR14" s="716" t="str">
        <x:v>Warm Market Brier</x:v>
      </x:c>
      <x:c r="AS14" s="96" t="n">
        <x:f>IF(AS12=0,"",SUMPRODUCT((AK5:AK29="RESEARCH")*AF5:AF29)/AS12)</x:f>
        <x:v>0.1400922080649444</x:v>
      </x:c>
      <x:c r="AT14" s="96" t="str"/>
      <x:c r="AU14" s="96" t="str"/>
      <x:c r="AV14" t="str"/>
    </x:row>
    <x:row r="15">
      <x:c r="A15" t="n">
        <x:v>11</x:v>
      </x:c>
      <x:c r="B15" t="str">
        <x:f>'Normalized_History_v0.2.1'!A14</x:f>
        <x:v>97202</x:v>
      </x:c>
      <x:c r="C15" s="28" t="str">
        <x:f>'Normalized_History_v0.2.1'!B14</x:f>
        <x:v>2026-02-22</x:v>
      </x:c>
      <x:c r="D15" t="str">
        <x:f>'Normalized_History_v0.2.1'!D14</x:f>
        <x:v>Portland Timbers</x:v>
      </x:c>
      <x:c r="E15" t="str">
        <x:f>'Normalized_History_v0.2.1'!E14</x:f>
        <x:v>Columbus Crew</x:v>
      </x:c>
      <x:c r="F15" t="n">
        <x:f>'Normalized_History_v0.2.1'!F14</x:f>
        <x:v>3</x:v>
      </x:c>
      <x:c r="G15" t="n">
        <x:f>'Normalized_History_v0.2.1'!G14</x:f>
        <x:v>2</x:v>
      </x:c>
      <x:c r="H15" t="n">
        <x:f>F15+G15</x:f>
        <x:v>5</x:v>
      </x:c>
      <x:c r="I15" s="30" t="n">
        <x:f>'Normalized_History_v0.2.1'!K14</x:f>
        <x:v>2.53</x:v>
      </x:c>
      <x:c r="J15" s="30" t="n">
        <x:f>'Normalized_History_v0.2.1'!L14</x:f>
        <x:v>1.54</x:v>
      </x:c>
      <x:c r="K15" s="32" t="n">
        <x:f>(1/J15)/((1/J15)+(1/I15))</x:f>
        <x:v>0.6216216216216216</x:v>
      </x:c>
      <x:c r="L15" t="n">
        <x:f>COUNTIF($D$5:D14,D15)+COUNTIF($E$5:E14,D15)</x:f>
        <x:v>0</x:v>
      </x:c>
      <x:c r="M15" t="n">
        <x:f>COUNTIF($D$5:D14,E15)+COUNTIF($E$5:E14,E15)</x:f>
        <x:v>0</x:v>
      </x:c>
      <x:c r="N15" t="n">
        <x:f>SUMIF($D$5:D14,D15,$F$5:F14)+SUMIF($E$5:E14,D15,$G$5:G14)</x:f>
        <x:v>0</x:v>
      </x:c>
      <x:c r="O15" t="n">
        <x:f>SUMIF($D$5:D14,D15,$G$5:G14)+SUMIF($E$5:E14,D15,$F$5:F14)</x:f>
        <x:v>0</x:v>
      </x:c>
      <x:c r="P15" t="n">
        <x:f>SUMIF($D$5:D14,E15,$F$5:F14)+SUMIF($E$5:E14,E15,$G$5:G14)</x:f>
        <x:v>0</x:v>
      </x:c>
      <x:c r="Q15" t="n">
        <x:f>SUMIF($D$5:D14,E15,$G$5:G14)+SUMIF($E$5:E14,E15,$F$5:F14)</x:f>
        <x:v>0</x:v>
      </x:c>
      <x:c r="R15" t="n">
        <x:v>1.5</x:v>
      </x:c>
      <x:c r="S15" t="n">
        <x:v>5</x:v>
      </x:c>
      <x:c r="T15" s="96" t="n">
        <x:f>(R15*S15+N15)/(S15+L15)</x:f>
        <x:v>1.5</x:v>
      </x:c>
      <x:c r="U15" s="96" t="n">
        <x:f>(R15*S15+O15)/(S15+L15)</x:f>
        <x:v>1.5</x:v>
      </x:c>
      <x:c r="V15" s="96" t="n">
        <x:f>(R15*S15+P15)/(S15+M15)</x:f>
        <x:v>1.5</x:v>
      </x:c>
      <x:c r="W15" s="96" t="n">
        <x:f>(R15*S15+Q15)/(S15+M15)</x:f>
        <x:v>1.5</x:v>
      </x:c>
      <x:c r="X15" s="96" t="n">
        <x:f>T15*W15/R15</x:f>
        <x:v>1.5</x:v>
      </x:c>
      <x:c r="Y15" s="96" t="n">
        <x:f>V15*U15/R15</x:f>
        <x:v>1.5</x:v>
      </x:c>
      <x:c r="Z15" s="96" t="n">
        <x:f>X15+Y15</x:f>
        <x:v>3</x:v>
      </x:c>
      <x:c r="AA15" s="32" t="n">
        <x:f>EXP(-Z15)*(1+Z15+Z15^2/2+Z15^3/6)</x:f>
        <x:v>0.6472318887822313</x:v>
      </x:c>
      <x:c r="AB15" s="32" t="n">
        <x:f>AA15-K15</x:f>
        <x:v>0.025610267160609657</x:v>
      </x:c>
      <x:c r="AC15" s="32" t="n">
        <x:f>AA15*J15-1</x:f>
        <x:v>-0.003262891275363833</x:v>
      </x:c>
      <x:c r="AD15" s="32" t="n">
        <x:f>IF(H15&lt;=3,1,0)</x:f>
        <x:v>0</x:v>
      </x:c>
      <x:c r="AE15" s="32" t="n">
        <x:f>(AA15-AD15)^2</x:f>
        <x:v>0.41890911785661455</x:v>
      </x:c>
      <x:c r="AF15" s="32" t="n">
        <x:f>(K15-AD15)^2</x:f>
        <x:v>0.3864134404674945</x:v>
      </x:c>
      <x:c r="AG15" s="32" t="n">
        <x:f>-1*(AD15*LN(AA15)+(1-AD15)*LN(1-AA15))</x:f>
        <x:v>1.0419443466394527</x:v>
      </x:c>
      <x:c r="AH15" s="32" t="n">
        <x:f>-1*(AD15*LN(K15)+(1-AD15)*LN(1-K15))</x:f>
        <x:v>0.9718605830289658</x:v>
      </x:c>
      <x:c r="AI15" s="32" t="n">
        <x:f>S15/(S15+L15)</x:f>
        <x:v>1</x:v>
      </x:c>
      <x:c r="AJ15" s="32" t="n">
        <x:f>S15/(S15+M15)</x:f>
        <x:v>1</x:v>
      </x:c>
      <x:c r="AK15" t="str">
        <x:f>IF(MIN(L15,M15)&gt;=3,"VALIDATION",IF(MIN(L15,M15)&gt;=1,"RESEARCH","PRIOR-DOMINATED"))</x:f>
        <x:v>PRIOR-DOMINATED</x:v>
      </x:c>
      <x:c r="AL15" t="str">
        <x:f>IF(AND(AB15&gt;=0.05,AC15&gt;=0.03,AK15&lt;&gt;"PRIOR-DOMINATED"),"PAPER VALUE","NO")</x:f>
        <x:v>NO</x:v>
      </x:c>
      <x:c r="AM15" s="30" t="str">
        <x:f>IF(AL15&lt;&gt;"PAPER VALUE","",IF(AD15=1,J15-1,-1))</x:f>
      </x:c>
      <x:c r="AN15" s="30" t="n">
        <x:f>IF(AD15=1,J15-1,-1)</x:f>
        <x:v>-1</x:v>
      </x:c>
      <x:c r="AO15" t="str">
        <x:f>IF(AND(R15=1.5,S15=5),"PASS","FAIL")</x:f>
        <x:v>PASS</x:v>
      </x:c>
      <x:c r="AP15" t="str">
        <x:v>https://footiqo.com/database/leagues/usa-mls/</x:v>
      </x:c>
      <x:c r="AR15" s="716" t="str">
        <x:v>Warm Bayes LogLoss</x:v>
      </x:c>
      <x:c r="AS15" s="96" t="n">
        <x:f>IF(AS12=0,"",SUMPRODUCT((AK5:AK29="RESEARCH")*AG5:AG29)/AS12)</x:f>
        <x:v>0.5129694330998127</x:v>
      </x:c>
      <x:c r="AT15" s="96" t="n">
        <x:f>AS16</x:f>
        <x:v>0.4655861486455529</x:v>
      </x:c>
      <x:c r="AU15" s="96" t="n">
        <x:f>AS15-AS16</x:f>
        <x:v>0.047383284454259766</x:v>
      </x:c>
      <x:c r="AV15" t="str"/>
    </x:row>
    <x:row r="16">
      <x:c r="A16" t="n">
        <x:v>12</x:v>
      </x:c>
      <x:c r="B16" t="str">
        <x:f>'Normalized_History_v0.2.1'!A15</x:f>
        <x:v>97203</x:v>
      </x:c>
      <x:c r="C16" s="28" t="str">
        <x:f>'Normalized_History_v0.2.1'!B15</x:f>
        <x:v>2026-02-22</x:v>
      </x:c>
      <x:c r="D16" t="str">
        <x:f>'Normalized_History_v0.2.1'!D15</x:f>
        <x:v>San Diego FC</x:v>
      </x:c>
      <x:c r="E16" t="str">
        <x:f>'Normalized_History_v0.2.1'!E15</x:f>
        <x:v>CF Montreal</x:v>
      </x:c>
      <x:c r="F16" t="n">
        <x:f>'Normalized_History_v0.2.1'!F15</x:f>
        <x:v>5</x:v>
      </x:c>
      <x:c r="G16" t="n">
        <x:f>'Normalized_History_v0.2.1'!G15</x:f>
        <x:v>0</x:v>
      </x:c>
      <x:c r="H16" t="n">
        <x:f>F16+G16</x:f>
        <x:v>5</x:v>
      </x:c>
      <x:c r="I16" s="30" t="n">
        <x:f>'Normalized_History_v0.2.1'!K15</x:f>
        <x:v>2.53</x:v>
      </x:c>
      <x:c r="J16" s="30" t="n">
        <x:f>'Normalized_History_v0.2.1'!L15</x:f>
        <x:v>1.54</x:v>
      </x:c>
      <x:c r="K16" s="32" t="n">
        <x:f>(1/J16)/((1/J16)+(1/I16))</x:f>
        <x:v>0.6216216216216216</x:v>
      </x:c>
      <x:c r="L16" t="n">
        <x:f>COUNTIF($D$5:D15,D16)+COUNTIF($E$5:E15,D16)</x:f>
        <x:v>0</x:v>
      </x:c>
      <x:c r="M16" t="n">
        <x:f>COUNTIF($D$5:D15,E16)+COUNTIF($E$5:E15,E16)</x:f>
        <x:v>0</x:v>
      </x:c>
      <x:c r="N16" t="n">
        <x:f>SUMIF($D$5:D15,D16,$F$5:F15)+SUMIF($E$5:E15,D16,$G$5:G15)</x:f>
        <x:v>0</x:v>
      </x:c>
      <x:c r="O16" t="n">
        <x:f>SUMIF($D$5:D15,D16,$G$5:G15)+SUMIF($E$5:E15,D16,$F$5:F15)</x:f>
        <x:v>0</x:v>
      </x:c>
      <x:c r="P16" t="n">
        <x:f>SUMIF($D$5:D15,E16,$F$5:F15)+SUMIF($E$5:E15,E16,$G$5:G15)</x:f>
        <x:v>0</x:v>
      </x:c>
      <x:c r="Q16" t="n">
        <x:f>SUMIF($D$5:D15,E16,$G$5:G15)+SUMIF($E$5:E15,E16,$F$5:F15)</x:f>
        <x:v>0</x:v>
      </x:c>
      <x:c r="R16" t="n">
        <x:v>1.5</x:v>
      </x:c>
      <x:c r="S16" t="n">
        <x:v>5</x:v>
      </x:c>
      <x:c r="T16" s="96" t="n">
        <x:f>(R16*S16+N16)/(S16+L16)</x:f>
        <x:v>1.5</x:v>
      </x:c>
      <x:c r="U16" s="96" t="n">
        <x:f>(R16*S16+O16)/(S16+L16)</x:f>
        <x:v>1.5</x:v>
      </x:c>
      <x:c r="V16" s="96" t="n">
        <x:f>(R16*S16+P16)/(S16+M16)</x:f>
        <x:v>1.5</x:v>
      </x:c>
      <x:c r="W16" s="96" t="n">
        <x:f>(R16*S16+Q16)/(S16+M16)</x:f>
        <x:v>1.5</x:v>
      </x:c>
      <x:c r="X16" s="96" t="n">
        <x:f>T16*W16/R16</x:f>
        <x:v>1.5</x:v>
      </x:c>
      <x:c r="Y16" s="96" t="n">
        <x:f>V16*U16/R16</x:f>
        <x:v>1.5</x:v>
      </x:c>
      <x:c r="Z16" s="96" t="n">
        <x:f>X16+Y16</x:f>
        <x:v>3</x:v>
      </x:c>
      <x:c r="AA16" s="32" t="n">
        <x:f>EXP(-Z16)*(1+Z16+Z16^2/2+Z16^3/6)</x:f>
        <x:v>0.6472318887822313</x:v>
      </x:c>
      <x:c r="AB16" s="32" t="n">
        <x:f>AA16-K16</x:f>
        <x:v>0.025610267160609657</x:v>
      </x:c>
      <x:c r="AC16" s="32" t="n">
        <x:f>AA16*J16-1</x:f>
        <x:v>-0.003262891275363833</x:v>
      </x:c>
      <x:c r="AD16" s="32" t="n">
        <x:f>IF(H16&lt;=3,1,0)</x:f>
        <x:v>0</x:v>
      </x:c>
      <x:c r="AE16" s="32" t="n">
        <x:f>(AA16-AD16)^2</x:f>
        <x:v>0.41890911785661455</x:v>
      </x:c>
      <x:c r="AF16" s="32" t="n">
        <x:f>(K16-AD16)^2</x:f>
        <x:v>0.3864134404674945</x:v>
      </x:c>
      <x:c r="AG16" s="32" t="n">
        <x:f>-1*(AD16*LN(AA16)+(1-AD16)*LN(1-AA16))</x:f>
        <x:v>1.0419443466394527</x:v>
      </x:c>
      <x:c r="AH16" s="32" t="n">
        <x:f>-1*(AD16*LN(K16)+(1-AD16)*LN(1-K16))</x:f>
        <x:v>0.9718605830289658</x:v>
      </x:c>
      <x:c r="AI16" s="32" t="n">
        <x:f>S16/(S16+L16)</x:f>
        <x:v>1</x:v>
      </x:c>
      <x:c r="AJ16" s="32" t="n">
        <x:f>S16/(S16+M16)</x:f>
        <x:v>1</x:v>
      </x:c>
      <x:c r="AK16" t="str">
        <x:f>IF(MIN(L16,M16)&gt;=3,"VALIDATION",IF(MIN(L16,M16)&gt;=1,"RESEARCH","PRIOR-DOMINATED"))</x:f>
        <x:v>PRIOR-DOMINATED</x:v>
      </x:c>
      <x:c r="AL16" t="str">
        <x:f>IF(AND(AB16&gt;=0.05,AC16&gt;=0.03,AK16&lt;&gt;"PRIOR-DOMINATED"),"PAPER VALUE","NO")</x:f>
        <x:v>NO</x:v>
      </x:c>
      <x:c r="AM16" s="30" t="str">
        <x:f>IF(AL16&lt;&gt;"PAPER VALUE","",IF(AD16=1,J16-1,-1))</x:f>
      </x:c>
      <x:c r="AN16" s="30" t="n">
        <x:f>IF(AD16=1,J16-1,-1)</x:f>
        <x:v>-1</x:v>
      </x:c>
      <x:c r="AO16" t="str">
        <x:f>IF(AND(R16=1.5,S16=5),"PASS","FAIL")</x:f>
        <x:v>PASS</x:v>
      </x:c>
      <x:c r="AP16" t="str">
        <x:v>https://footiqo.com/database/leagues/usa-mls/</x:v>
      </x:c>
      <x:c r="AR16" s="716" t="str">
        <x:v>Warm Market LogLoss</x:v>
      </x:c>
      <x:c r="AS16" s="96" t="n">
        <x:f>IF(AS12=0,"",SUMPRODUCT((AK5:AK29="RESEARCH")*AH5:AH29)/AS12)</x:f>
        <x:v>0.4655861486455529</x:v>
      </x:c>
      <x:c r="AT16" s="96" t="str"/>
      <x:c r="AU16" s="96" t="str"/>
      <x:c r="AV16" t="str"/>
    </x:row>
    <x:row r="17">
      <x:c r="A17" t="n">
        <x:v>13</x:v>
      </x:c>
      <x:c r="B17" t="str">
        <x:f>'Normalized_History_v0.2.1'!A16</x:f>
        <x:v>97204</x:v>
      </x:c>
      <x:c r="C17" s="28" t="str">
        <x:f>'Normalized_History_v0.2.1'!B16</x:f>
        <x:v>2026-02-22</x:v>
      </x:c>
      <x:c r="D17" t="str">
        <x:f>'Normalized_History_v0.2.1'!D16</x:f>
        <x:v>San Jose Earthquakes</x:v>
      </x:c>
      <x:c r="E17" t="str">
        <x:f>'Normalized_History_v0.2.1'!E16</x:f>
        <x:v>Sporting Kansas City</x:v>
      </x:c>
      <x:c r="F17" t="n">
        <x:f>'Normalized_History_v0.2.1'!F16</x:f>
        <x:v>3</x:v>
      </x:c>
      <x:c r="G17" t="n">
        <x:f>'Normalized_History_v0.2.1'!G16</x:f>
        <x:v>0</x:v>
      </x:c>
      <x:c r="H17" t="n">
        <x:f>F17+G17</x:f>
        <x:v>3</x:v>
      </x:c>
      <x:c r="I17" s="30" t="n">
        <x:f>'Normalized_History_v0.2.1'!K16</x:f>
        <x:v>2.32</x:v>
      </x:c>
      <x:c r="J17" s="30" t="n">
        <x:f>'Normalized_History_v0.2.1'!L16</x:f>
        <x:v>1.67</x:v>
      </x:c>
      <x:c r="K17" s="32" t="n">
        <x:f>(1/J17)/((1/J17)+(1/I17))</x:f>
        <x:v>0.581453634085213</x:v>
      </x:c>
      <x:c r="L17" t="n">
        <x:f>COUNTIF($D$5:D16,D17)+COUNTIF($E$5:E16,D17)</x:f>
        <x:v>0</x:v>
      </x:c>
      <x:c r="M17" t="n">
        <x:f>COUNTIF($D$5:D16,E17)+COUNTIF($E$5:E16,E17)</x:f>
        <x:v>0</x:v>
      </x:c>
      <x:c r="N17" t="n">
        <x:f>SUMIF($D$5:D16,D17,$F$5:F16)+SUMIF($E$5:E16,D17,$G$5:G16)</x:f>
        <x:v>0</x:v>
      </x:c>
      <x:c r="O17" t="n">
        <x:f>SUMIF($D$5:D16,D17,$G$5:G16)+SUMIF($E$5:E16,D17,$F$5:F16)</x:f>
        <x:v>0</x:v>
      </x:c>
      <x:c r="P17" t="n">
        <x:f>SUMIF($D$5:D16,E17,$F$5:F16)+SUMIF($E$5:E16,E17,$G$5:G16)</x:f>
        <x:v>0</x:v>
      </x:c>
      <x:c r="Q17" t="n">
        <x:f>SUMIF($D$5:D16,E17,$G$5:G16)+SUMIF($E$5:E16,E17,$F$5:F16)</x:f>
        <x:v>0</x:v>
      </x:c>
      <x:c r="R17" t="n">
        <x:v>1.5</x:v>
      </x:c>
      <x:c r="S17" t="n">
        <x:v>5</x:v>
      </x:c>
      <x:c r="T17" s="96" t="n">
        <x:f>(R17*S17+N17)/(S17+L17)</x:f>
        <x:v>1.5</x:v>
      </x:c>
      <x:c r="U17" s="96" t="n">
        <x:f>(R17*S17+O17)/(S17+L17)</x:f>
        <x:v>1.5</x:v>
      </x:c>
      <x:c r="V17" s="96" t="n">
        <x:f>(R17*S17+P17)/(S17+M17)</x:f>
        <x:v>1.5</x:v>
      </x:c>
      <x:c r="W17" s="96" t="n">
        <x:f>(R17*S17+Q17)/(S17+M17)</x:f>
        <x:v>1.5</x:v>
      </x:c>
      <x:c r="X17" s="96" t="n">
        <x:f>T17*W17/R17</x:f>
        <x:v>1.5</x:v>
      </x:c>
      <x:c r="Y17" s="96" t="n">
        <x:f>V17*U17/R17</x:f>
        <x:v>1.5</x:v>
      </x:c>
      <x:c r="Z17" s="96" t="n">
        <x:f>X17+Y17</x:f>
        <x:v>3</x:v>
      </x:c>
      <x:c r="AA17" s="32" t="n">
        <x:f>EXP(-Z17)*(1+Z17+Z17^2/2+Z17^3/6)</x:f>
        <x:v>0.6472318887822313</x:v>
      </x:c>
      <x:c r="AB17" s="32" t="n">
        <x:f>AA17-K17</x:f>
        <x:v>0.06577825469701826</x:v>
      </x:c>
      <x:c r="AC17" s="32" t="n">
        <x:f>AA17*J17-1</x:f>
        <x:v>0.08087725426632608</x:v>
      </x:c>
      <x:c r="AD17" s="32" t="n">
        <x:f>IF(H17&lt;=3,1,0)</x:f>
        <x:v>1</x:v>
      </x:c>
      <x:c r="AE17" s="32" t="n">
        <x:f>(AA17-AD17)^2</x:f>
        <x:v>0.12444534029215205</x:v>
      </x:c>
      <x:c r="AF17" s="32" t="n">
        <x:f>(K17-AD17)^2</x:f>
        <x:v>0.17518106042047477</x:v>
      </x:c>
      <x:c r="AG17" s="32" t="n">
        <x:f>-1*(AD17*LN(AA17)+(1-AD17)*LN(1-AA17))</x:f>
        <x:v>0.43505064253846326</x:v>
      </x:c>
      <x:c r="AH17" s="32" t="n">
        <x:f>-1*(AD17*LN(K17)+(1-AD17)*LN(1-K17))</x:f>
        <x:v>0.5422240452235536</x:v>
      </x:c>
      <x:c r="AI17" s="32" t="n">
        <x:f>S17/(S17+L17)</x:f>
        <x:v>1</x:v>
      </x:c>
      <x:c r="AJ17" s="32" t="n">
        <x:f>S17/(S17+M17)</x:f>
        <x:v>1</x:v>
      </x:c>
      <x:c r="AK17" t="str">
        <x:f>IF(MIN(L17,M17)&gt;=3,"VALIDATION",IF(MIN(L17,M17)&gt;=1,"RESEARCH","PRIOR-DOMINATED"))</x:f>
        <x:v>PRIOR-DOMINATED</x:v>
      </x:c>
      <x:c r="AL17" t="str">
        <x:f>IF(AND(AB17&gt;=0.05,AC17&gt;=0.03,AK17&lt;&gt;"PRIOR-DOMINATED"),"PAPER VALUE","NO")</x:f>
        <x:v>NO</x:v>
      </x:c>
      <x:c r="AM17" s="30" t="str">
        <x:f>IF(AL17&lt;&gt;"PAPER VALUE","",IF(AD17=1,J17-1,-1))</x:f>
      </x:c>
      <x:c r="AN17" s="30" t="n">
        <x:f>IF(AD17=1,J17-1,-1)</x:f>
        <x:v>0.6699999999999999</x:v>
      </x:c>
      <x:c r="AO17" t="str">
        <x:f>IF(AND(R17=1.5,S17=5),"PASS","FAIL")</x:f>
        <x:v>PASS</x:v>
      </x:c>
      <x:c r="AP17" t="str">
        <x:v>https://footiqo.com/database/leagues/usa-mls/</x:v>
      </x:c>
      <x:c r="AR17" s="716" t="str">
        <x:v>Full validation rows N&gt;=3</x:v>
      </x:c>
      <x:c r="AS17" t="n">
        <x:f>COUNTIF(AK5:AK29,"VALIDATION")</x:f>
        <x:v>0</x:v>
      </x:c>
      <x:c r="AT17" t="str"/>
      <x:c r="AU17" t="str"/>
      <x:c r="AV17" t="str">
        <x:v>Required for promotion</x:v>
      </x:c>
    </x:row>
    <x:row r="18">
      <x:c r="A18" t="n">
        <x:v>14</x:v>
      </x:c>
      <x:c r="B18" t="str">
        <x:f>'Normalized_History_v0.2.1'!A17</x:f>
        <x:v>97266</x:v>
      </x:c>
      <x:c r="C18" s="28" t="str">
        <x:f>'Normalized_History_v0.2.1'!B17</x:f>
        <x:v>2026-02-23</x:v>
      </x:c>
      <x:c r="D18" t="str">
        <x:f>'Normalized_History_v0.2.1'!D17</x:f>
        <x:v>Los Angeles Galaxy</x:v>
      </x:c>
      <x:c r="E18" t="str">
        <x:f>'Normalized_History_v0.2.1'!E17</x:f>
        <x:v>New York City</x:v>
      </x:c>
      <x:c r="F18" t="n">
        <x:f>'Normalized_History_v0.2.1'!F17</x:f>
        <x:v>1</x:v>
      </x:c>
      <x:c r="G18" t="n">
        <x:f>'Normalized_History_v0.2.1'!G17</x:f>
        <x:v>1</x:v>
      </x:c>
      <x:c r="H18" t="n">
        <x:f>F18+G18</x:f>
        <x:v>2</x:v>
      </x:c>
      <x:c r="I18" s="30" t="n">
        <x:f>'Normalized_History_v0.2.1'!K17</x:f>
        <x:v>3.01</x:v>
      </x:c>
      <x:c r="J18" s="30" t="n">
        <x:f>'Normalized_History_v0.2.1'!L17</x:f>
        <x:v>1.4</x:v>
      </x:c>
      <x:c r="K18" s="32" t="n">
        <x:f>(1/J18)/((1/J18)+(1/I18))</x:f>
        <x:v>0.6825396825396824</x:v>
      </x:c>
      <x:c r="L18" t="n">
        <x:f>COUNTIF($D$5:D17,D18)+COUNTIF($E$5:E17,D18)</x:f>
        <x:v>0</x:v>
      </x:c>
      <x:c r="M18" t="n">
        <x:f>COUNTIF($D$5:D17,E18)+COUNTIF($E$5:E17,E18)</x:f>
        <x:v>0</x:v>
      </x:c>
      <x:c r="N18" t="n">
        <x:f>SUMIF($D$5:D17,D18,$F$5:F17)+SUMIF($E$5:E17,D18,$G$5:G17)</x:f>
        <x:v>0</x:v>
      </x:c>
      <x:c r="O18" t="n">
        <x:f>SUMIF($D$5:D17,D18,$G$5:G17)+SUMIF($E$5:E17,D18,$F$5:F17)</x:f>
        <x:v>0</x:v>
      </x:c>
      <x:c r="P18" t="n">
        <x:f>SUMIF($D$5:D17,E18,$F$5:F17)+SUMIF($E$5:E17,E18,$G$5:G17)</x:f>
        <x:v>0</x:v>
      </x:c>
      <x:c r="Q18" t="n">
        <x:f>SUMIF($D$5:D17,E18,$G$5:G17)+SUMIF($E$5:E17,E18,$F$5:F17)</x:f>
        <x:v>0</x:v>
      </x:c>
      <x:c r="R18" t="n">
        <x:v>1.5</x:v>
      </x:c>
      <x:c r="S18" t="n">
        <x:v>5</x:v>
      </x:c>
      <x:c r="T18" s="96" t="n">
        <x:f>(R18*S18+N18)/(S18+L18)</x:f>
        <x:v>1.5</x:v>
      </x:c>
      <x:c r="U18" s="96" t="n">
        <x:f>(R18*S18+O18)/(S18+L18)</x:f>
        <x:v>1.5</x:v>
      </x:c>
      <x:c r="V18" s="96" t="n">
        <x:f>(R18*S18+P18)/(S18+M18)</x:f>
        <x:v>1.5</x:v>
      </x:c>
      <x:c r="W18" s="96" t="n">
        <x:f>(R18*S18+Q18)/(S18+M18)</x:f>
        <x:v>1.5</x:v>
      </x:c>
      <x:c r="X18" s="96" t="n">
        <x:f>T18*W18/R18</x:f>
        <x:v>1.5</x:v>
      </x:c>
      <x:c r="Y18" s="96" t="n">
        <x:f>V18*U18/R18</x:f>
        <x:v>1.5</x:v>
      </x:c>
      <x:c r="Z18" s="96" t="n">
        <x:f>X18+Y18</x:f>
        <x:v>3</x:v>
      </x:c>
      <x:c r="AA18" s="32" t="n">
        <x:f>EXP(-Z18)*(1+Z18+Z18^2/2+Z18^3/6)</x:f>
        <x:v>0.6472318887822313</x:v>
      </x:c>
      <x:c r="AB18" s="32" t="n">
        <x:f>AA18-K18</x:f>
        <x:v>-0.03530779375745119</x:v>
      </x:c>
      <x:c r="AC18" s="32" t="n">
        <x:f>AA18*J18-1</x:f>
        <x:v>-0.09387535570487626</x:v>
      </x:c>
      <x:c r="AD18" s="32" t="n">
        <x:f>IF(H18&lt;=3,1,0)</x:f>
        <x:v>1</x:v>
      </x:c>
      <x:c r="AE18" s="32" t="n">
        <x:f>(AA18-AD18)^2</x:f>
        <x:v>0.12444534029215205</x:v>
      </x:c>
      <x:c r="AF18" s="32" t="n">
        <x:f>(K18-AD18)^2</x:f>
        <x:v>0.1007810531620056</x:v>
      </x:c>
      <x:c r="AG18" s="32" t="n">
        <x:f>-1*(AD18*LN(AA18)+(1-AD18)*LN(1-AA18))</x:f>
        <x:v>0.43505064253846326</x:v>
      </x:c>
      <x:c r="AH18" s="32" t="n">
        <x:f>-1*(AD18*LN(K18)+(1-AD18)*LN(1-K18))</x:f>
        <x:v>0.3819346106979704</x:v>
      </x:c>
      <x:c r="AI18" s="32" t="n">
        <x:f>S18/(S18+L18)</x:f>
        <x:v>1</x:v>
      </x:c>
      <x:c r="AJ18" s="32" t="n">
        <x:f>S18/(S18+M18)</x:f>
        <x:v>1</x:v>
      </x:c>
      <x:c r="AK18" t="str">
        <x:f>IF(MIN(L18,M18)&gt;=3,"VALIDATION",IF(MIN(L18,M18)&gt;=1,"RESEARCH","PRIOR-DOMINATED"))</x:f>
        <x:v>PRIOR-DOMINATED</x:v>
      </x:c>
      <x:c r="AL18" t="str">
        <x:f>IF(AND(AB18&gt;=0.05,AC18&gt;=0.03,AK18&lt;&gt;"PRIOR-DOMINATED"),"PAPER VALUE","NO")</x:f>
        <x:v>NO</x:v>
      </x:c>
      <x:c r="AM18" s="30" t="str">
        <x:f>IF(AL18&lt;&gt;"PAPER VALUE","",IF(AD18=1,J18-1,-1))</x:f>
      </x:c>
      <x:c r="AN18" s="30" t="n">
        <x:f>IF(AD18=1,J18-1,-1)</x:f>
        <x:v>0.3999999999999999</x:v>
      </x:c>
      <x:c r="AO18" t="str">
        <x:f>IF(AND(R18=1.5,S18=5),"PASS","FAIL")</x:f>
        <x:v>PASS</x:v>
      </x:c>
      <x:c r="AP18" t="str">
        <x:v>https://footiqo.com/database/leagues/usa-mls/</x:v>
      </x:c>
      <x:c r="AR18" s="716" t="str">
        <x:v>Paper-value qualifiers (non-prior dominated)</x:v>
      </x:c>
      <x:c r="AS18" t="n">
        <x:f>COUNTIF(AL5:AL29,"PAPER VALUE")</x:f>
        <x:v>0</x:v>
      </x:c>
      <x:c r="AT18" t="str"/>
      <x:c r="AU18" t="str"/>
      <x:c r="AV18" t="str">
        <x:v>Edge&gt;=5pp and EV&gt;=3%</x:v>
      </x:c>
    </x:row>
    <x:row r="19">
      <x:c r="A19" t="n">
        <x:v>15</x:v>
      </x:c>
      <x:c r="B19" t="str">
        <x:f>'Normalized_History_v0.2.1'!A18</x:f>
        <x:v>97269</x:v>
      </x:c>
      <x:c r="C19" s="28" t="str">
        <x:f>'Normalized_History_v0.2.1'!B18</x:f>
        <x:v>2026-02-23</x:v>
      </x:c>
      <x:c r="D19" t="str">
        <x:f>'Normalized_History_v0.2.1'!D18</x:f>
        <x:v>Seattle Sounders</x:v>
      </x:c>
      <x:c r="E19" t="str">
        <x:f>'Normalized_History_v0.2.1'!E18</x:f>
        <x:v>Colorado Rapids</x:v>
      </x:c>
      <x:c r="F19" t="n">
        <x:f>'Normalized_History_v0.2.1'!F18</x:f>
        <x:v>2</x:v>
      </x:c>
      <x:c r="G19" t="n">
        <x:f>'Normalized_History_v0.2.1'!G18</x:f>
        <x:v>0</x:v>
      </x:c>
      <x:c r="H19" t="n">
        <x:f>F19+G19</x:f>
        <x:v>2</x:v>
      </x:c>
      <x:c r="I19" s="30" t="n">
        <x:f>'Normalized_History_v0.2.1'!K18</x:f>
        <x:v>2.19</x:v>
      </x:c>
      <x:c r="J19" s="30" t="n">
        <x:f>'Normalized_History_v0.2.1'!L18</x:f>
        <x:v>1.74</x:v>
      </x:c>
      <x:c r="K19" s="32" t="n">
        <x:f>(1/J19)/((1/J19)+(1/I19))</x:f>
        <x:v>0.5572519083969466</x:v>
      </x:c>
      <x:c r="L19" t="n">
        <x:f>COUNTIF($D$5:D18,D19)+COUNTIF($E$5:E18,D19)</x:f>
        <x:v>0</x:v>
      </x:c>
      <x:c r="M19" t="n">
        <x:f>COUNTIF($D$5:D18,E19)+COUNTIF($E$5:E18,E19)</x:f>
        <x:v>0</x:v>
      </x:c>
      <x:c r="N19" t="n">
        <x:f>SUMIF($D$5:D18,D19,$F$5:F18)+SUMIF($E$5:E18,D19,$G$5:G18)</x:f>
        <x:v>0</x:v>
      </x:c>
      <x:c r="O19" t="n">
        <x:f>SUMIF($D$5:D18,D19,$G$5:G18)+SUMIF($E$5:E18,D19,$F$5:F18)</x:f>
        <x:v>0</x:v>
      </x:c>
      <x:c r="P19" t="n">
        <x:f>SUMIF($D$5:D18,E19,$F$5:F18)+SUMIF($E$5:E18,E19,$G$5:G18)</x:f>
        <x:v>0</x:v>
      </x:c>
      <x:c r="Q19" t="n">
        <x:f>SUMIF($D$5:D18,E19,$G$5:G18)+SUMIF($E$5:E18,E19,$F$5:F18)</x:f>
        <x:v>0</x:v>
      </x:c>
      <x:c r="R19" t="n">
        <x:v>1.5</x:v>
      </x:c>
      <x:c r="S19" t="n">
        <x:v>5</x:v>
      </x:c>
      <x:c r="T19" s="96" t="n">
        <x:f>(R19*S19+N19)/(S19+L19)</x:f>
        <x:v>1.5</x:v>
      </x:c>
      <x:c r="U19" s="96" t="n">
        <x:f>(R19*S19+O19)/(S19+L19)</x:f>
        <x:v>1.5</x:v>
      </x:c>
      <x:c r="V19" s="96" t="n">
        <x:f>(R19*S19+P19)/(S19+M19)</x:f>
        <x:v>1.5</x:v>
      </x:c>
      <x:c r="W19" s="96" t="n">
        <x:f>(R19*S19+Q19)/(S19+M19)</x:f>
        <x:v>1.5</x:v>
      </x:c>
      <x:c r="X19" s="96" t="n">
        <x:f>T19*W19/R19</x:f>
        <x:v>1.5</x:v>
      </x:c>
      <x:c r="Y19" s="96" t="n">
        <x:f>V19*U19/R19</x:f>
        <x:v>1.5</x:v>
      </x:c>
      <x:c r="Z19" s="96" t="n">
        <x:f>X19+Y19</x:f>
        <x:v>3</x:v>
      </x:c>
      <x:c r="AA19" s="32" t="n">
        <x:f>EXP(-Z19)*(1+Z19+Z19^2/2+Z19^3/6)</x:f>
        <x:v>0.6472318887822313</x:v>
      </x:c>
      <x:c r="AB19" s="32" t="n">
        <x:f>AA19-K19</x:f>
        <x:v>0.08997998038528465</x:v>
      </x:c>
      <x:c r="AC19" s="32" t="n">
        <x:f>AA19*J19-1</x:f>
        <x:v>0.12618348648108246</x:v>
      </x:c>
      <x:c r="AD19" s="32" t="n">
        <x:f>IF(H19&lt;=3,1,0)</x:f>
        <x:v>1</x:v>
      </x:c>
      <x:c r="AE19" s="32" t="n">
        <x:f>(AA19-AD19)^2</x:f>
        <x:v>0.12444534029215205</x:v>
      </x:c>
      <x:c r="AF19" s="32" t="n">
        <x:f>(K19-AD19)^2</x:f>
        <x:v>0.19602587261814575</x:v>
      </x:c>
      <x:c r="AG19" s="32" t="n">
        <x:f>-1*(AD19*LN(AA19)+(1-AD19)*LN(1-AA19))</x:f>
        <x:v>0.43505064253846326</x:v>
      </x:c>
      <x:c r="AH19" s="32" t="n">
        <x:f>-1*(AD19*LN(K19)+(1-AD19)*LN(1-K19))</x:f>
        <x:v>0.5847378820527603</x:v>
      </x:c>
      <x:c r="AI19" s="32" t="n">
        <x:f>S19/(S19+L19)</x:f>
        <x:v>1</x:v>
      </x:c>
      <x:c r="AJ19" s="32" t="n">
        <x:f>S19/(S19+M19)</x:f>
        <x:v>1</x:v>
      </x:c>
      <x:c r="AK19" t="str">
        <x:f>IF(MIN(L19,M19)&gt;=3,"VALIDATION",IF(MIN(L19,M19)&gt;=1,"RESEARCH","PRIOR-DOMINATED"))</x:f>
        <x:v>PRIOR-DOMINATED</x:v>
      </x:c>
      <x:c r="AL19" t="str">
        <x:f>IF(AND(AB19&gt;=0.05,AC19&gt;=0.03,AK19&lt;&gt;"PRIOR-DOMINATED"),"PAPER VALUE","NO")</x:f>
        <x:v>NO</x:v>
      </x:c>
      <x:c r="AM19" s="30" t="str">
        <x:f>IF(AL19&lt;&gt;"PAPER VALUE","",IF(AD19=1,J19-1,-1))</x:f>
      </x:c>
      <x:c r="AN19" s="30" t="n">
        <x:f>IF(AD19=1,J19-1,-1)</x:f>
        <x:v>0.74</x:v>
      </x:c>
      <x:c r="AO19" t="str">
        <x:f>IF(AND(R19=1.5,S19=5),"PASS","FAIL")</x:f>
        <x:v>PASS</x:v>
      </x:c>
      <x:c r="AP19" t="str">
        <x:v>https://footiqo.com/database/leagues/usa-mls/</x:v>
      </x:c>
      <x:c r="AR19" s="716" t="str">
        <x:v>Paper-value wins</x:v>
      </x:c>
      <x:c r="AS19" t="n">
        <x:f>COUNTIFS(AL5:AL29,"PAPER VALUE",AD5:AD29,1)</x:f>
        <x:v>0</x:v>
      </x:c>
      <x:c r="AT19" t="str"/>
      <x:c r="AU19" t="str"/>
      <x:c r="AV19" t="str"/>
    </x:row>
    <x:row r="20">
      <x:c r="A20" t="n">
        <x:v>16</x:v>
      </x:c>
      <x:c r="B20" t="str">
        <x:f>'Normalized_History_v0.2.1'!A19</x:f>
        <x:v>97481</x:v>
      </x:c>
      <x:c r="C20" s="28" t="str">
        <x:f>'Normalized_History_v0.2.1'!B19</x:f>
        <x:v>2026-02-28</x:v>
      </x:c>
      <x:c r="D20" t="str">
        <x:f>'Normalized_History_v0.2.1'!D19</x:f>
        <x:v>Chicago Fire</x:v>
      </x:c>
      <x:c r="E20" t="str">
        <x:f>'Normalized_History_v0.2.1'!E19</x:f>
        <x:v>CF Montreal</x:v>
      </x:c>
      <x:c r="F20" t="n">
        <x:f>'Normalized_History_v0.2.1'!F19</x:f>
        <x:v>3</x:v>
      </x:c>
      <x:c r="G20" t="n">
        <x:f>'Normalized_History_v0.2.1'!G19</x:f>
        <x:v>0</x:v>
      </x:c>
      <x:c r="H20" t="n">
        <x:f>F20+G20</x:f>
        <x:v>3</x:v>
      </x:c>
      <x:c r="I20" s="30" t="n">
        <x:f>'Normalized_History_v0.2.1'!K19</x:f>
        <x:v>2.53</x:v>
      </x:c>
      <x:c r="J20" s="30" t="n">
        <x:f>'Normalized_History_v0.2.1'!L19</x:f>
        <x:v>1.54</x:v>
      </x:c>
      <x:c r="K20" s="32" t="n">
        <x:f>(1/J20)/((1/J20)+(1/I20))</x:f>
        <x:v>0.6216216216216216</x:v>
      </x:c>
      <x:c r="L20" t="n">
        <x:f>COUNTIF($D$5:D19,D20)+COUNTIF($E$5:E19,D20)</x:f>
        <x:v>1</x:v>
      </x:c>
      <x:c r="M20" t="n">
        <x:f>COUNTIF($D$5:D19,E20)+COUNTIF($E$5:E19,E20)</x:f>
        <x:v>1</x:v>
      </x:c>
      <x:c r="N20" t="n">
        <x:f>SUMIF($D$5:D19,D20,$F$5:F19)+SUMIF($E$5:E19,D20,$G$5:G19)</x:f>
        <x:v>1</x:v>
      </x:c>
      <x:c r="O20" t="n">
        <x:f>SUMIF($D$5:D19,D20,$G$5:G19)+SUMIF($E$5:E19,D20,$F$5:F19)</x:f>
        <x:v>2</x:v>
      </x:c>
      <x:c r="P20" t="n">
        <x:f>SUMIF($D$5:D19,E20,$F$5:F19)+SUMIF($E$5:E19,E20,$G$5:G19)</x:f>
        <x:v>0</x:v>
      </x:c>
      <x:c r="Q20" t="n">
        <x:f>SUMIF($D$5:D19,E20,$G$5:G19)+SUMIF($E$5:E19,E20,$F$5:F19)</x:f>
        <x:v>5</x:v>
      </x:c>
      <x:c r="R20" t="n">
        <x:v>1.5</x:v>
      </x:c>
      <x:c r="S20" t="n">
        <x:v>5</x:v>
      </x:c>
      <x:c r="T20" s="96" t="n">
        <x:f>(R20*S20+N20)/(S20+L20)</x:f>
        <x:v>1.4166666666666667</x:v>
      </x:c>
      <x:c r="U20" s="96" t="n">
        <x:f>(R20*S20+O20)/(S20+L20)</x:f>
        <x:v>1.5833333333333333</x:v>
      </x:c>
      <x:c r="V20" s="96" t="n">
        <x:f>(R20*S20+P20)/(S20+M20)</x:f>
        <x:v>1.25</x:v>
      </x:c>
      <x:c r="W20" s="96" t="n">
        <x:f>(R20*S20+Q20)/(S20+M20)</x:f>
        <x:v>2.0833333333333335</x:v>
      </x:c>
      <x:c r="X20" s="96" t="n">
        <x:f>T20*W20/R20</x:f>
        <x:v>1.9675925925925928</x:v>
      </x:c>
      <x:c r="Y20" s="96" t="n">
        <x:f>V20*U20/R20</x:f>
        <x:v>1.3194444444444444</x:v>
      </x:c>
      <x:c r="Z20" s="96" t="n">
        <x:f>X20+Y20</x:f>
        <x:v>3.287037037037037</x:v>
      </x:c>
      <x:c r="AA20" s="32" t="n">
        <x:f>EXP(-Z20)*(1+Z20+Z20^2/2+Z20^3/6)</x:f>
        <x:v>0.5832035339179036</x:v>
      </x:c>
      <x:c r="AB20" s="32" t="n">
        <x:f>AA20-K20</x:f>
        <x:v>-0.03841808770371802</x:v>
      </x:c>
      <x:c r="AC20" s="32" t="n">
        <x:f>AA20*J20-1</x:f>
        <x:v>-0.1018665577664285</x:v>
      </x:c>
      <x:c r="AD20" s="32" t="n">
        <x:f>IF(H20&lt;=3,1,0)</x:f>
        <x:v>1</x:v>
      </x:c>
      <x:c r="AE20" s="32" t="n">
        <x:f>(AA20-AD20)^2</x:f>
        <x:v>0.17371929413852416</x:v>
      </x:c>
      <x:c r="AF20" s="32" t="n">
        <x:f>(K20-AD20)^2</x:f>
        <x:v>0.14317019722425128</x:v>
      </x:c>
      <x:c r="AG20" s="32" t="n">
        <x:f>-1*(AD20*LN(AA20)+(1-AD20)*LN(1-AA20))</x:f>
        <x:v>0.5392190387760345</x:v>
      </x:c>
      <x:c r="AH20" s="32" t="n">
        <x:f>-1*(AD20*LN(K20)+(1-AD20)*LN(1-K20))</x:f>
        <x:v>0.4754236967150748</x:v>
      </x:c>
      <x:c r="AI20" s="32" t="n">
        <x:f>S20/(S20+L20)</x:f>
        <x:v>0.8333333333333334</x:v>
      </x:c>
      <x:c r="AJ20" s="32" t="n">
        <x:f>S20/(S20+M20)</x:f>
        <x:v>0.8333333333333334</x:v>
      </x:c>
      <x:c r="AK20" t="str">
        <x:f>IF(MIN(L20,M20)&gt;=3,"VALIDATION",IF(MIN(L20,M20)&gt;=1,"RESEARCH","PRIOR-DOMINATED"))</x:f>
        <x:v>RESEARCH</x:v>
      </x:c>
      <x:c r="AL20" t="str">
        <x:f>IF(AND(AB20&gt;=0.05,AC20&gt;=0.03,AK20&lt;&gt;"PRIOR-DOMINATED"),"PAPER VALUE","NO")</x:f>
        <x:v>NO</x:v>
      </x:c>
      <x:c r="AM20" s="30" t="str">
        <x:f>IF(AL20&lt;&gt;"PAPER VALUE","",IF(AD20=1,J20-1,-1))</x:f>
      </x:c>
      <x:c r="AN20" s="30" t="n">
        <x:f>IF(AD20=1,J20-1,-1)</x:f>
        <x:v>0.54</x:v>
      </x:c>
      <x:c r="AO20" t="str">
        <x:f>IF(AND(R20=1.5,S20=5),"PASS","FAIL")</x:f>
        <x:v>PASS</x:v>
      </x:c>
      <x:c r="AP20" t="str">
        <x:v>https://footiqo.com/database/leagues/usa-mls/</x:v>
      </x:c>
      <x:c r="AR20" s="716" t="str">
        <x:v>Paper-value ROI</x:v>
      </x:c>
      <x:c r="AS20" s="32" t="str">
        <x:f>IF(AS18=0,"",SUM(AM5:AM29)/AS18)</x:f>
      </x:c>
      <x:c r="AT20" t="str"/>
      <x:c r="AU20" t="str"/>
      <x:c r="AV20" t="str"/>
    </x:row>
    <x:row r="21">
      <x:c r="A21" t="n">
        <x:v>17</x:v>
      </x:c>
      <x:c r="B21" t="str">
        <x:f>'Normalized_History_v0.2.1'!A20</x:f>
        <x:v>97482</x:v>
      </x:c>
      <x:c r="C21" s="28" t="str">
        <x:f>'Normalized_History_v0.2.1'!B20</x:f>
        <x:v>2026-02-28</x:v>
      </x:c>
      <x:c r="D21" t="str">
        <x:f>'Normalized_History_v0.2.1'!D20</x:f>
        <x:v>New York Red Bulls</x:v>
      </x:c>
      <x:c r="E21" t="str">
        <x:f>'Normalized_History_v0.2.1'!E20</x:f>
        <x:v>New England Revolution</x:v>
      </x:c>
      <x:c r="F21" t="n">
        <x:f>'Normalized_History_v0.2.1'!F20</x:f>
        <x:v>1</x:v>
      </x:c>
      <x:c r="G21" t="n">
        <x:f>'Normalized_History_v0.2.1'!G20</x:f>
        <x:v>0</x:v>
      </x:c>
      <x:c r="H21" t="n">
        <x:f>F21+G21</x:f>
        <x:v>1</x:v>
      </x:c>
      <x:c r="I21" s="30" t="n">
        <x:f>'Normalized_History_v0.2.1'!K20</x:f>
        <x:v>2.63</x:v>
      </x:c>
      <x:c r="J21" s="30" t="n">
        <x:f>'Normalized_History_v0.2.1'!L20</x:f>
        <x:v>1.5</x:v>
      </x:c>
      <x:c r="K21" s="32" t="n">
        <x:f>(1/J21)/((1/J21)+(1/I21))</x:f>
        <x:v>0.6368038740920097</x:v>
      </x:c>
      <x:c r="L21" t="n">
        <x:f>COUNTIF($D$5:D20,D21)+COUNTIF($E$5:E20,D21)</x:f>
        <x:v>1</x:v>
      </x:c>
      <x:c r="M21" t="n">
        <x:f>COUNTIF($D$5:D20,E21)+COUNTIF($E$5:E20,E21)</x:f>
        <x:v>1</x:v>
      </x:c>
      <x:c r="N21" t="n">
        <x:f>SUMIF($D$5:D20,D21,$F$5:F20)+SUMIF($E$5:E20,D21,$G$5:G20)</x:f>
        <x:v>2</x:v>
      </x:c>
      <x:c r="O21" t="n">
        <x:f>SUMIF($D$5:D20,D21,$G$5:G20)+SUMIF($E$5:E20,D21,$F$5:F20)</x:f>
        <x:v>1</x:v>
      </x:c>
      <x:c r="P21" t="n">
        <x:f>SUMIF($D$5:D20,E21,$F$5:F20)+SUMIF($E$5:E20,E21,$G$5:G20)</x:f>
        <x:v>1</x:v>
      </x:c>
      <x:c r="Q21" t="n">
        <x:f>SUMIF($D$5:D20,E21,$G$5:G20)+SUMIF($E$5:E20,E21,$F$5:F20)</x:f>
        <x:v>4</x:v>
      </x:c>
      <x:c r="R21" t="n">
        <x:v>1.5</x:v>
      </x:c>
      <x:c r="S21" t="n">
        <x:v>5</x:v>
      </x:c>
      <x:c r="T21" s="96" t="n">
        <x:f>(R21*S21+N21)/(S21+L21)</x:f>
        <x:v>1.5833333333333333</x:v>
      </x:c>
      <x:c r="U21" s="96" t="n">
        <x:f>(R21*S21+O21)/(S21+L21)</x:f>
        <x:v>1.4166666666666667</x:v>
      </x:c>
      <x:c r="V21" s="96" t="n">
        <x:f>(R21*S21+P21)/(S21+M21)</x:f>
        <x:v>1.4166666666666667</x:v>
      </x:c>
      <x:c r="W21" s="96" t="n">
        <x:f>(R21*S21+Q21)/(S21+M21)</x:f>
        <x:v>1.9166666666666667</x:v>
      </x:c>
      <x:c r="X21" s="96" t="n">
        <x:f>T21*W21/R21</x:f>
        <x:v>2.0231481481481484</x:v>
      </x:c>
      <x:c r="Y21" s="96" t="n">
        <x:f>V21*U21/R21</x:f>
        <x:v>1.337962962962963</x:v>
      </x:c>
      <x:c r="Z21" s="96" t="n">
        <x:f>X21+Y21</x:f>
        <x:v>3.3611111111111116</x:v>
      </x:c>
      <x:c r="AA21" s="32" t="n">
        <x:f>EXP(-Z21)*(1+Z21+Z21^2/2+Z21^3/6)</x:f>
        <x:v>0.5668777509918695</x:v>
      </x:c>
      <x:c r="AB21" s="32" t="n">
        <x:f>AA21-K21</x:f>
        <x:v>-0.06992612310014013</x:v>
      </x:c>
      <x:c r="AC21" s="32" t="n">
        <x:f>AA21*J21-1</x:f>
        <x:v>-0.14968337351219563</x:v>
      </x:c>
      <x:c r="AD21" s="32" t="n">
        <x:f>IF(H21&lt;=3,1,0)</x:f>
        <x:v>1</x:v>
      </x:c>
      <x:c r="AE21" s="32" t="n">
        <x:f>(AA21-AD21)^2</x:f>
        <x:v>0.18759488258586096</x:v>
      </x:c>
      <x:c r="AF21" s="32" t="n">
        <x:f>(K21-AD21)^2</x:f>
        <x:v>0.13191142587457277</x:v>
      </x:c>
      <x:c r="AG21" s="32" t="n">
        <x:f>-1*(AD21*LN(AA21)+(1-AD21)*LN(1-AA21))</x:f>
        <x:v>0.5676116052171339</x:v>
      </x:c>
      <x:c r="AH21" s="32" t="n">
        <x:f>-1*(AD21*LN(K21)+(1-AD21)*LN(1-K21))</x:f>
        <x:v>0.4512935607832682</x:v>
      </x:c>
      <x:c r="AI21" s="32" t="n">
        <x:f>S21/(S21+L21)</x:f>
        <x:v>0.8333333333333334</x:v>
      </x:c>
      <x:c r="AJ21" s="32" t="n">
        <x:f>S21/(S21+M21)</x:f>
        <x:v>0.8333333333333334</x:v>
      </x:c>
      <x:c r="AK21" t="str">
        <x:f>IF(MIN(L21,M21)&gt;=3,"VALIDATION",IF(MIN(L21,M21)&gt;=1,"RESEARCH","PRIOR-DOMINATED"))</x:f>
        <x:v>RESEARCH</x:v>
      </x:c>
      <x:c r="AL21" t="str">
        <x:f>IF(AND(AB21&gt;=0.05,AC21&gt;=0.03,AK21&lt;&gt;"PRIOR-DOMINATED"),"PAPER VALUE","NO")</x:f>
        <x:v>NO</x:v>
      </x:c>
      <x:c r="AM21" s="30" t="str">
        <x:f>IF(AL21&lt;&gt;"PAPER VALUE","",IF(AD21=1,J21-1,-1))</x:f>
      </x:c>
      <x:c r="AN21" s="30" t="n">
        <x:f>IF(AD21=1,J21-1,-1)</x:f>
        <x:v>0.5</x:v>
      </x:c>
      <x:c r="AO21" t="str">
        <x:f>IF(AND(R21=1.5,S21=5),"PASS","FAIL")</x:f>
        <x:v>PASS</x:v>
      </x:c>
      <x:c r="AP21" t="str">
        <x:v>https://footiqo.com/database/leagues/usa-mls/</x:v>
      </x:c>
      <x:c r="AR21" s="716" t="str">
        <x:v>Current verdict</x:v>
      </x:c>
      <x:c r="AS21" t="str">
        <x:v>MARKET CHAMPION</x:v>
      </x:c>
      <x:c r="AT21" t="str"/>
      <x:c r="AU21" t="str"/>
      <x:c r="AV21" t="str">
        <x:v>M011 does not earn weight</x:v>
      </x:c>
    </x:row>
    <x:row r="22">
      <x:c r="A22" t="n">
        <x:v>18</x:v>
      </x:c>
      <x:c r="B22" t="str">
        <x:f>'Normalized_History_v0.2.1'!A21</x:f>
        <x:v>97492</x:v>
      </x:c>
      <x:c r="C22" s="28" t="str">
        <x:f>'Normalized_History_v0.2.1'!B21</x:f>
        <x:v>2026-02-28</x:v>
      </x:c>
      <x:c r="D22" t="str">
        <x:f>'Normalized_History_v0.2.1'!D21</x:f>
        <x:v>Colorado Rapids</x:v>
      </x:c>
      <x:c r="E22" t="str">
        <x:f>'Normalized_History_v0.2.1'!E21</x:f>
        <x:v>Portland Timbers</x:v>
      </x:c>
      <x:c r="F22" t="n">
        <x:f>'Normalized_History_v0.2.1'!F21</x:f>
        <x:v>2</x:v>
      </x:c>
      <x:c r="G22" t="n">
        <x:f>'Normalized_History_v0.2.1'!G21</x:f>
        <x:v>0</x:v>
      </x:c>
      <x:c r="H22" t="n">
        <x:f>F22+G22</x:f>
        <x:v>2</x:v>
      </x:c>
      <x:c r="I22" s="30" t="n">
        <x:f>'Normalized_History_v0.2.1'!K21</x:f>
        <x:v>2.41</x:v>
      </x:c>
      <x:c r="J22" s="30" t="n">
        <x:f>'Normalized_History_v0.2.1'!L21</x:f>
        <x:v>1.58</x:v>
      </x:c>
      <x:c r="K22" s="32" t="n">
        <x:f>(1/J22)/((1/J22)+(1/I22))</x:f>
        <x:v>0.6040100250626567</x:v>
      </x:c>
      <x:c r="L22" t="n">
        <x:f>COUNTIF($D$5:D21,D22)+COUNTIF($E$5:E21,D22)</x:f>
        <x:v>1</x:v>
      </x:c>
      <x:c r="M22" t="n">
        <x:f>COUNTIF($D$5:D21,E22)+COUNTIF($E$5:E21,E22)</x:f>
        <x:v>1</x:v>
      </x:c>
      <x:c r="N22" t="n">
        <x:f>SUMIF($D$5:D21,D22,$F$5:F21)+SUMIF($E$5:E21,D22,$G$5:G21)</x:f>
        <x:v>0</x:v>
      </x:c>
      <x:c r="O22" t="n">
        <x:f>SUMIF($D$5:D21,D22,$G$5:G21)+SUMIF($E$5:E21,D22,$F$5:F21)</x:f>
        <x:v>2</x:v>
      </x:c>
      <x:c r="P22" t="n">
        <x:f>SUMIF($D$5:D21,E22,$F$5:F21)+SUMIF($E$5:E21,E22,$G$5:G21)</x:f>
        <x:v>3</x:v>
      </x:c>
      <x:c r="Q22" t="n">
        <x:f>SUMIF($D$5:D21,E22,$G$5:G21)+SUMIF($E$5:E21,E22,$F$5:F21)</x:f>
        <x:v>2</x:v>
      </x:c>
      <x:c r="R22" t="n">
        <x:v>1.5</x:v>
      </x:c>
      <x:c r="S22" t="n">
        <x:v>5</x:v>
      </x:c>
      <x:c r="T22" s="96" t="n">
        <x:f>(R22*S22+N22)/(S22+L22)</x:f>
        <x:v>1.25</x:v>
      </x:c>
      <x:c r="U22" s="96" t="n">
        <x:f>(R22*S22+O22)/(S22+L22)</x:f>
        <x:v>1.5833333333333333</x:v>
      </x:c>
      <x:c r="V22" s="96" t="n">
        <x:f>(R22*S22+P22)/(S22+M22)</x:f>
        <x:v>1.75</x:v>
      </x:c>
      <x:c r="W22" s="96" t="n">
        <x:f>(R22*S22+Q22)/(S22+M22)</x:f>
        <x:v>1.5833333333333333</x:v>
      </x:c>
      <x:c r="X22" s="96" t="n">
        <x:f>T22*W22/R22</x:f>
        <x:v>1.3194444444444444</x:v>
      </x:c>
      <x:c r="Y22" s="96" t="n">
        <x:f>V22*U22/R22</x:f>
        <x:v>1.847222222222222</x:v>
      </x:c>
      <x:c r="Z22" s="96" t="n">
        <x:f>X22+Y22</x:f>
        <x:v>3.1666666666666665</x:v>
      </x:c>
      <x:c r="AA22" s="32" t="n">
        <x:f>EXP(-Z22)*(1+Z22+Z22^2/2+Z22^3/6)</x:f>
        <x:v>0.6099475869625751</x:v>
      </x:c>
      <x:c r="AB22" s="32" t="n">
        <x:f>AA22-K22</x:f>
        <x:v>0.005937561899918453</x:v>
      </x:c>
      <x:c r="AC22" s="32" t="n">
        <x:f>AA22*J22-1</x:f>
        <x:v>-0.03628281259913124</x:v>
      </x:c>
      <x:c r="AD22" s="32" t="n">
        <x:f>IF(H22&lt;=3,1,0)</x:f>
        <x:v>1</x:v>
      </x:c>
      <x:c r="AE22" s="32" t="n">
        <x:f>(AA22-AD22)^2</x:f>
        <x:v>0.15214088491631791</x:v>
      </x:c>
      <x:c r="AF22" s="32" t="n">
        <x:f>(K22-AD22)^2</x:f>
        <x:v>0.1568080602508778</x:v>
      </x:c>
      <x:c r="AG22" s="32" t="n">
        <x:f>-1*(AD22*LN(AA22)+(1-AD22)*LN(1-AA22))</x:f>
        <x:v>0.4943822485185455</x:v>
      </x:c>
      <x:c r="AH22" s="32" t="n">
        <x:f>-1*(AD22*LN(K22)+(1-AD22)*LN(1-K22))</x:f>
        <x:v>0.5041644833992084</x:v>
      </x:c>
      <x:c r="AI22" s="32" t="n">
        <x:f>S22/(S22+L22)</x:f>
        <x:v>0.8333333333333334</x:v>
      </x:c>
      <x:c r="AJ22" s="32" t="n">
        <x:f>S22/(S22+M22)</x:f>
        <x:v>0.8333333333333334</x:v>
      </x:c>
      <x:c r="AK22" t="str">
        <x:f>IF(MIN(L22,M22)&gt;=3,"VALIDATION",IF(MIN(L22,M22)&gt;=1,"RESEARCH","PRIOR-DOMINATED"))</x:f>
        <x:v>RESEARCH</x:v>
      </x:c>
      <x:c r="AL22" t="str">
        <x:f>IF(AND(AB22&gt;=0.05,AC22&gt;=0.03,AK22&lt;&gt;"PRIOR-DOMINATED"),"PAPER VALUE","NO")</x:f>
        <x:v>NO</x:v>
      </x:c>
      <x:c r="AM22" s="30" t="str">
        <x:f>IF(AL22&lt;&gt;"PAPER VALUE","",IF(AD22=1,J22-1,-1))</x:f>
      </x:c>
      <x:c r="AN22" s="30" t="n">
        <x:f>IF(AD22=1,J22-1,-1)</x:f>
        <x:v>0.5800000000000001</x:v>
      </x:c>
      <x:c r="AO22" t="str">
        <x:f>IF(AND(R22=1.5,S22=5),"PASS","FAIL")</x:f>
        <x:v>PASS</x:v>
      </x:c>
      <x:c r="AP22" t="str">
        <x:v>https://footiqo.com/database/leagues/usa-mls/</x:v>
      </x:c>
      <x:c r="AR22" s="716" t="str">
        <x:v>M011 decision weight</x:v>
      </x:c>
      <x:c r="AS22" t="str">
        <x:v>0%</x:v>
      </x:c>
      <x:c r="AT22" t="str"/>
      <x:c r="AU22" t="str"/>
      <x:c r="AV22" t="str">
        <x:v>No promotion</x:v>
      </x:c>
    </x:row>
    <x:row r="23">
      <x:c r="A23" t="n">
        <x:v>19</x:v>
      </x:c>
      <x:c r="B23" t="str">
        <x:f>'Normalized_History_v0.2.1'!A22</x:f>
        <x:v>97493</x:v>
      </x:c>
      <x:c r="C23" s="28" t="str">
        <x:f>'Normalized_History_v0.2.1'!B22</x:f>
        <x:v>2026-02-28</x:v>
      </x:c>
      <x:c r="D23" t="str">
        <x:f>'Normalized_History_v0.2.1'!D22</x:f>
        <x:v>Minnesota United</x:v>
      </x:c>
      <x:c r="E23" t="str">
        <x:f>'Normalized_History_v0.2.1'!E22</x:f>
        <x:v>FC Cincinnati</x:v>
      </x:c>
      <x:c r="F23" t="n">
        <x:f>'Normalized_History_v0.2.1'!F22</x:f>
        <x:v>1</x:v>
      </x:c>
      <x:c r="G23" t="n">
        <x:f>'Normalized_History_v0.2.1'!G22</x:f>
        <x:v>0</x:v>
      </x:c>
      <x:c r="H23" t="n">
        <x:f>F23+G23</x:f>
        <x:v>1</x:v>
      </x:c>
      <x:c r="I23" s="30" t="n">
        <x:f>'Normalized_History_v0.2.1'!K22</x:f>
        <x:v>3.01</x:v>
      </x:c>
      <x:c r="J23" s="30" t="n">
        <x:f>'Normalized_History_v0.2.1'!L22</x:f>
        <x:v>1.4</x:v>
      </x:c>
      <x:c r="K23" s="32" t="n">
        <x:f>(1/J23)/((1/J23)+(1/I23))</x:f>
        <x:v>0.6825396825396824</x:v>
      </x:c>
      <x:c r="L23" t="n">
        <x:f>COUNTIF($D$5:D22,D23)+COUNTIF($E$5:E22,D23)</x:f>
        <x:v>1</x:v>
      </x:c>
      <x:c r="M23" t="n">
        <x:f>COUNTIF($D$5:D22,E23)+COUNTIF($E$5:E22,E23)</x:f>
        <x:v>1</x:v>
      </x:c>
      <x:c r="N23" t="n">
        <x:f>SUMIF($D$5:D22,D23,$F$5:F22)+SUMIF($E$5:E22,D23,$G$5:G22)</x:f>
        <x:v>2</x:v>
      </x:c>
      <x:c r="O23" t="n">
        <x:f>SUMIF($D$5:D22,D23,$G$5:G22)+SUMIF($E$5:E22,D23,$F$5:F22)</x:f>
        <x:v>2</x:v>
      </x:c>
      <x:c r="P23" t="n">
        <x:f>SUMIF($D$5:D22,E23,$F$5:F22)+SUMIF($E$5:E22,E23,$G$5:G22)</x:f>
        <x:v>2</x:v>
      </x:c>
      <x:c r="Q23" t="n">
        <x:f>SUMIF($D$5:D22,E23,$G$5:G22)+SUMIF($E$5:E22,E23,$F$5:F22)</x:f>
        <x:v>0</x:v>
      </x:c>
      <x:c r="R23" t="n">
        <x:v>1.5</x:v>
      </x:c>
      <x:c r="S23" t="n">
        <x:v>5</x:v>
      </x:c>
      <x:c r="T23" s="96" t="n">
        <x:f>(R23*S23+N23)/(S23+L23)</x:f>
        <x:v>1.5833333333333333</x:v>
      </x:c>
      <x:c r="U23" s="96" t="n">
        <x:f>(R23*S23+O23)/(S23+L23)</x:f>
        <x:v>1.5833333333333333</x:v>
      </x:c>
      <x:c r="V23" s="96" t="n">
        <x:f>(R23*S23+P23)/(S23+M23)</x:f>
        <x:v>1.5833333333333333</x:v>
      </x:c>
      <x:c r="W23" s="96" t="n">
        <x:f>(R23*S23+Q23)/(S23+M23)</x:f>
        <x:v>1.25</x:v>
      </x:c>
      <x:c r="X23" s="96" t="n">
        <x:f>T23*W23/R23</x:f>
        <x:v>1.3194444444444444</x:v>
      </x:c>
      <x:c r="Y23" s="96" t="n">
        <x:f>V23*U23/R23</x:f>
        <x:v>1.671296296296296</x:v>
      </x:c>
      <x:c r="Z23" s="96" t="n">
        <x:f>X23+Y23</x:f>
        <x:v>2.9907407407407405</x:v>
      </x:c>
      <x:c r="AA23" s="32" t="n">
        <x:f>EXP(-Z23)*(1+Z23+Z23^2/2+Z23^3/6)</x:f>
        <x:v>0.649306340068347</x:v>
      </x:c>
      <x:c r="AB23" s="32" t="n">
        <x:f>AA23-K23</x:f>
        <x:v>-0.03323334247133547</x:v>
      </x:c>
      <x:c r="AC23" s="32" t="n">
        <x:f>AA23*J23-1</x:f>
        <x:v>-0.09097112390431428</x:v>
      </x:c>
      <x:c r="AD23" s="32" t="n">
        <x:f>IF(H23&lt;=3,1,0)</x:f>
        <x:v>1</x:v>
      </x:c>
      <x:c r="AE23" s="32" t="n">
        <x:f>(AA23-AD23)^2</x:f>
        <x:v>0.1229860431162579</x:v>
      </x:c>
      <x:c r="AF23" s="32" t="n">
        <x:f>(K23-AD23)^2</x:f>
        <x:v>0.1007810531620056</x:v>
      </x:c>
      <x:c r="AG23" s="32" t="n">
        <x:f>-1*(AD23*LN(AA23)+(1-AD23)*LN(1-AA23))</x:f>
        <x:v>0.4318506550484853</x:v>
      </x:c>
      <x:c r="AH23" s="32" t="n">
        <x:f>-1*(AD23*LN(K23)+(1-AD23)*LN(1-K23))</x:f>
        <x:v>0.3819346106979704</x:v>
      </x:c>
      <x:c r="AI23" s="32" t="n">
        <x:f>S23/(S23+L23)</x:f>
        <x:v>0.8333333333333334</x:v>
      </x:c>
      <x:c r="AJ23" s="32" t="n">
        <x:f>S23/(S23+M23)</x:f>
        <x:v>0.8333333333333334</x:v>
      </x:c>
      <x:c r="AK23" t="str">
        <x:f>IF(MIN(L23,M23)&gt;=3,"VALIDATION",IF(MIN(L23,M23)&gt;=1,"RESEARCH","PRIOR-DOMINATED"))</x:f>
        <x:v>RESEARCH</x:v>
      </x:c>
      <x:c r="AL23" t="str">
        <x:f>IF(AND(AB23&gt;=0.05,AC23&gt;=0.03,AK23&lt;&gt;"PRIOR-DOMINATED"),"PAPER VALUE","NO")</x:f>
        <x:v>NO</x:v>
      </x:c>
      <x:c r="AM23" s="30" t="str">
        <x:f>IF(AL23&lt;&gt;"PAPER VALUE","",IF(AD23=1,J23-1,-1))</x:f>
      </x:c>
      <x:c r="AN23" s="30" t="n">
        <x:f>IF(AD23=1,J23-1,-1)</x:f>
        <x:v>0.3999999999999999</x:v>
      </x:c>
      <x:c r="AO23" t="str">
        <x:f>IF(AND(R23=1.5,S23=5),"PASS","FAIL")</x:f>
        <x:v>PASS</x:v>
      </x:c>
      <x:c r="AP23" t="str">
        <x:v>https://footiqo.com/database/leagues/usa-mls/</x:v>
      </x:c>
    </x:row>
    <x:row r="24">
      <x:c r="A24" t="n">
        <x:v>20</x:v>
      </x:c>
      <x:c r="B24" t="str">
        <x:f>'Normalized_History_v0.2.1'!A23</x:f>
        <x:v>98696</x:v>
      </x:c>
      <x:c r="C24" s="28" t="str">
        <x:f>'Normalized_History_v0.2.1'!B23</x:f>
        <x:v>2026-03-01</x:v>
      </x:c>
      <x:c r="D24" t="str">
        <x:f>'Normalized_History_v0.2.1'!D23</x:f>
        <x:v>Real Salt Lake</x:v>
      </x:c>
      <x:c r="E24" t="str">
        <x:f>'Normalized_History_v0.2.1'!E23</x:f>
        <x:v>Seattle Sounders</x:v>
      </x:c>
      <x:c r="F24" t="n">
        <x:f>'Normalized_History_v0.2.1'!F23</x:f>
        <x:v>2</x:v>
      </x:c>
      <x:c r="G24" t="n">
        <x:f>'Normalized_History_v0.2.1'!G23</x:f>
        <x:v>1</x:v>
      </x:c>
      <x:c r="H24" t="n">
        <x:f>F24+G24</x:f>
        <x:v>3</x:v>
      </x:c>
      <x:c r="I24" s="30" t="n">
        <x:f>'Normalized_History_v0.2.1'!K23</x:f>
        <x:v>3.37</x:v>
      </x:c>
      <x:c r="J24" s="30" t="n">
        <x:f>'Normalized_History_v0.2.1'!L23</x:f>
        <x:v>1.34</x:v>
      </x:c>
      <x:c r="K24" s="32" t="n">
        <x:f>(1/J24)/((1/J24)+(1/I24))</x:f>
        <x:v>0.7154989384288747</x:v>
      </x:c>
      <x:c r="L24" t="n">
        <x:f>COUNTIF($D$5:D23,D24)+COUNTIF($E$5:E23,D24)</x:f>
        <x:v>1</x:v>
      </x:c>
      <x:c r="M24" t="n">
        <x:f>COUNTIF($D$5:D23,E24)+COUNTIF($E$5:E23,E24)</x:f>
        <x:v>1</x:v>
      </x:c>
      <x:c r="N24" t="n">
        <x:f>SUMIF($D$5:D23,D24,$F$5:F23)+SUMIF($E$5:E23,D24,$G$5:G23)</x:f>
        <x:v>0</x:v>
      </x:c>
      <x:c r="O24" t="n">
        <x:f>SUMIF($D$5:D23,D24,$G$5:G23)+SUMIF($E$5:E23,D24,$F$5:F23)</x:f>
        <x:v>1</x:v>
      </x:c>
      <x:c r="P24" t="n">
        <x:f>SUMIF($D$5:D23,E24,$F$5:F23)+SUMIF($E$5:E23,E24,$G$5:G23)</x:f>
        <x:v>2</x:v>
      </x:c>
      <x:c r="Q24" t="n">
        <x:f>SUMIF($D$5:D23,E24,$G$5:G23)+SUMIF($E$5:E23,E24,$F$5:F23)</x:f>
        <x:v>0</x:v>
      </x:c>
      <x:c r="R24" t="n">
        <x:v>1.5</x:v>
      </x:c>
      <x:c r="S24" t="n">
        <x:v>5</x:v>
      </x:c>
      <x:c r="T24" s="96" t="n">
        <x:f>(R24*S24+N24)/(S24+L24)</x:f>
        <x:v>1.25</x:v>
      </x:c>
      <x:c r="U24" s="96" t="n">
        <x:f>(R24*S24+O24)/(S24+L24)</x:f>
        <x:v>1.4166666666666667</x:v>
      </x:c>
      <x:c r="V24" s="96" t="n">
        <x:f>(R24*S24+P24)/(S24+M24)</x:f>
        <x:v>1.5833333333333333</x:v>
      </x:c>
      <x:c r="W24" s="96" t="n">
        <x:f>(R24*S24+Q24)/(S24+M24)</x:f>
        <x:v>1.25</x:v>
      </x:c>
      <x:c r="X24" s="96" t="n">
        <x:f>T24*W24/R24</x:f>
        <x:v>1.0416666666666667</x:v>
      </x:c>
      <x:c r="Y24" s="96" t="n">
        <x:f>V24*U24/R24</x:f>
        <x:v>1.4953703703703702</x:v>
      </x:c>
      <x:c r="Z24" s="96" t="n">
        <x:f>X24+Y24</x:f>
        <x:v>2.537037037037037</x:v>
      </x:c>
      <x:c r="AA24" s="32" t="n">
        <x:f>EXP(-Z24)*(1+Z24+Z24^2/2+Z24^3/6)</x:f>
        <x:v>0.7496304561986896</x:v>
      </x:c>
      <x:c r="AB24" s="32" t="n">
        <x:f>AA24-K24</x:f>
        <x:v>0.034131517769814934</x:v>
      </x:c>
      <x:c r="AC24" s="32" t="n">
        <x:f>AA24*J24-1</x:f>
        <x:v>0.00450481130624425</x:v>
      </x:c>
      <x:c r="AD24" s="32" t="n">
        <x:f>IF(H24&lt;=3,1,0)</x:f>
        <x:v>1</x:v>
      </x:c>
      <x:c r="AE24" s="32" t="n">
        <x:f>(AA24-AD24)^2</x:f>
        <x:v>0.06268490846327628</x:v>
      </x:c>
      <x:c r="AF24" s="32" t="n">
        <x:f>(K24-AD24)^2</x:f>
        <x:v>0.08094085403509724</x:v>
      </x:c>
      <x:c r="AG24" s="32" t="n">
        <x:f>-1*(AD24*LN(AA24)+(1-AD24)*LN(1-AA24))</x:f>
        <x:v>0.2881749189490803</x:v>
      </x:c>
      <x:c r="AH24" s="32" t="n">
        <x:f>-1*(AD24*LN(K24)+(1-AD24)*LN(1-K24))</x:f>
        <x:v>0.3347751636640561</x:v>
      </x:c>
      <x:c r="AI24" s="32" t="n">
        <x:f>S24/(S24+L24)</x:f>
        <x:v>0.8333333333333334</x:v>
      </x:c>
      <x:c r="AJ24" s="32" t="n">
        <x:f>S24/(S24+M24)</x:f>
        <x:v>0.8333333333333334</x:v>
      </x:c>
      <x:c r="AK24" t="str">
        <x:f>IF(MIN(L24,M24)&gt;=3,"VALIDATION",IF(MIN(L24,M24)&gt;=1,"RESEARCH","PRIOR-DOMINATED"))</x:f>
        <x:v>RESEARCH</x:v>
      </x:c>
      <x:c r="AL24" t="str">
        <x:f>IF(AND(AB24&gt;=0.05,AC24&gt;=0.03,AK24&lt;&gt;"PRIOR-DOMINATED"),"PAPER VALUE","NO")</x:f>
        <x:v>NO</x:v>
      </x:c>
      <x:c r="AM24" s="30" t="str">
        <x:f>IF(AL24&lt;&gt;"PAPER VALUE","",IF(AD24=1,J24-1,-1))</x:f>
      </x:c>
      <x:c r="AN24" s="30" t="n">
        <x:f>IF(AD24=1,J24-1,-1)</x:f>
        <x:v>0.3400000000000001</x:v>
      </x:c>
      <x:c r="AO24" t="str">
        <x:f>IF(AND(R24=1.5,S24=5),"PASS","FAIL")</x:f>
        <x:v>PASS</x:v>
      </x:c>
      <x:c r="AP24" t="str">
        <x:v>https://footiqo.com/database/leagues/usa-mls/</x:v>
      </x:c>
    </x:row>
    <x:row r="25">
      <x:c r="A25" t="n">
        <x:v>21</x:v>
      </x:c>
      <x:c r="B25" t="str">
        <x:f>'Normalized_History_v0.2.1'!A24</x:f>
        <x:v>98697</x:v>
      </x:c>
      <x:c r="C25" s="28" t="str">
        <x:f>'Normalized_History_v0.2.1'!B24</x:f>
        <x:v>2026-03-01</x:v>
      </x:c>
      <x:c r="D25" t="str">
        <x:f>'Normalized_History_v0.2.1'!D24</x:f>
        <x:v>San Jose Earthquakes</x:v>
      </x:c>
      <x:c r="E25" t="str">
        <x:f>'Normalized_History_v0.2.1'!E24</x:f>
        <x:v>Atlanta Utd</x:v>
      </x:c>
      <x:c r="F25" t="n">
        <x:f>'Normalized_History_v0.2.1'!F24</x:f>
        <x:v>2</x:v>
      </x:c>
      <x:c r="G25" t="n">
        <x:f>'Normalized_History_v0.2.1'!G24</x:f>
        <x:v>0</x:v>
      </x:c>
      <x:c r="H25" t="n">
        <x:f>F25+G25</x:f>
        <x:v>2</x:v>
      </x:c>
      <x:c r="I25" s="30" t="n">
        <x:f>'Normalized_History_v0.2.1'!K24</x:f>
        <x:v>2.82</x:v>
      </x:c>
      <x:c r="J25" s="30" t="n">
        <x:f>'Normalized_History_v0.2.1'!L24</x:f>
        <x:v>1.45</x:v>
      </x:c>
      <x:c r="K25" s="32" t="n">
        <x:f>(1/J25)/((1/J25)+(1/I25))</x:f>
        <x:v>0.6604215456674473</x:v>
      </x:c>
      <x:c r="L25" t="n">
        <x:f>COUNTIF($D$5:D24,D25)+COUNTIF($E$5:E24,D25)</x:f>
        <x:v>1</x:v>
      </x:c>
      <x:c r="M25" t="n">
        <x:f>COUNTIF($D$5:D24,E25)+COUNTIF($E$5:E24,E25)</x:f>
        <x:v>1</x:v>
      </x:c>
      <x:c r="N25" t="n">
        <x:f>SUMIF($D$5:D24,D25,$F$5:F24)+SUMIF($E$5:E24,D25,$G$5:G24)</x:f>
        <x:v>3</x:v>
      </x:c>
      <x:c r="O25" t="n">
        <x:f>SUMIF($D$5:D24,D25,$G$5:G24)+SUMIF($E$5:E24,D25,$F$5:F24)</x:f>
        <x:v>0</x:v>
      </x:c>
      <x:c r="P25" t="n">
        <x:f>SUMIF($D$5:D24,E25,$F$5:F24)+SUMIF($E$5:E24,E25,$G$5:G24)</x:f>
        <x:v>0</x:v>
      </x:c>
      <x:c r="Q25" t="n">
        <x:f>SUMIF($D$5:D24,E25,$G$5:G24)+SUMIF($E$5:E24,E25,$F$5:F24)</x:f>
        <x:v>2</x:v>
      </x:c>
      <x:c r="R25" t="n">
        <x:v>1.5</x:v>
      </x:c>
      <x:c r="S25" t="n">
        <x:v>5</x:v>
      </x:c>
      <x:c r="T25" s="96" t="n">
        <x:f>(R25*S25+N25)/(S25+L25)</x:f>
        <x:v>1.75</x:v>
      </x:c>
      <x:c r="U25" s="96" t="n">
        <x:f>(R25*S25+O25)/(S25+L25)</x:f>
        <x:v>1.25</x:v>
      </x:c>
      <x:c r="V25" s="96" t="n">
        <x:f>(R25*S25+P25)/(S25+M25)</x:f>
        <x:v>1.25</x:v>
      </x:c>
      <x:c r="W25" s="96" t="n">
        <x:f>(R25*S25+Q25)/(S25+M25)</x:f>
        <x:v>1.5833333333333333</x:v>
      </x:c>
      <x:c r="X25" s="96" t="n">
        <x:f>T25*W25/R25</x:f>
        <x:v>1.847222222222222</x:v>
      </x:c>
      <x:c r="Y25" s="96" t="n">
        <x:f>V25*U25/R25</x:f>
        <x:v>1.0416666666666667</x:v>
      </x:c>
      <x:c r="Z25" s="96" t="n">
        <x:f>X25+Y25</x:f>
        <x:v>2.888888888888889</x:v>
      </x:c>
      <x:c r="AA25" s="32" t="n">
        <x:f>EXP(-Z25)*(1+Z25+Z25^2/2+Z25^3/6)</x:f>
        <x:v>0.6721080368094784</x:v>
      </x:c>
      <x:c r="AB25" s="32" t="n">
        <x:f>AA25-K25</x:f>
        <x:v>0.01168649114203113</x:v>
      </x:c>
      <x:c r="AC25" s="32" t="n">
        <x:f>AA25*J25-1</x:f>
        <x:v>-0.025443346626256358</x:v>
      </x:c>
      <x:c r="AD25" s="32" t="n">
        <x:f>IF(H25&lt;=3,1,0)</x:f>
        <x:v>1</x:v>
      </x:c>
      <x:c r="AE25" s="32" t="n">
        <x:f>(AA25-AD25)^2</x:f>
        <x:v>0.10751313952493438</x:v>
      </x:c>
      <x:c r="AF25" s="32" t="n">
        <x:f>(K25-AD25)^2</x:f>
        <x:v>0.1153135266468856</x:v>
      </x:c>
      <x:c r="AG25" s="32" t="n">
        <x:f>-1*(AD25*LN(AA25)+(1-AD25)*LN(1-AA25))</x:f>
        <x:v>0.39733618231922435</x:v>
      </x:c>
      <x:c r="AH25" s="32" t="n">
        <x:f>-1*(AD25*LN(K25)+(1-AD25)*LN(1-K25))</x:f>
        <x:v>0.41487694229051103</x:v>
      </x:c>
      <x:c r="AI25" s="32" t="n">
        <x:f>S25/(S25+L25)</x:f>
        <x:v>0.8333333333333334</x:v>
      </x:c>
      <x:c r="AJ25" s="32" t="n">
        <x:f>S25/(S25+M25)</x:f>
        <x:v>0.8333333333333334</x:v>
      </x:c>
      <x:c r="AK25" t="str">
        <x:f>IF(MIN(L25,M25)&gt;=3,"VALIDATION",IF(MIN(L25,M25)&gt;=1,"RESEARCH","PRIOR-DOMINATED"))</x:f>
        <x:v>RESEARCH</x:v>
      </x:c>
      <x:c r="AL25" t="str">
        <x:f>IF(AND(AB25&gt;=0.05,AC25&gt;=0.03,AK25&lt;&gt;"PRIOR-DOMINATED"),"PAPER VALUE","NO")</x:f>
        <x:v>NO</x:v>
      </x:c>
      <x:c r="AM25" s="30" t="str">
        <x:f>IF(AL25&lt;&gt;"PAPER VALUE","",IF(AD25=1,J25-1,-1))</x:f>
      </x:c>
      <x:c r="AN25" s="30" t="n">
        <x:f>IF(AD25=1,J25-1,-1)</x:f>
        <x:v>0.44999999999999996</x:v>
      </x:c>
      <x:c r="AO25" t="str">
        <x:f>IF(AND(R25=1.5,S25=5),"PASS","FAIL")</x:f>
        <x:v>PASS</x:v>
      </x:c>
      <x:c r="AP25" t="str">
        <x:v>https://footiqo.com/database/leagues/usa-mls/</x:v>
      </x:c>
      <x:c r="AR25" s="720" t="str">
        <x:v>CALIBRATION BIN</x:v>
      </x:c>
      <x:c r="AS25" s="720" t="str">
        <x:v>N</x:v>
      </x:c>
      <x:c r="AT25" s="720" t="str">
        <x:v>Avg Bayes P</x:v>
      </x:c>
      <x:c r="AU25" s="720" t="str">
        <x:v>Observed U3.5 Rate</x:v>
      </x:c>
      <x:c r="AV25" s="720" t="str">
        <x:v>Avg Market P</x:v>
      </x:c>
      <x:c r="AW25" s="720" t="str">
        <x:v>Bayes Error</x:v>
      </x:c>
    </x:row>
    <x:row r="26">
      <x:c r="A26" t="n">
        <x:v>22</x:v>
      </x:c>
      <x:c r="B26" t="str">
        <x:f>'Normalized_History_v0.2.1'!A25</x:f>
        <x:v>98700</x:v>
      </x:c>
      <x:c r="C26" s="28" t="str">
        <x:f>'Normalized_History_v0.2.1'!B25</x:f>
        <x:v>2026-03-01</x:v>
      </x:c>
      <x:c r="D26" t="str">
        <x:f>'Normalized_History_v0.2.1'!D25</x:f>
        <x:v>FC Dallas</x:v>
      </x:c>
      <x:c r="E26" t="str">
        <x:f>'Normalized_History_v0.2.1'!E25</x:f>
        <x:v>Nashville SC</x:v>
      </x:c>
      <x:c r="F26" t="n">
        <x:f>'Normalized_History_v0.2.1'!F25</x:f>
        <x:v>0</x:v>
      </x:c>
      <x:c r="G26" t="n">
        <x:f>'Normalized_History_v0.2.1'!G25</x:f>
        <x:v>0</x:v>
      </x:c>
      <x:c r="H26" t="n">
        <x:f>F26+G26</x:f>
        <x:v>0</x:v>
      </x:c>
      <x:c r="I26" s="30" t="n">
        <x:f>'Normalized_History_v0.2.1'!K25</x:f>
        <x:v>3.01</x:v>
      </x:c>
      <x:c r="J26" s="30" t="n">
        <x:f>'Normalized_History_v0.2.1'!L25</x:f>
        <x:v>1.4</x:v>
      </x:c>
      <x:c r="K26" s="32" t="n">
        <x:f>(1/J26)/((1/J26)+(1/I26))</x:f>
        <x:v>0.6825396825396824</x:v>
      </x:c>
      <x:c r="L26" t="n">
        <x:f>COUNTIF($D$5:D25,D26)+COUNTIF($E$5:E25,D26)</x:f>
        <x:v>1</x:v>
      </x:c>
      <x:c r="M26" t="n">
        <x:f>COUNTIF($D$5:D25,E26)+COUNTIF($E$5:E25,E26)</x:f>
        <x:v>1</x:v>
      </x:c>
      <x:c r="N26" t="n">
        <x:f>SUMIF($D$5:D25,D26,$F$5:F25)+SUMIF($E$5:E25,D26,$G$5:G25)</x:f>
        <x:v>3</x:v>
      </x:c>
      <x:c r="O26" t="n">
        <x:f>SUMIF($D$5:D25,D26,$G$5:G25)+SUMIF($E$5:E25,D26,$F$5:F25)</x:f>
        <x:v>2</x:v>
      </x:c>
      <x:c r="P26" t="n">
        <x:f>SUMIF($D$5:D25,E26,$F$5:F25)+SUMIF($E$5:E25,E26,$G$5:G25)</x:f>
        <x:v>4</x:v>
      </x:c>
      <x:c r="Q26" t="n">
        <x:f>SUMIF($D$5:D25,E26,$G$5:G25)+SUMIF($E$5:E25,E26,$F$5:F25)</x:f>
        <x:v>1</x:v>
      </x:c>
      <x:c r="R26" t="n">
        <x:v>1.5</x:v>
      </x:c>
      <x:c r="S26" t="n">
        <x:v>5</x:v>
      </x:c>
      <x:c r="T26" s="96" t="n">
        <x:f>(R26*S26+N26)/(S26+L26)</x:f>
        <x:v>1.75</x:v>
      </x:c>
      <x:c r="U26" s="96" t="n">
        <x:f>(R26*S26+O26)/(S26+L26)</x:f>
        <x:v>1.5833333333333333</x:v>
      </x:c>
      <x:c r="V26" s="96" t="n">
        <x:f>(R26*S26+P26)/(S26+M26)</x:f>
        <x:v>1.9166666666666667</x:v>
      </x:c>
      <x:c r="W26" s="96" t="n">
        <x:f>(R26*S26+Q26)/(S26+M26)</x:f>
        <x:v>1.4166666666666667</x:v>
      </x:c>
      <x:c r="X26" s="96" t="n">
        <x:f>T26*W26/R26</x:f>
        <x:v>1.652777777777778</x:v>
      </x:c>
      <x:c r="Y26" s="96" t="n">
        <x:f>V26*U26/R26</x:f>
        <x:v>2.0231481481481484</x:v>
      </x:c>
      <x:c r="Z26" s="96" t="n">
        <x:f>X26+Y26</x:f>
        <x:v>3.6759259259259265</x:v>
      </x:c>
      <x:c r="AA26" s="32" t="n">
        <x:f>EXP(-Z26)*(1+Z26+Z26^2/2+Z26^3/6)</x:f>
        <x:v>0.4991893411022552</x:v>
      </x:c>
      <x:c r="AB26" s="32" t="n">
        <x:f>AA26-K26</x:f>
        <x:v>-0.18335034143742723</x:v>
      </x:c>
      <x:c r="AC26" s="32" t="n">
        <x:f>AA26*J26-1</x:f>
        <x:v>-0.3011349224568427</x:v>
      </x:c>
      <x:c r="AD26" s="32" t="n">
        <x:f>IF(H26&lt;=3,1,0)</x:f>
        <x:v>1</x:v>
      </x:c>
      <x:c r="AE26" s="32" t="n">
        <x:f>(AA26-AD26)^2</x:f>
        <x:v>0.25081131606559326</x:v>
      </x:c>
      <x:c r="AF26" s="32" t="n">
        <x:f>(K26-AD26)^2</x:f>
        <x:v>0.1007810531620056</x:v>
      </x:c>
      <x:c r="AG26" s="32" t="n">
        <x:f>-1*(AD26*LN(AA26)+(1-AD26)*LN(1-AA26))</x:f>
        <x:v>0.6947698141134988</x:v>
      </x:c>
      <x:c r="AH26" s="32" t="n">
        <x:f>-1*(AD26*LN(K26)+(1-AD26)*LN(1-K26))</x:f>
        <x:v>0.3819346106979704</x:v>
      </x:c>
      <x:c r="AI26" s="32" t="n">
        <x:f>S26/(S26+L26)</x:f>
        <x:v>0.8333333333333334</x:v>
      </x:c>
      <x:c r="AJ26" s="32" t="n">
        <x:f>S26/(S26+M26)</x:f>
        <x:v>0.8333333333333334</x:v>
      </x:c>
      <x:c r="AK26" t="str">
        <x:f>IF(MIN(L26,M26)&gt;=3,"VALIDATION",IF(MIN(L26,M26)&gt;=1,"RESEARCH","PRIOR-DOMINATED"))</x:f>
        <x:v>RESEARCH</x:v>
      </x:c>
      <x:c r="AL26" t="str">
        <x:f>IF(AND(AB26&gt;=0.05,AC26&gt;=0.03,AK26&lt;&gt;"PRIOR-DOMINATED"),"PAPER VALUE","NO")</x:f>
        <x:v>NO</x:v>
      </x:c>
      <x:c r="AM26" s="30" t="str">
        <x:f>IF(AL26&lt;&gt;"PAPER VALUE","",IF(AD26=1,J26-1,-1))</x:f>
      </x:c>
      <x:c r="AN26" s="30" t="n">
        <x:f>IF(AD26=1,J26-1,-1)</x:f>
        <x:v>0.3999999999999999</x:v>
      </x:c>
      <x:c r="AO26" t="str">
        <x:f>IF(AND(R26=1.5,S26=5),"PASS","FAIL")</x:f>
        <x:v>PASS</x:v>
      </x:c>
      <x:c r="AP26" t="str">
        <x:v>https://footiqo.com/database/leagues/usa-mls/</x:v>
      </x:c>
      <x:c r="AR26" t="str">
        <x:v>&lt;55%</x:v>
      </x:c>
      <x:c r="AS26" t="n">
        <x:f>COUNTIFS(AA5:AA29,"&gt;=0",AA5:AA29,"&lt;0.55")</x:f>
        <x:v>1</x:v>
      </x:c>
      <x:c r="AT26" s="32" t="n">
        <x:f>IF(AS26=0,"",SUMPRODUCT((AA5:AA29&gt;=0)*(AA5:AA29&lt;0.55)*AA5:AA29)/AS26)</x:f>
        <x:v>0.4991893411022552</x:v>
      </x:c>
      <x:c r="AU26" s="32" t="n">
        <x:f>IF(AS26=0,"",SUMPRODUCT((AA5:AA29&gt;=0)*(AA5:AA29&lt;0.55)*AD5:AD29)/AS26)</x:f>
        <x:v>1</x:v>
      </x:c>
      <x:c r="AV26" s="32" t="n">
        <x:f>IF(AS26=0,"",SUMPRODUCT((AA5:AA29&gt;=0)*(AA5:AA29&lt;0.55)*K5:K29)/AS26)</x:f>
        <x:v>0.6825396825396824</x:v>
      </x:c>
      <x:c r="AW26" s="32" t="n">
        <x:f>IF(AS26=0,"",AT26-AU26)</x:f>
        <x:v>-0.5008106588977448</x:v>
      </x:c>
    </x:row>
    <x:row r="27">
      <x:c r="A27" t="n">
        <x:v>23</x:v>
      </x:c>
      <x:c r="B27" t="str">
        <x:f>'Normalized_History_v0.2.1'!A26</x:f>
        <x:v>98701</x:v>
      </x:c>
      <x:c r="C27" s="28" t="str">
        <x:f>'Normalized_History_v0.2.1'!B26</x:f>
        <x:v>2026-03-01</x:v>
      </x:c>
      <x:c r="D27" t="str">
        <x:f>'Normalized_History_v0.2.1'!D26</x:f>
        <x:v>Houston Dynamo</x:v>
      </x:c>
      <x:c r="E27" t="str">
        <x:f>'Normalized_History_v0.2.1'!E26</x:f>
        <x:v>Los Angeles FC</x:v>
      </x:c>
      <x:c r="F27" t="n">
        <x:f>'Normalized_History_v0.2.1'!F26</x:f>
        <x:v>0</x:v>
      </x:c>
      <x:c r="G27" t="n">
        <x:f>'Normalized_History_v0.2.1'!G26</x:f>
        <x:v>2</x:v>
      </x:c>
      <x:c r="H27" t="n">
        <x:f>F27+G27</x:f>
        <x:v>2</x:v>
      </x:c>
      <x:c r="I27" s="30" t="n">
        <x:f>'Normalized_History_v0.2.1'!K26</x:f>
        <x:v>2.69</x:v>
      </x:c>
      <x:c r="J27" s="30" t="n">
        <x:f>'Normalized_History_v0.2.1'!L26</x:f>
        <x:v>1.48</x:v>
      </x:c>
      <x:c r="K27" s="32" t="n">
        <x:f>(1/J27)/((1/J27)+(1/I27))</x:f>
        <x:v>0.645083932853717</x:v>
      </x:c>
      <x:c r="L27" t="n">
        <x:f>COUNTIF($D$5:D26,D27)+COUNTIF($E$5:E26,D27)</x:f>
        <x:v>1</x:v>
      </x:c>
      <x:c r="M27" t="n">
        <x:f>COUNTIF($D$5:D26,E27)+COUNTIF($E$5:E26,E27)</x:f>
        <x:v>1</x:v>
      </x:c>
      <x:c r="N27" t="n">
        <x:f>SUMIF($D$5:D26,D27,$F$5:F26)+SUMIF($E$5:E26,D27,$G$5:G26)</x:f>
        <x:v>2</x:v>
      </x:c>
      <x:c r="O27" t="n">
        <x:f>SUMIF($D$5:D26,D27,$G$5:G26)+SUMIF($E$5:E26,D27,$F$5:F26)</x:f>
        <x:v>1</x:v>
      </x:c>
      <x:c r="P27" t="n">
        <x:f>SUMIF($D$5:D26,E27,$F$5:F26)+SUMIF($E$5:E26,E27,$G$5:G26)</x:f>
        <x:v>3</x:v>
      </x:c>
      <x:c r="Q27" t="n">
        <x:f>SUMIF($D$5:D26,E27,$G$5:G26)+SUMIF($E$5:E26,E27,$F$5:F26)</x:f>
        <x:v>0</x:v>
      </x:c>
      <x:c r="R27" t="n">
        <x:v>1.5</x:v>
      </x:c>
      <x:c r="S27" t="n">
        <x:v>5</x:v>
      </x:c>
      <x:c r="T27" s="96" t="n">
        <x:f>(R27*S27+N27)/(S27+L27)</x:f>
        <x:v>1.5833333333333333</x:v>
      </x:c>
      <x:c r="U27" s="96" t="n">
        <x:f>(R27*S27+O27)/(S27+L27)</x:f>
        <x:v>1.4166666666666667</x:v>
      </x:c>
      <x:c r="V27" s="96" t="n">
        <x:f>(R27*S27+P27)/(S27+M27)</x:f>
        <x:v>1.75</x:v>
      </x:c>
      <x:c r="W27" s="96" t="n">
        <x:f>(R27*S27+Q27)/(S27+M27)</x:f>
        <x:v>1.25</x:v>
      </x:c>
      <x:c r="X27" s="96" t="n">
        <x:f>T27*W27/R27</x:f>
        <x:v>1.3194444444444444</x:v>
      </x:c>
      <x:c r="Y27" s="96" t="n">
        <x:f>V27*U27/R27</x:f>
        <x:v>1.652777777777778</x:v>
      </x:c>
      <x:c r="Z27" s="96" t="n">
        <x:f>X27+Y27</x:f>
        <x:v>2.9722222222222223</x:v>
      </x:c>
      <x:c r="AA27" s="32" t="n">
        <x:f>EXP(-Z27)*(1+Z27+Z27^2/2+Z27^3/6)</x:f>
        <x:v>0.6534550043192129</x:v>
      </x:c>
      <x:c r="AB27" s="32" t="n">
        <x:f>AA27-K27</x:f>
        <x:v>0.008371071465495872</x:v>
      </x:c>
      <x:c r="AC27" s="32" t="n">
        <x:f>AA27*J27-1</x:f>
        <x:v>-0.03288659360756496</x:v>
      </x:c>
      <x:c r="AD27" s="32" t="n">
        <x:f>IF(H27&lt;=3,1,0)</x:f>
        <x:v>1</x:v>
      </x:c>
      <x:c r="AE27" s="32" t="n">
        <x:f>(AA27-AD27)^2</x:f>
        <x:v>0.12009343403139676</x:v>
      </x:c>
      <x:c r="AF27" s="32" t="n">
        <x:f>(K27-AD27)^2</x:f>
        <x:v>0.12596541471858486</x:v>
      </x:c>
      <x:c r="AG27" s="32" t="n">
        <x:f>-1*(AD27*LN(AA27)+(1-AD27)*LN(1-AA27))</x:f>
        <x:v>0.4254816016637066</x:v>
      </x:c>
      <x:c r="AH27" s="32" t="n">
        <x:f>-1*(AD27*LN(K27)+(1-AD27)*LN(1-K27))</x:f>
        <x:v>0.4383748421969624</x:v>
      </x:c>
      <x:c r="AI27" s="32" t="n">
        <x:f>S27/(S27+L27)</x:f>
        <x:v>0.8333333333333334</x:v>
      </x:c>
      <x:c r="AJ27" s="32" t="n">
        <x:f>S27/(S27+M27)</x:f>
        <x:v>0.8333333333333334</x:v>
      </x:c>
      <x:c r="AK27" t="str">
        <x:f>IF(MIN(L27,M27)&gt;=3,"VALIDATION",IF(MIN(L27,M27)&gt;=1,"RESEARCH","PRIOR-DOMINATED"))</x:f>
        <x:v>RESEARCH</x:v>
      </x:c>
      <x:c r="AL27" t="str">
        <x:f>IF(AND(AB27&gt;=0.05,AC27&gt;=0.03,AK27&lt;&gt;"PRIOR-DOMINATED"),"PAPER VALUE","NO")</x:f>
        <x:v>NO</x:v>
      </x:c>
      <x:c r="AM27" s="30" t="str">
        <x:f>IF(AL27&lt;&gt;"PAPER VALUE","",IF(AD27=1,J27-1,-1))</x:f>
      </x:c>
      <x:c r="AN27" s="30" t="n">
        <x:f>IF(AD27=1,J27-1,-1)</x:f>
        <x:v>0.48</x:v>
      </x:c>
      <x:c r="AO27" t="str">
        <x:f>IF(AND(R27=1.5,S27=5),"PASS","FAIL")</x:f>
        <x:v>PASS</x:v>
      </x:c>
      <x:c r="AP27" t="str">
        <x:v>https://footiqo.com/database/leagues/usa-mls/</x:v>
      </x:c>
      <x:c r="AR27" t="str">
        <x:v>55–60%</x:v>
      </x:c>
      <x:c r="AS27" t="n">
        <x:f>COUNTIFS(AA5:AA29,"&gt;=0.55",AA5:AA29,"&lt;0.6")</x:f>
        <x:v>3</x:v>
      </x:c>
      <x:c r="AT27" s="32" t="n">
        <x:f>IF(AS27=0,"",SUMPRODUCT((AA5:AA29&gt;=0.55)*(AA5:AA29&lt;0.6)*AA5:AA29)/AS27)</x:f>
        <x:v>0.5763975021984171</x:v>
      </x:c>
      <x:c r="AU27" s="32" t="n">
        <x:f>IF(AS27=0,"",SUMPRODUCT((AA5:AA29&gt;=0.55)*(AA5:AA29&lt;0.6)*AD5:AD29)/AS27)</x:f>
        <x:v>0.6666666666666666</x:v>
      </x:c>
      <x:c r="AV27" s="32" t="n">
        <x:f>IF(AS27=0,"",SUMPRODUCT((AA5:AA29&gt;=0.55)*(AA5:AA29&lt;0.6)*K5:K29)/AS27)</x:f>
        <x:v>0.6026812721081062</x:v>
      </x:c>
      <x:c r="AW27" s="32" t="n">
        <x:f>IF(AS27=0,"",AT27-AU27)</x:f>
        <x:v>-0.09026916446824951</x:v>
      </x:c>
    </x:row>
    <x:row r="28">
      <x:c r="A28" t="n">
        <x:v>24</x:v>
      </x:c>
      <x:c r="B28" t="str">
        <x:f>'Normalized_History_v0.2.1'!A27</x:f>
        <x:v>98702</x:v>
      </x:c>
      <x:c r="C28" s="28" t="str">
        <x:f>'Normalized_History_v0.2.1'!B27</x:f>
        <x:v>2026-03-01</x:v>
      </x:c>
      <x:c r="D28" t="str">
        <x:f>'Normalized_History_v0.2.1'!D27</x:f>
        <x:v>Sporting Kansas City</x:v>
      </x:c>
      <x:c r="E28" t="str">
        <x:f>'Normalized_History_v0.2.1'!E27</x:f>
        <x:v>Columbus Crew</x:v>
      </x:c>
      <x:c r="F28" t="n">
        <x:f>'Normalized_History_v0.2.1'!F27</x:f>
        <x:v>2</x:v>
      </x:c>
      <x:c r="G28" t="n">
        <x:f>'Normalized_History_v0.2.1'!G27</x:f>
        <x:v>2</x:v>
      </x:c>
      <x:c r="H28" t="n">
        <x:f>F28+G28</x:f>
        <x:v>4</x:v>
      </x:c>
      <x:c r="I28" s="30" t="n">
        <x:f>'Normalized_History_v0.2.1'!K27</x:f>
        <x:v>2.16</x:v>
      </x:c>
      <x:c r="J28" s="30" t="n">
        <x:f>'Normalized_History_v0.2.1'!L27</x:f>
        <x:v>1.77</x:v>
      </x:c>
      <x:c r="K28" s="32" t="n">
        <x:f>(1/J28)/((1/J28)+(1/I28))</x:f>
        <x:v>0.549618320610687</x:v>
      </x:c>
      <x:c r="L28" t="n">
        <x:f>COUNTIF($D$5:D27,D28)+COUNTIF($E$5:E27,D28)</x:f>
        <x:v>1</x:v>
      </x:c>
      <x:c r="M28" t="n">
        <x:f>COUNTIF($D$5:D27,E28)+COUNTIF($E$5:E27,E28)</x:f>
        <x:v>1</x:v>
      </x:c>
      <x:c r="N28" t="n">
        <x:f>SUMIF($D$5:D27,D28,$F$5:F27)+SUMIF($E$5:E27,D28,$G$5:G27)</x:f>
        <x:v>0</x:v>
      </x:c>
      <x:c r="O28" t="n">
        <x:f>SUMIF($D$5:D27,D28,$G$5:G27)+SUMIF($E$5:E27,D28,$F$5:F27)</x:f>
        <x:v>3</x:v>
      </x:c>
      <x:c r="P28" t="n">
        <x:f>SUMIF($D$5:D27,E28,$F$5:F27)+SUMIF($E$5:E27,E28,$G$5:G27)</x:f>
        <x:v>2</x:v>
      </x:c>
      <x:c r="Q28" t="n">
        <x:f>SUMIF($D$5:D27,E28,$G$5:G27)+SUMIF($E$5:E27,E28,$F$5:F27)</x:f>
        <x:v>3</x:v>
      </x:c>
      <x:c r="R28" t="n">
        <x:v>1.5</x:v>
      </x:c>
      <x:c r="S28" t="n">
        <x:v>5</x:v>
      </x:c>
      <x:c r="T28" s="96" t="n">
        <x:f>(R28*S28+N28)/(S28+L28)</x:f>
        <x:v>1.25</x:v>
      </x:c>
      <x:c r="U28" s="96" t="n">
        <x:f>(R28*S28+O28)/(S28+L28)</x:f>
        <x:v>1.75</x:v>
      </x:c>
      <x:c r="V28" s="96" t="n">
        <x:f>(R28*S28+P28)/(S28+M28)</x:f>
        <x:v>1.5833333333333333</x:v>
      </x:c>
      <x:c r="W28" s="96" t="n">
        <x:f>(R28*S28+Q28)/(S28+M28)</x:f>
        <x:v>1.75</x:v>
      </x:c>
      <x:c r="X28" s="96" t="n">
        <x:f>T28*W28/R28</x:f>
        <x:v>1.4583333333333333</x:v>
      </x:c>
      <x:c r="Y28" s="96" t="n">
        <x:f>V28*U28/R28</x:f>
        <x:v>1.847222222222222</x:v>
      </x:c>
      <x:c r="Z28" s="96" t="n">
        <x:f>X28+Y28</x:f>
        <x:v>3.3055555555555554</x:v>
      </x:c>
      <x:c r="AA28" s="32" t="n">
        <x:f>EXP(-Z28)*(1+Z28+Z28^2/2+Z28^3/6)</x:f>
        <x:v>0.5791112216854781</x:v>
      </x:c>
      <x:c r="AB28" s="32" t="n">
        <x:f>AA28-K28</x:f>
        <x:v>0.029492901074791078</x:v>
      </x:c>
      <x:c r="AC28" s="32" t="n">
        <x:f>AA28*J28-1</x:f>
        <x:v>0.025026862383296322</x:v>
      </x:c>
      <x:c r="AD28" s="32" t="n">
        <x:f>IF(H28&lt;=3,1,0)</x:f>
        <x:v>0</x:v>
      </x:c>
      <x:c r="AE28" s="32" t="n">
        <x:f>(AA28-AD28)^2</x:f>
        <x:v>0.335369807082047</x:v>
      </x:c>
      <x:c r="AF28" s="32" t="n">
        <x:f>(K28-AD28)^2</x:f>
        <x:v>0.302080298350912</x:v>
      </x:c>
      <x:c r="AG28" s="32" t="n">
        <x:f>-1*(AD28*LN(AA28)+(1-AD28)*LN(1-AA28))</x:f>
        <x:v>0.8653866647287112</x:v>
      </x:c>
      <x:c r="AH28" s="32" t="n">
        <x:f>-1*(AD28*LN(K28)+(1-AD28)*LN(1-K28))</x:f>
        <x:v>0.7976598792954321</x:v>
      </x:c>
      <x:c r="AI28" s="32" t="n">
        <x:f>S28/(S28+L28)</x:f>
        <x:v>0.8333333333333334</x:v>
      </x:c>
      <x:c r="AJ28" s="32" t="n">
        <x:f>S28/(S28+M28)</x:f>
        <x:v>0.8333333333333334</x:v>
      </x:c>
      <x:c r="AK28" t="str">
        <x:f>IF(MIN(L28,M28)&gt;=3,"VALIDATION",IF(MIN(L28,M28)&gt;=1,"RESEARCH","PRIOR-DOMINATED"))</x:f>
        <x:v>RESEARCH</x:v>
      </x:c>
      <x:c r="AL28" t="str">
        <x:f>IF(AND(AB28&gt;=0.05,AC28&gt;=0.03,AK28&lt;&gt;"PRIOR-DOMINATED"),"PAPER VALUE","NO")</x:f>
        <x:v>NO</x:v>
      </x:c>
      <x:c r="AM28" s="30" t="str">
        <x:f>IF(AL28&lt;&gt;"PAPER VALUE","",IF(AD28=1,J28-1,-1))</x:f>
      </x:c>
      <x:c r="AN28" s="30" t="n">
        <x:f>IF(AD28=1,J28-1,-1)</x:f>
        <x:v>-1</x:v>
      </x:c>
      <x:c r="AO28" t="str">
        <x:f>IF(AND(R28=1.5,S28=5),"PASS","FAIL")</x:f>
        <x:v>PASS</x:v>
      </x:c>
      <x:c r="AP28" t="str">
        <x:v>https://footiqo.com/database/leagues/usa-mls/</x:v>
      </x:c>
      <x:c r="AR28" t="str">
        <x:v>60–65%</x:v>
      </x:c>
      <x:c r="AS28" t="n">
        <x:f>COUNTIFS(AA5:AA29,"&gt;=0.6",AA5:AA29,"&lt;0.65")</x:f>
        <x:v>17</x:v>
      </x:c>
      <x:c r="AT28" s="32" t="n">
        <x:f>IF(AS28=0,"",SUMPRODUCT((AA5:AA29&gt;=0.6)*(AA5:AA29&lt;0.65)*AA5:AA29)/AS28)</x:f>
        <x:v>0.6451607211037879</x:v>
      </x:c>
      <x:c r="AU28" s="32" t="n">
        <x:f>IF(AS28=0,"",SUMPRODUCT((AA5:AA29&gt;=0.6)*(AA5:AA29&lt;0.65)*AD5:AD29)/AS28)</x:f>
        <x:v>0.7058823529411765</x:v>
      </x:c>
      <x:c r="AV28" s="32" t="n">
        <x:f>IF(AS28=0,"",SUMPRODUCT((AA5:AA29&gt;=0.6)*(AA5:AA29&lt;0.65)*K5:K29)/AS28)</x:f>
        <x:v>0.6380292146885774</x:v>
      </x:c>
      <x:c r="AW28" s="32" t="n">
        <x:f>IF(AS28=0,"",AT28-AU28)</x:f>
        <x:v>-0.06072163183738866</x:v>
      </x:c>
    </x:row>
    <x:row r="29">
      <x:c r="A29" t="n">
        <x:v>25</x:v>
      </x:c>
      <x:c r="B29" t="str">
        <x:f>'Normalized_History_v0.2.1'!A28</x:f>
        <x:v>98704</x:v>
      </x:c>
      <x:c r="C29" s="28" t="str">
        <x:f>'Normalized_History_v0.2.1'!B28</x:f>
        <x:v>2026-03-01</x:v>
      </x:c>
      <x:c r="D29" t="str">
        <x:f>'Normalized_History_v0.2.1'!D28</x:f>
        <x:v>Vancouver Whitecaps</x:v>
      </x:c>
      <x:c r="E29" t="str">
        <x:f>'Normalized_History_v0.2.1'!E28</x:f>
        <x:v>Toronto FC</x:v>
      </x:c>
      <x:c r="F29" t="n">
        <x:f>'Normalized_History_v0.2.1'!F28</x:f>
        <x:v>3</x:v>
      </x:c>
      <x:c r="G29" t="n">
        <x:f>'Normalized_History_v0.2.1'!G28</x:f>
        <x:v>0</x:v>
      </x:c>
      <x:c r="H29" t="n">
        <x:f>F29+G29</x:f>
        <x:v>3</x:v>
      </x:c>
      <x:c r="I29" s="30" t="n">
        <x:f>'Normalized_History_v0.2.1'!K28</x:f>
        <x:v>2.53</x:v>
      </x:c>
      <x:c r="J29" s="30" t="n">
        <x:f>'Normalized_History_v0.2.1'!L28</x:f>
        <x:v>1.54</x:v>
      </x:c>
      <x:c r="K29" s="32" t="n">
        <x:f>(1/J29)/((1/J29)+(1/I29))</x:f>
        <x:v>0.6216216216216216</x:v>
      </x:c>
      <x:c r="L29" t="n">
        <x:f>COUNTIF($D$5:D28,D29)+COUNTIF($E$5:E28,D29)</x:f>
        <x:v>1</x:v>
      </x:c>
      <x:c r="M29" t="n">
        <x:f>COUNTIF($D$5:D28,E29)+COUNTIF($E$5:E28,E29)</x:f>
        <x:v>1</x:v>
      </x:c>
      <x:c r="N29" t="n">
        <x:f>SUMIF($D$5:D28,D29,$F$5:F28)+SUMIF($E$5:E28,D29,$G$5:G28)</x:f>
        <x:v>1</x:v>
      </x:c>
      <x:c r="O29" t="n">
        <x:f>SUMIF($D$5:D28,D29,$G$5:G28)+SUMIF($E$5:E28,D29,$F$5:F28)</x:f>
        <x:v>0</x:v>
      </x:c>
      <x:c r="P29" t="n">
        <x:f>SUMIF($D$5:D28,E29,$F$5:F28)+SUMIF($E$5:E28,E29,$G$5:G28)</x:f>
        <x:v>2</x:v>
      </x:c>
      <x:c r="Q29" t="n">
        <x:f>SUMIF($D$5:D28,E29,$G$5:G28)+SUMIF($E$5:E28,E29,$F$5:F28)</x:f>
        <x:v>3</x:v>
      </x:c>
      <x:c r="R29" t="n">
        <x:v>1.5</x:v>
      </x:c>
      <x:c r="S29" t="n">
        <x:v>5</x:v>
      </x:c>
      <x:c r="T29" s="96" t="n">
        <x:f>(R29*S29+N29)/(S29+L29)</x:f>
        <x:v>1.4166666666666667</x:v>
      </x:c>
      <x:c r="U29" s="96" t="n">
        <x:f>(R29*S29+O29)/(S29+L29)</x:f>
        <x:v>1.25</x:v>
      </x:c>
      <x:c r="V29" s="96" t="n">
        <x:f>(R29*S29+P29)/(S29+M29)</x:f>
        <x:v>1.5833333333333333</x:v>
      </x:c>
      <x:c r="W29" s="96" t="n">
        <x:f>(R29*S29+Q29)/(S29+M29)</x:f>
        <x:v>1.75</x:v>
      </x:c>
      <x:c r="X29" s="96" t="n">
        <x:f>T29*W29/R29</x:f>
        <x:v>1.652777777777778</x:v>
      </x:c>
      <x:c r="Y29" s="96" t="n">
        <x:f>V29*U29/R29</x:f>
        <x:v>1.3194444444444444</x:v>
      </x:c>
      <x:c r="Z29" s="96" t="n">
        <x:f>X29+Y29</x:f>
        <x:v>2.9722222222222223</x:v>
      </x:c>
      <x:c r="AA29" s="32" t="n">
        <x:f>EXP(-Z29)*(1+Z29+Z29^2/2+Z29^3/6)</x:f>
        <x:v>0.6534550043192129</x:v>
      </x:c>
      <x:c r="AB29" s="32" t="n">
        <x:f>AA29-K29</x:f>
        <x:v>0.031833382697591284</x:v>
      </x:c>
      <x:c r="AC29" s="32" t="n">
        <x:f>AA29*J29-1</x:f>
        <x:v>0.006320706651587793</x:v>
      </x:c>
      <x:c r="AD29" s="32" t="n">
        <x:f>IF(H29&lt;=3,1,0)</x:f>
        <x:v>1</x:v>
      </x:c>
      <x:c r="AE29" s="32" t="n">
        <x:f>(AA29-AD29)^2</x:f>
        <x:v>0.12009343403139676</x:v>
      </x:c>
      <x:c r="AF29" s="32" t="n">
        <x:f>(K29-AD29)^2</x:f>
        <x:v>0.14317019722425128</x:v>
      </x:c>
      <x:c r="AG29" s="32" t="n">
        <x:f>-1*(AD29*LN(AA29)+(1-AD29)*LN(1-AA29))</x:f>
        <x:v>0.4254816016637066</x:v>
      </x:c>
      <x:c r="AH29" s="32" t="n">
        <x:f>-1*(AD29*LN(K29)+(1-AD29)*LN(1-K29))</x:f>
        <x:v>0.4754236967150748</x:v>
      </x:c>
      <x:c r="AI29" s="32" t="n">
        <x:f>S29/(S29+L29)</x:f>
        <x:v>0.8333333333333334</x:v>
      </x:c>
      <x:c r="AJ29" s="32" t="n">
        <x:f>S29/(S29+M29)</x:f>
        <x:v>0.8333333333333334</x:v>
      </x:c>
      <x:c r="AK29" t="str">
        <x:f>IF(MIN(L29,M29)&gt;=3,"VALIDATION",IF(MIN(L29,M29)&gt;=1,"RESEARCH","PRIOR-DOMINATED"))</x:f>
        <x:v>RESEARCH</x:v>
      </x:c>
      <x:c r="AL29" t="str">
        <x:f>IF(AND(AB29&gt;=0.05,AC29&gt;=0.03,AK29&lt;&gt;"PRIOR-DOMINATED"),"PAPER VALUE","NO")</x:f>
        <x:v>NO</x:v>
      </x:c>
      <x:c r="AM29" s="30" t="str">
        <x:f>IF(AL29&lt;&gt;"PAPER VALUE","",IF(AD29=1,J29-1,-1))</x:f>
      </x:c>
      <x:c r="AN29" s="30" t="n">
        <x:f>IF(AD29=1,J29-1,-1)</x:f>
        <x:v>0.54</x:v>
      </x:c>
      <x:c r="AO29" t="str">
        <x:f>IF(AND(R29=1.5,S29=5),"PASS","FAIL")</x:f>
        <x:v>PASS</x:v>
      </x:c>
      <x:c r="AP29" t="str">
        <x:v>https://footiqo.com/database/leagues/usa-mls/</x:v>
      </x:c>
      <x:c r="AR29" t="str">
        <x:v>65–70%</x:v>
      </x:c>
      <x:c r="AS29" t="n">
        <x:f>COUNTIFS(AA5:AA29,"&gt;=0.65",AA5:AA29,"&lt;0.7")</x:f>
        <x:v>3</x:v>
      </x:c>
      <x:c r="AT29" s="32" t="n">
        <x:f>IF(AS29=0,"",SUMPRODUCT((AA5:AA29&gt;=0.65)*(AA5:AA29&lt;0.7)*AA5:AA29)/AS29)</x:f>
        <x:v>0.659672681815968</x:v>
      </x:c>
      <x:c r="AU29" s="32" t="n">
        <x:f>IF(AS29=0,"",SUMPRODUCT((AA5:AA29&gt;=0.65)*(AA5:AA29&lt;0.7)*AD5:AD29)/AS29)</x:f>
        <x:v>1</x:v>
      </x:c>
      <x:c r="AV29" s="32" t="n">
        <x:f>IF(AS29=0,"",SUMPRODUCT((AA5:AA29&gt;=0.65)*(AA5:AA29&lt;0.7)*K5:K29)/AS29)</x:f>
        <x:v>0.6423757000475953</x:v>
      </x:c>
      <x:c r="AW29" s="32" t="n">
        <x:f>IF(AS29=0,"",AT29-AU29)</x:f>
        <x:v>-0.34032731818403195</x:v>
      </x:c>
    </x:row>
    <x:row r="30">
      <x:c r="AR30" t="str">
        <x:v>70–75%</x:v>
      </x:c>
      <x:c r="AS30" t="n">
        <x:f>COUNTIFS(AA5:AA29,"&gt;=0.7",AA5:AA29,"&lt;0.75")</x:f>
        <x:v>1</x:v>
      </x:c>
      <x:c r="AT30" s="32" t="n">
        <x:f>IF(AS30=0,"",SUMPRODUCT((AA5:AA29&gt;=0.7)*(AA5:AA29&lt;0.75)*AA5:AA29)/AS30)</x:f>
        <x:v>0.7496304561986896</x:v>
      </x:c>
      <x:c r="AU30" s="32" t="n">
        <x:f>IF(AS30=0,"",SUMPRODUCT((AA5:AA29&gt;=0.7)*(AA5:AA29&lt;0.75)*AD5:AD29)/AS30)</x:f>
        <x:v>1</x:v>
      </x:c>
      <x:c r="AV30" s="32" t="n">
        <x:f>IF(AS30=0,"",SUMPRODUCT((AA5:AA29&gt;=0.7)*(AA5:AA29&lt;0.75)*K5:K29)/AS30)</x:f>
        <x:v>0.7154989384288747</x:v>
      </x:c>
      <x:c r="AW30" s="32" t="n">
        <x:f>IF(AS30=0,"",AT30-AU30)</x:f>
        <x:v>-0.2503695438013104</x:v>
      </x:c>
    </x:row>
    <x:row r="31">
      <x:c r="AR31" t="str">
        <x:v>&gt;=75%</x:v>
      </x:c>
      <x:c r="AS31" t="n">
        <x:f>COUNTIFS(AA5:AA29,"&gt;=0.75",AA5:AA29,"&lt;1.01")</x:f>
        <x:v>0</x:v>
      </x:c>
      <x:c r="AT31" s="32" t="str">
        <x:f>IF(AS31=0,"",SUMPRODUCT((AA5:AA29&gt;=0.75)*(AA5:AA29&lt;1.01)*AA5:AA29)/AS31)</x:f>
      </x:c>
      <x:c r="AU31" s="32" t="str">
        <x:f>IF(AS31=0,"",SUMPRODUCT((AA5:AA29&gt;=0.75)*(AA5:AA29&lt;1.01)*AD5:AD29)/AS31)</x:f>
      </x:c>
      <x:c r="AV31" s="32" t="str">
        <x:f>IF(AS31=0,"",SUMPRODUCT((AA5:AA29&gt;=0.75)*(AA5:AA29&lt;1.01)*K5:K29)/AS31)</x:f>
      </x:c>
      <x:c r="AW31" s="32" t="str">
        <x:f>IF(AS31=0,"",AT31-AU31)</x:f>
      </x:c>
    </x:row>
    <x:row r="32">
      <x:c r="AR32" t="str">
        <x:v>Note</x:v>
      </x:c>
      <x:c r="AS32" t="str">
        <x:v>25 rows is too small for trustworthy calibration bins</x:v>
      </x:c>
      <x:c r="AT32" t="str"/>
      <x:c r="AU32" t="str"/>
      <x:c r="AV32" t="str"/>
      <x:c r="AW32" t="str"/>
    </x:row>
  </x:sheetData>
  <x:mergeCells>
    <x:mergeCell ref="A1:AO1"/>
    <x:mergeCell ref="A2:AO2"/>
  </x:mergeCells>
  <x:conditionalFormatting sqref="AK5:AK29">
    <x:cfRule type="expression" dxfId="63" priority="1">
      <x:formula>AK5="VALIDATION"</x:formula>
    </x:cfRule>
    <x:cfRule type="expression" dxfId="64" priority="2">
      <x:formula>AK5="RESEARCH"</x:formula>
    </x:cfRule>
    <x:cfRule type="expression" dxfId="65" priority="3">
      <x:formula>AK5="PRIOR-DOMINATED"</x:formula>
    </x:cfRule>
  </x:conditionalFormatting>
  <x:conditionalFormatting sqref="AL5:AL29">
    <x:cfRule type="expression" dxfId="66" priority="4">
      <x:formula>AL5="PAPER VALUE"</x:formula>
    </x:cfRule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2" hidden="0" customWidth="1"/>
  </x:cols>
  <x:sheetData>
    <x:row r="1">
      <x:c r="A1" s="723" t="str">
        <x:v>v0.4.2 — PRIOR STRENGTH SENSITIVITY (RESEARCH ONLY, NO RETUNING)</x:v>
      </x:c>
      <x:c r="B1" s="723"/>
      <x:c r="C1" s="723"/>
      <x:c r="D1" s="723"/>
      <x:c r="E1" s="723"/>
      <x:c r="F1" s="723"/>
      <x:c r="G1" s="723"/>
      <x:c r="H1" s="723"/>
    </x:row>
    <x:row r="3">
      <x:c r="A3" s="709" t="str">
        <x:v>Prior Strength</x:v>
      </x:c>
      <x:c r="B3" s="709" t="str">
        <x:v>All Brier</x:v>
      </x:c>
      <x:c r="C3" s="709" t="str">
        <x:v>All LogLoss</x:v>
      </x:c>
      <x:c r="D3" s="709" t="str">
        <x:v>Warm N&gt;=1 Brier</x:v>
      </x:c>
      <x:c r="E3" s="709" t="str">
        <x:v>Warm N&gt;=1 LogLoss</x:v>
      </x:c>
      <x:c r="F3" s="709" t="str">
        <x:v>Market Warm Brier</x:v>
      </x:c>
      <x:c r="G3" s="709" t="str">
        <x:v>Market Warm LogLoss</x:v>
      </x:c>
      <x:c r="H3" s="709" t="str">
        <x:v>Governance</x:v>
      </x:c>
    </x:row>
    <x:row r="4">
      <x:c r="A4" t="n">
        <x:v>1</x:v>
      </x:c>
      <x:c r="B4" s="96" t="n">
        <x:v>0.21515</x:v>
      </x:c>
      <x:c r="C4" s="96" t="n">
        <x:v>0.61966</x:v>
      </x:c>
      <x:c r="D4" s="96" t="n">
        <x:v>0.20398</x:v>
      </x:c>
      <x:c r="E4" s="96" t="n">
        <x:v>0.59312</x:v>
      </x:c>
      <x:c r="F4" s="96" t="n">
        <x:v>0.14009</x:v>
      </x:c>
      <x:c r="G4" s="96" t="n">
        <x:v>0.46559</x:v>
      </x:c>
      <x:c r="H4" t="str">
        <x:v>DO NOT SELECT ON THIS SAMPLE</x:v>
      </x:c>
    </x:row>
    <x:row r="5">
      <x:c r="A5" t="n">
        <x:v>2</x:v>
      </x:c>
      <x:c r="B5" s="96" t="n">
        <x:v>0.20616</x:v>
      </x:c>
      <x:c r="C5" s="96" t="n">
        <x:v>0.60097</x:v>
      </x:c>
      <x:c r="D5" s="96" t="n">
        <x:v>0.18151</x:v>
      </x:c>
      <x:c r="E5" s="96" t="n">
        <x:v>0.54639</x:v>
      </x:c>
      <x:c r="F5" s="96" t="n">
        <x:v>0.14009</x:v>
      </x:c>
      <x:c r="G5" s="96" t="n">
        <x:v>0.46559</x:v>
      </x:c>
      <x:c r="H5" t="str">
        <x:v>DO NOT SELECT ON THIS SAMPLE</x:v>
      </x:c>
    </x:row>
    <x:row r="6">
      <x:c r="A6" t="n">
        <x:v>3</x:v>
      </x:c>
      <x:c r="B6" s="96" t="n">
        <x:v>0.2022</x:v>
      </x:c>
      <x:c r="C6" s="96" t="n">
        <x:v>0.59356</x:v>
      </x:c>
      <x:c r="D6" s="96" t="n">
        <x:v>0.1716</x:v>
      </x:c>
      <x:c r="E6" s="96" t="n">
        <x:v>0.52788</x:v>
      </x:c>
      <x:c r="F6" s="96" t="n">
        <x:v>0.14009</x:v>
      </x:c>
      <x:c r="G6" s="96" t="n">
        <x:v>0.46559</x:v>
      </x:c>
      <x:c r="H6" t="str">
        <x:v>DO NOT SELECT ON THIS SAMPLE</x:v>
      </x:c>
    </x:row>
    <x:row r="7">
      <x:c r="A7" t="n">
        <x:v>5</x:v>
      </x:c>
      <x:c r="B7" s="96" t="n">
        <x:v>0.19888</x:v>
      </x:c>
      <x:c r="C7" s="96" t="n">
        <x:v>0.5876</x:v>
      </x:c>
      <x:c r="D7" s="96" t="n">
        <x:v>0.1633</x:v>
      </x:c>
      <x:c r="E7" s="96" t="n">
        <x:v>0.51297</x:v>
      </x:c>
      <x:c r="F7" s="96" t="n">
        <x:v>0.14009</x:v>
      </x:c>
      <x:c r="G7" s="96" t="n">
        <x:v>0.46559</x:v>
      </x:c>
      <x:c r="H7" t="str">
        <x:v>FROZEN CURRENT PRIOR</x:v>
      </x:c>
    </x:row>
    <x:row r="8">
      <x:c r="A8" t="n">
        <x:v>8</x:v>
      </x:c>
      <x:c r="B8" s="96" t="n">
        <x:v>0.19714</x:v>
      </x:c>
      <x:c r="C8" s="96" t="n">
        <x:v>0.5845</x:v>
      </x:c>
      <x:c r="D8" s="96" t="n">
        <x:v>0.15895</x:v>
      </x:c>
      <x:c r="E8" s="96" t="n">
        <x:v>0.50523</x:v>
      </x:c>
      <x:c r="F8" s="96" t="n">
        <x:v>0.14009</x:v>
      </x:c>
      <x:c r="G8" s="96" t="n">
        <x:v>0.46559</x:v>
      </x:c>
      <x:c r="H8" t="str">
        <x:v>SENSITIVITY ONLY</x:v>
      </x:c>
    </x:row>
    <x:row r="9">
      <x:c r="A9" t="n">
        <x:v>10</x:v>
      </x:c>
      <x:c r="B9" s="96" t="n">
        <x:v>0.19662</x:v>
      </x:c>
      <x:c r="C9" s="96" t="n">
        <x:v>0.58356</x:v>
      </x:c>
      <x:c r="D9" s="96" t="n">
        <x:v>0.15765</x:v>
      </x:c>
      <x:c r="E9" s="96" t="n">
        <x:v>0.50289</x:v>
      </x:c>
      <x:c r="F9" s="96" t="n">
        <x:v>0.14009</x:v>
      </x:c>
      <x:c r="G9" s="96" t="n">
        <x:v>0.46559</x:v>
      </x:c>
      <x:c r="H9" t="str">
        <x:v>SENSITIVITY ONLY</x:v>
      </x:c>
    </x:row>
    <x:row r="10">
      <x:c r="A10" t="n">
        <x:v>20</x:v>
      </x:c>
      <x:c r="B10" s="96" t="n">
        <x:v>0.19573</x:v>
      </x:c>
      <x:c r="C10" s="96" t="n">
        <x:v>0.58192</x:v>
      </x:c>
      <x:c r="D10" s="96" t="n">
        <x:v>0.15541</x:v>
      </x:c>
      <x:c r="E10" s="96" t="n">
        <x:v>0.49876</x:v>
      </x:c>
      <x:c r="F10" s="96" t="n">
        <x:v>0.14009</x:v>
      </x:c>
      <x:c r="G10" s="96" t="n">
        <x:v>0.46559</x:v>
      </x:c>
      <x:c r="H10" t="str">
        <x:v>SENSITIVITY ONLY</x:v>
      </x:c>
    </x:row>
  </x:sheetData>
  <x:mergeCells>
    <x:mergeCell ref="A1:H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723" t="str">
        <x:v>v0.4.2 — WALK-FORWARD GOVERNANCE &amp; CHAMPION TEST</x:v>
      </x:c>
      <x:c r="B1" s="723"/>
      <x:c r="C1" s="723"/>
      <x:c r="D1" s="723"/>
      <x:c r="E1" s="723"/>
      <x:c r="F1" s="723"/>
      <x:c r="G1" s="723"/>
      <x:c r="H1" s="723"/>
    </x:row>
    <x:row r="3">
      <x:c r="A3" s="709" t="str">
        <x:v>Test</x:v>
      </x:c>
      <x:c r="B3" s="709" t="str">
        <x:v>Requirement</x:v>
      </x:c>
      <x:c r="C3" s="709" t="str">
        <x:v>Current</x:v>
      </x:c>
      <x:c r="D3" s="709" t="str">
        <x:v>Market Benchmark</x:v>
      </x:c>
      <x:c r="E3" s="709" t="str">
        <x:v>Status</x:v>
      </x:c>
      <x:c r="F3" s="709" t="str">
        <x:v>Decision</x:v>
      </x:c>
      <x:c r="G3" s="709" t="str">
        <x:v>Why</x:v>
      </x:c>
      <x:c r="H3" s="709" t="str">
        <x:v>Next Evidence</x:v>
      </x:c>
    </x:row>
    <x:row r="4">
      <x:c r="A4" t="str">
        <x:v>Prior is pre-season</x:v>
      </x:c>
      <x:c r="B4" t="str">
        <x:v>Fixed from 2025 before 2026</x:v>
      </x:c>
      <x:c r="C4" t="str">
        <x:v>1.50 goals/team</x:v>
      </x:c>
      <x:c r="D4" t="str">
        <x:v>N/A</x:v>
      </x:c>
      <x:c r="E4" t="str">
        <x:v>PASS</x:v>
      </x:c>
      <x:c r="F4" t="str">
        <x:v>Continue</x:v>
      </x:c>
      <x:c r="G4" t="str">
        <x:v>No current-season future average used</x:v>
      </x:c>
      <x:c r="H4" t="str">
        <x:v>Keep versioned</x:v>
      </x:c>
    </x:row>
    <x:row r="5">
      <x:c r="A5" t="str">
        <x:v>Chronology</x:v>
      </x:c>
      <x:c r="B5" t="str">
        <x:v>Only earlier rows used</x:v>
      </x:c>
      <x:c r="C5" t="str">
        <x:v>PASS</x:v>
      </x:c>
      <x:c r="D5" t="str">
        <x:v>N/A</x:v>
      </x:c>
      <x:c r="E5" t="str">
        <x:v>PASS</x:v>
      </x:c>
      <x:c r="F5" t="str">
        <x:v>Continue</x:v>
      </x:c>
      <x:c r="G5" t="str">
        <x:v>No future match leakage</x:v>
      </x:c>
      <x:c r="H5" t="str">
        <x:v>Expand dataset</x:v>
      </x:c>
    </x:row>
    <x:row r="6">
      <x:c r="A6" t="str">
        <x:v>All-row Brier</x:v>
      </x:c>
      <x:c r="B6" t="str">
        <x:v>Bayes &lt; Market</x:v>
      </x:c>
      <x:c r="C6" t="str">
        <x:v>~0.199</x:v>
      </x:c>
      <x:c r="D6" t="str">
        <x:v>~0.198</x:v>
      </x:c>
      <x:c r="E6" t="str">
        <x:v>FAIL</x:v>
      </x:c>
      <x:c r="F6" t="str">
        <x:v>Market wins</x:v>
      </x:c>
      <x:c r="G6" t="str">
        <x:v>Bayes not better</x:v>
      </x:c>
      <x:c r="H6" t="str">
        <x:v>Larger walk-forward sample</x:v>
      </x:c>
    </x:row>
    <x:row r="7">
      <x:c r="A7" t="str">
        <x:v>All-row LogLoss</x:v>
      </x:c>
      <x:c r="B7" t="str">
        <x:v>Bayes &lt; Market</x:v>
      </x:c>
      <x:c r="C7" t="str">
        <x:v>~0.588</x:v>
      </x:c>
      <x:c r="D7" t="str">
        <x:v>~0.586</x:v>
      </x:c>
      <x:c r="E7" t="str">
        <x:v>FAIL</x:v>
      </x:c>
      <x:c r="F7" t="str">
        <x:v>Market wins</x:v>
      </x:c>
      <x:c r="G7" t="str">
        <x:v>Bayes not better</x:v>
      </x:c>
      <x:c r="H7" t="str">
        <x:v>Larger walk-forward sample</x:v>
      </x:c>
    </x:row>
    <x:row r="8">
      <x:c r="A8" t="str">
        <x:v>Warm N&gt;=1 Brier</x:v>
      </x:c>
      <x:c r="B8" t="str">
        <x:v>Bayes &lt; Market</x:v>
      </x:c>
      <x:c r="C8" t="str">
        <x:v>~0.163</x:v>
      </x:c>
      <x:c r="D8" t="str">
        <x:v>~0.140</x:v>
      </x:c>
      <x:c r="E8" t="str">
        <x:v>FAIL</x:v>
      </x:c>
      <x:c r="F8" t="str">
        <x:v>Market wins</x:v>
      </x:c>
      <x:c r="G8" t="str">
        <x:v>After even minimal team memory, market still better</x:v>
      </x:c>
      <x:c r="H8" t="str">
        <x:v>Later-season rows</x:v>
      </x:c>
    </x:row>
    <x:row r="9">
      <x:c r="A9" t="str">
        <x:v>Warm N&gt;=1 LogLoss</x:v>
      </x:c>
      <x:c r="B9" t="str">
        <x:v>Bayes &lt; Market</x:v>
      </x:c>
      <x:c r="C9" t="str">
        <x:v>~0.513</x:v>
      </x:c>
      <x:c r="D9" t="str">
        <x:v>~0.466</x:v>
      </x:c>
      <x:c r="E9" t="str">
        <x:v>FAIL</x:v>
      </x:c>
      <x:c r="F9" t="str">
        <x:v>Market wins</x:v>
      </x:c>
      <x:c r="G9" t="str">
        <x:v>Same conclusion</x:v>
      </x:c>
      <x:c r="H9" t="str">
        <x:v>Later-season rows</x:v>
      </x:c>
    </x:row>
    <x:row r="10">
      <x:c r="A10" t="str">
        <x:v>Validation rows N&gt;=3</x:v>
      </x:c>
      <x:c r="B10" t="str">
        <x:v>&gt;=30</x:v>
      </x:c>
      <x:c r="C10" t="str">
        <x:v>0</x:v>
      </x:c>
      <x:c r="D10" t="str">
        <x:v>N/A</x:v>
      </x:c>
      <x:c r="E10" t="str">
        <x:v>FAIL</x:v>
      </x:c>
      <x:c r="F10" t="str">
        <x:v>No promotion</x:v>
      </x:c>
      <x:c r="G10" t="str">
        <x:v>Current seed too early</x:v>
      </x:c>
      <x:c r="H10" t="str">
        <x:v>Expand chronology</x:v>
      </x:c>
    </x:row>
    <x:row r="11">
      <x:c r="A11" t="str">
        <x:v>Prior dominance</x:v>
      </x:c>
      <x:c r="B11" t="str">
        <x:v>Prefer &lt;50%</x:v>
      </x:c>
      <x:c r="C11" t="str">
        <x:v>83–100% in current seed</x:v>
      </x:c>
      <x:c r="D11" t="str">
        <x:v>N/A</x:v>
      </x:c>
      <x:c r="E11" t="str">
        <x:v>FAIL</x:v>
      </x:c>
      <x:c r="F11" t="str">
        <x:v>Evidence weak</x:v>
      </x:c>
      <x:c r="G11" t="str">
        <x:v>Posterior still mostly prior</x:v>
      </x:c>
      <x:c r="H11" t="str">
        <x:v>Later season</x:v>
      </x:c>
    </x:row>
    <x:row r="12">
      <x:c r="A12" t="str">
        <x:v>M011 weight</x:v>
      </x:c>
      <x:c r="B12" t="str">
        <x:v>&gt;0 only after OOS win</x:v>
      </x:c>
      <x:c r="C12" t="str">
        <x:v>0%</x:v>
      </x:c>
      <x:c r="D12" t="str">
        <x:v>Market champion</x:v>
      </x:c>
      <x:c r="E12" t="str">
        <x:v>PASS</x:v>
      </x:c>
      <x:c r="F12" t="str">
        <x:v>Keep 0</x:v>
      </x:c>
      <x:c r="G12" t="str">
        <x:v>Governance works</x:v>
      </x:c>
      <x:c r="H12" t="str">
        <x:v>Beat market OOS</x:v>
      </x:c>
    </x:row>
    <x:row r="13">
      <x:c r="A13" t="str">
        <x:v>Champion</x:v>
      </x:c>
      <x:c r="B13" t="str">
        <x:v>Best OOS model</x:v>
      </x:c>
      <x:c r="C13" t="str">
        <x:v>MARKET</x:v>
      </x:c>
      <x:c r="D13" t="str">
        <x:v>MARKET</x:v>
      </x:c>
      <x:c r="E13" t="str">
        <x:v>PASS</x:v>
      </x:c>
      <x:c r="F13" t="str">
        <x:v>Market remains champion</x:v>
      </x:c>
      <x:c r="G13" t="str">
        <x:v>No challenger win yet</x:v>
      </x:c>
      <x:c r="H13" t="str">
        <x:v>Continue challenge</x:v>
      </x:c>
    </x:row>
  </x:sheetData>
  <x:mergeCells>
    <x:mergeCell ref="A1:H1"/>
  </x:mergeCells>
  <x:conditionalFormatting sqref="E4:E13">
    <x:cfRule type="expression" dxfId="61" priority="1">
      <x:formula>E4="PASS"</x:formula>
    </x:cfRule>
    <x:cfRule type="expression" dxfId="62" priority="2">
      <x:formula>E4="FAIL"</x:formula>
    </x:cfRule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8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5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>
      <x:c r="A1" s="747" t="str">
        <x:v>BETTING INTELLIGENCE v0.4.3 — EXACT TEAM CHRONOLOGY BACKFILL</x:v>
      </x:c>
      <x:c r="B1" s="747"/>
      <x:c r="C1" s="747"/>
      <x:c r="D1" s="747"/>
      <x:c r="E1" s="747"/>
      <x:c r="F1" s="747"/>
      <x:c r="G1" s="747"/>
      <x:c r="H1" s="747"/>
      <x:c r="I1" s="747"/>
      <x:c r="J1" s="747"/>
      <x:c r="K1" s="747"/>
      <x:c r="L1" s="747"/>
    </x:row>
    <x:row r="3">
      <x:c r="A3" s="746" t="str">
        <x:v>Team</x:v>
      </x:c>
      <x:c r="B3" s="746" t="str">
        <x:v>Seq</x:v>
      </x:c>
      <x:c r="C3" s="746" t="str">
        <x:v>Date</x:v>
      </x:c>
      <x:c r="D3" s="746" t="str">
        <x:v>Venue</x:v>
      </x:c>
      <x:c r="E3" s="746" t="str">
        <x:v>Opponent</x:v>
      </x:c>
      <x:c r="F3" s="746" t="str">
        <x:v>GF</x:v>
      </x:c>
      <x:c r="G3" s="746" t="str">
        <x:v>GA</x:v>
      </x:c>
      <x:c r="H3" s="746" t="str">
        <x:v>Total</x:v>
      </x:c>
      <x:c r="I3" s="746" t="str">
        <x:v>U3.5 Outcome</x:v>
      </x:c>
      <x:c r="J3" s="746" t="str">
        <x:v>Age_Matches</x:v>
      </x:c>
      <x:c r="K3" s="746" t="str">
        <x:v>Verified</x:v>
      </x:c>
      <x:c r="L3" s="746" t="str">
        <x:v>Source</x:v>
      </x:c>
      <x:c r="M3" s="783" t="str">
        <x:v>W_HL3</x:v>
      </x:c>
      <x:c r="N3" s="783" t="str">
        <x:v>GFxW_HL3</x:v>
      </x:c>
      <x:c r="O3" s="783" t="str">
        <x:v>GAxW_HL3</x:v>
      </x:c>
      <x:c r="P3" s="783" t="str">
        <x:v>W_HL5</x:v>
      </x:c>
      <x:c r="Q3" s="783" t="str">
        <x:v>GFxW_HL5</x:v>
      </x:c>
      <x:c r="R3" s="783" t="str">
        <x:v>GAxW_HL5</x:v>
      </x:c>
      <x:c r="S3" s="783" t="str">
        <x:v>W_HL8</x:v>
      </x:c>
      <x:c r="T3" s="783" t="str">
        <x:v>GFxW_HL8</x:v>
      </x:c>
      <x:c r="U3" s="783" t="str">
        <x:v>GAxW_HL8</x:v>
      </x:c>
      <x:c r="V3" s="783" t="str">
        <x:v>W_HL12</x:v>
      </x:c>
      <x:c r="W3" s="783" t="str">
        <x:v>GFxW_HL12</x:v>
      </x:c>
      <x:c r="X3" s="783" t="str">
        <x:v>GAxW_HL12</x:v>
      </x:c>
      <x:c r="Y3" s="783" t="str">
        <x:v>W_HL20</x:v>
      </x:c>
      <x:c r="Z3" s="783" t="str">
        <x:v>GFxW_HL20</x:v>
      </x:c>
      <x:c r="AA3" s="783" t="str">
        <x:v>GAxW_HL20</x:v>
      </x:c>
    </x:row>
    <x:row r="4">
      <x:c r="A4" t="str">
        <x:v>SKC</x:v>
      </x:c>
      <x:c r="B4" t="n">
        <x:v>1</x:v>
      </x:c>
      <x:c r="C4" s="28" t="str">
        <x:v>2026-02-22</x:v>
      </x:c>
      <x:c r="D4" t="str">
        <x:v>A</x:v>
      </x:c>
      <x:c r="E4" t="str">
        <x:v>SJ Earthquakes</x:v>
      </x:c>
      <x:c r="F4" t="n">
        <x:v>0</x:v>
      </x:c>
      <x:c r="G4" t="n">
        <x:v>3</x:v>
      </x:c>
      <x:c r="H4" t="n">
        <x:v>3</x:v>
      </x:c>
      <x:c r="I4" t="str">
        <x:v>WIN</x:v>
      </x:c>
      <x:c r="J4" t="n">
        <x:v>18</x:v>
      </x:c>
      <x:c r="K4" t="str">
        <x:v>YES</x:v>
      </x:c>
      <x:c r="L4" t="str">
        <x:v>https://footystats.org/clubs/sporting-kansas-city-8</x:v>
      </x:c>
      <x:c r="M4" s="96" t="n">
        <x:f>POWER(0.5,J4/3)</x:f>
        <x:v>0.015625</x:v>
      </x:c>
      <x:c r="N4" s="786" t="n">
        <x:f>M4*F4</x:f>
        <x:v>0</x:v>
      </x:c>
      <x:c r="O4" s="96" t="n">
        <x:f>M4*G4</x:f>
        <x:v>0.046875</x:v>
      </x:c>
      <x:c r="P4" s="96" t="n">
        <x:f>POWER(0.5,J4/5)</x:f>
        <x:v>0.08246924442330589</x:v>
      </x:c>
      <x:c r="Q4" s="96" t="n">
        <x:f>P4*F4</x:f>
        <x:v>0</x:v>
      </x:c>
      <x:c r="R4" s="96" t="n">
        <x:f>P4*G4</x:f>
        <x:v>0.24740773326991766</x:v>
      </x:c>
      <x:c r="S4" s="96" t="n">
        <x:f>POWER(0.5,J4/8)</x:f>
        <x:v>0.21022410381342863</x:v>
      </x:c>
      <x:c r="T4" s="96" t="n">
        <x:f>S4*F4</x:f>
        <x:v>0</x:v>
      </x:c>
      <x:c r="U4" s="96" t="n">
        <x:f>S4*G4</x:f>
        <x:v>0.6306723114402859</x:v>
      </x:c>
      <x:c r="V4" s="96" t="n">
        <x:f>POWER(0.5,J4/12)</x:f>
        <x:v>0.3535533905932738</x:v>
      </x:c>
      <x:c r="W4" s="96" t="n">
        <x:f>V4*F4</x:f>
        <x:v>0</x:v>
      </x:c>
      <x:c r="X4" s="96" t="n">
        <x:f>V4*G4</x:f>
        <x:v>1.0606601717798214</x:v>
      </x:c>
      <x:c r="Y4" s="96" t="n">
        <x:f>POWER(0.5,J4/20)</x:f>
        <x:v>0.5358867312681466</x:v>
      </x:c>
      <x:c r="Z4" s="96" t="n">
        <x:f>Y4*F4</x:f>
        <x:v>0</x:v>
      </x:c>
      <x:c r="AA4" s="96" t="n">
        <x:f>Y4*G4</x:f>
        <x:v>1.6076601938044397</x:v>
      </x:c>
    </x:row>
    <x:row r="5">
      <x:c r="A5" t="str">
        <x:v>SKC</x:v>
      </x:c>
      <x:c r="B5" t="n">
        <x:v>2</x:v>
      </x:c>
      <x:c r="C5" s="28" t="str">
        <x:v>2026-03-01</x:v>
      </x:c>
      <x:c r="D5" t="str">
        <x:v>H</x:v>
      </x:c>
      <x:c r="E5" t="str">
        <x:v>Columbus Crew</x:v>
      </x:c>
      <x:c r="F5" t="n">
        <x:v>2</x:v>
      </x:c>
      <x:c r="G5" t="n">
        <x:v>2</x:v>
      </x:c>
      <x:c r="H5" t="n">
        <x:v>4</x:v>
      </x:c>
      <x:c r="I5" t="str">
        <x:v>LOSS</x:v>
      </x:c>
      <x:c r="J5" t="n">
        <x:v>17</x:v>
      </x:c>
      <x:c r="K5" t="str">
        <x:v>YES</x:v>
      </x:c>
      <x:c r="L5" t="str">
        <x:v>https://footystats.org/clubs/sporting-kansas-city-8</x:v>
      </x:c>
      <x:c r="M5" s="96" t="n">
        <x:f>POWER(0.5,J5/3)</x:f>
        <x:v>0.01968626640460739</x:v>
      </x:c>
      <x:c r="N5" s="786" t="n">
        <x:f>M5*F5</x:f>
        <x:v>0.03937253280921478</x:v>
      </x:c>
      <x:c r="O5" s="96" t="n">
        <x:f>M5*G5</x:f>
        <x:v>0.03937253280921478</x:v>
      </x:c>
      <x:c r="P5" s="96" t="n">
        <x:f>POWER(0.5,J5/5)</x:f>
        <x:v>0.09473228540689989</x:v>
      </x:c>
      <x:c r="Q5" s="96" t="n">
        <x:f>P5*F5</x:f>
        <x:v>0.18946457081379978</x:v>
      </x:c>
      <x:c r="R5" s="96" t="n">
        <x:f>P5*G5</x:f>
        <x:v>0.18946457081379978</x:v>
      </x:c>
      <x:c r="S5" s="96" t="n">
        <x:f>POWER(0.5,J5/8)</x:f>
        <x:v>0.2292510108011678</x:v>
      </x:c>
      <x:c r="T5" s="96" t="n">
        <x:f>S5*F5</x:f>
        <x:v>0.4585020216023356</x:v>
      </x:c>
      <x:c r="U5" s="96" t="n">
        <x:f>S5*G5</x:f>
        <x:v>0.4585020216023356</x:v>
      </x:c>
      <x:c r="V5" s="96" t="n">
        <x:f>POWER(0.5,J5/12)</x:f>
        <x:v>0.3745767692191704</x:v>
      </x:c>
      <x:c r="W5" s="96" t="n">
        <x:f>V5*F5</x:f>
        <x:v>0.7491535384383408</x:v>
      </x:c>
      <x:c r="X5" s="96" t="n">
        <x:f>V5*G5</x:f>
        <x:v>0.7491535384383408</x:v>
      </x:c>
      <x:c r="Y5" s="96" t="n">
        <x:f>POWER(0.5,J5/20)</x:f>
        <x:v>0.5547847360339225</x:v>
      </x:c>
      <x:c r="Z5" s="96" t="n">
        <x:f>Y5*F5</x:f>
        <x:v>1.109569472067845</x:v>
      </x:c>
      <x:c r="AA5" s="96" t="n">
        <x:f>Y5*G5</x:f>
        <x:v>1.109569472067845</x:v>
      </x:c>
    </x:row>
    <x:row r="6">
      <x:c r="A6" t="str">
        <x:v>SKC</x:v>
      </x:c>
      <x:c r="B6" t="n">
        <x:v>3</x:v>
      </x:c>
      <x:c r="C6" s="28" t="str">
        <x:v>2026-03-08</x:v>
      </x:c>
      <x:c r="D6" t="str">
        <x:v>H</x:v>
      </x:c>
      <x:c r="E6" t="str">
        <x:v>San Diego</x:v>
      </x:c>
      <x:c r="F6" t="n">
        <x:v>0</x:v>
      </x:c>
      <x:c r="G6" t="n">
        <x:v>1</x:v>
      </x:c>
      <x:c r="H6" t="n">
        <x:v>1</x:v>
      </x:c>
      <x:c r="I6" t="str">
        <x:v>WIN</x:v>
      </x:c>
      <x:c r="J6" t="n">
        <x:v>16</x:v>
      </x:c>
      <x:c r="K6" t="str">
        <x:v>YES</x:v>
      </x:c>
      <x:c r="L6" t="str">
        <x:v>https://footystats.org/clubs/sporting-kansas-city-8</x:v>
      </x:c>
      <x:c r="M6" s="96" t="n">
        <x:f>POWER(0.5,J6/3)</x:f>
        <x:v>0.024803141437003122</x:v>
      </x:c>
      <x:c r="N6" s="786" t="n">
        <x:f>M6*F6</x:f>
        <x:v>0</x:v>
      </x:c>
      <x:c r="O6" s="96" t="n">
        <x:f>M6*G6</x:f>
        <x:v>0.024803141437003122</x:v>
      </x:c>
      <x:c r="P6" s="96" t="n">
        <x:f>POWER(0.5,J6/5)</x:f>
        <x:v>0.1088188204120155</x:v>
      </x:c>
      <x:c r="Q6" s="96" t="n">
        <x:f>P6*F6</x:f>
        <x:v>0</x:v>
      </x:c>
      <x:c r="R6" s="96" t="n">
        <x:f>P6*G6</x:f>
        <x:v>0.1088188204120155</x:v>
      </x:c>
      <x:c r="S6" s="96" t="n">
        <x:f>POWER(0.5,J6/8)</x:f>
        <x:v>0.25</x:v>
      </x:c>
      <x:c r="T6" s="96" t="n">
        <x:f>S6*F6</x:f>
        <x:v>0</x:v>
      </x:c>
      <x:c r="U6" s="96" t="n">
        <x:f>S6*G6</x:f>
        <x:v>0.25</x:v>
      </x:c>
      <x:c r="V6" s="96" t="n">
        <x:f>POWER(0.5,J6/12)</x:f>
        <x:v>0.3968502629920499</x:v>
      </x:c>
      <x:c r="W6" s="96" t="n">
        <x:f>V6*F6</x:f>
        <x:v>0</x:v>
      </x:c>
      <x:c r="X6" s="96" t="n">
        <x:f>V6*G6</x:f>
        <x:v>0.3968502629920499</x:v>
      </x:c>
      <x:c r="Y6" s="96" t="n">
        <x:f>POWER(0.5,J6/20)</x:f>
        <x:v>0.5743491774985174</x:v>
      </x:c>
      <x:c r="Z6" s="96" t="n">
        <x:f>Y6*F6</x:f>
        <x:v>0</x:v>
      </x:c>
      <x:c r="AA6" s="96" t="n">
        <x:f>Y6*G6</x:f>
        <x:v>0.5743491774985174</x:v>
      </x:c>
    </x:row>
    <x:row r="7">
      <x:c r="A7" t="str">
        <x:v>SKC</x:v>
      </x:c>
      <x:c r="B7" t="n">
        <x:v>4</x:v>
      </x:c>
      <x:c r="C7" s="28" t="str">
        <x:v>2026-03-15</x:v>
      </x:c>
      <x:c r="D7" t="str">
        <x:v>A</x:v>
      </x:c>
      <x:c r="E7" t="str">
        <x:v>LA Galaxy</x:v>
      </x:c>
      <x:c r="F7" t="n">
        <x:v>2</x:v>
      </x:c>
      <x:c r="G7" t="n">
        <x:v>1</x:v>
      </x:c>
      <x:c r="H7" t="n">
        <x:v>3</x:v>
      </x:c>
      <x:c r="I7" t="str">
        <x:v>WIN</x:v>
      </x:c>
      <x:c r="J7" t="n">
        <x:v>15</x:v>
      </x:c>
      <x:c r="K7" t="str">
        <x:v>YES</x:v>
      </x:c>
      <x:c r="L7" t="str">
        <x:v>https://footystats.org/clubs/sporting-kansas-city-8</x:v>
      </x:c>
      <x:c r="M7" s="96" t="n">
        <x:f>POWER(0.5,J7/3)</x:f>
        <x:v>0.03125</x:v>
      </x:c>
      <x:c r="N7" s="786" t="n">
        <x:f>M7*F7</x:f>
        <x:v>0.0625</x:v>
      </x:c>
      <x:c r="O7" s="96" t="n">
        <x:f>M7*G7</x:f>
        <x:v>0.03125</x:v>
      </x:c>
      <x:c r="P7" s="96" t="n">
        <x:f>POWER(0.5,J7/5)</x:f>
        <x:v>0.125</x:v>
      </x:c>
      <x:c r="Q7" s="96" t="n">
        <x:f>P7*F7</x:f>
        <x:v>0.25</x:v>
      </x:c>
      <x:c r="R7" s="96" t="n">
        <x:f>P7*G7</x:f>
        <x:v>0.125</x:v>
      </x:c>
      <x:c r="S7" s="96" t="n">
        <x:f>POWER(0.5,J7/8)</x:f>
        <x:v>0.2726269331663144</x:v>
      </x:c>
      <x:c r="T7" s="96" t="n">
        <x:f>S7*F7</x:f>
        <x:v>0.5452538663326288</x:v>
      </x:c>
      <x:c r="U7" s="96" t="n">
        <x:f>S7*G7</x:f>
        <x:v>0.2726269331663144</x:v>
      </x:c>
      <x:c r="V7" s="96" t="n">
        <x:f>POWER(0.5,J7/12)</x:f>
        <x:v>0.42044820762685725</x:v>
      </x:c>
      <x:c r="W7" s="96" t="n">
        <x:f>V7*F7</x:f>
        <x:v>0.8408964152537145</x:v>
      </x:c>
      <x:c r="X7" s="96" t="n">
        <x:f>V7*G7</x:f>
        <x:v>0.42044820762685725</x:v>
      </x:c>
      <x:c r="Y7" s="96" t="n">
        <x:f>POWER(0.5,J7/20)</x:f>
        <x:v>0.5946035575013605</x:v>
      </x:c>
      <x:c r="Z7" s="96" t="n">
        <x:f>Y7*F7</x:f>
        <x:v>1.189207115002721</x:v>
      </x:c>
      <x:c r="AA7" s="96" t="n">
        <x:f>Y7*G7</x:f>
        <x:v>0.5946035575013605</x:v>
      </x:c>
    </x:row>
    <x:row r="8">
      <x:c r="A8" t="str">
        <x:v>SKC</x:v>
      </x:c>
      <x:c r="B8" t="n">
        <x:v>5</x:v>
      </x:c>
      <x:c r="C8" s="28" t="str">
        <x:v>2026-03-22</x:v>
      </x:c>
      <x:c r="D8" t="str">
        <x:v>H</x:v>
      </x:c>
      <x:c r="E8" t="str">
        <x:v>Colorado Rapids</x:v>
      </x:c>
      <x:c r="F8" t="n">
        <x:v>1</x:v>
      </x:c>
      <x:c r="G8" t="n">
        <x:v>4</x:v>
      </x:c>
      <x:c r="H8" t="n">
        <x:v>5</x:v>
      </x:c>
      <x:c r="I8" t="str">
        <x:v>LOSS</x:v>
      </x:c>
      <x:c r="J8" t="n">
        <x:v>14</x:v>
      </x:c>
      <x:c r="K8" t="str">
        <x:v>YES</x:v>
      </x:c>
      <x:c r="L8" t="str">
        <x:v>https://footystats.org/clubs/sporting-kansas-city-8</x:v>
      </x:c>
      <x:c r="M8" s="96" t="n">
        <x:f>POWER(0.5,J8/3)</x:f>
        <x:v>0.03937253280921478</x:v>
      </x:c>
      <x:c r="N8" s="786" t="n">
        <x:f>M8*F8</x:f>
        <x:v>0.03937253280921478</x:v>
      </x:c>
      <x:c r="O8" s="96" t="n">
        <x:f>M8*G8</x:f>
        <x:v>0.15749013123685912</x:v>
      </x:c>
      <x:c r="P8" s="96" t="n">
        <x:f>POWER(0.5,J8/5)</x:f>
        <x:v>0.1435872943746294</x:v>
      </x:c>
      <x:c r="Q8" s="96" t="n">
        <x:f>P8*F8</x:f>
        <x:v>0.1435872943746294</x:v>
      </x:c>
      <x:c r="R8" s="96" t="n">
        <x:f>P8*G8</x:f>
        <x:v>0.5743491774985175</x:v>
      </x:c>
      <x:c r="S8" s="96" t="n">
        <x:f>POWER(0.5,J8/8)</x:f>
        <x:v>0.29730177875068026</x:v>
      </x:c>
      <x:c r="T8" s="96" t="n">
        <x:f>S8*F8</x:f>
        <x:v>0.29730177875068026</x:v>
      </x:c>
      <x:c r="U8" s="96" t="n">
        <x:f>S8*G8</x:f>
        <x:v>1.189207115002721</x:v>
      </x:c>
      <x:c r="V8" s="96" t="n">
        <x:f>POWER(0.5,J8/12)</x:f>
        <x:v>0.44544935907016964</x:v>
      </x:c>
      <x:c r="W8" s="96" t="n">
        <x:f>V8*F8</x:f>
        <x:v>0.44544935907016964</x:v>
      </x:c>
      <x:c r="X8" s="96" t="n">
        <x:f>V8*G8</x:f>
        <x:v>1.7817974362806785</x:v>
      </x:c>
      <x:c r="Y8" s="96" t="n">
        <x:f>POWER(0.5,J8/20)</x:f>
        <x:v>0.6155722066724582</x:v>
      </x:c>
      <x:c r="Z8" s="96" t="n">
        <x:f>Y8*F8</x:f>
        <x:v>0.6155722066724582</x:v>
      </x:c>
      <x:c r="AA8" s="96" t="n">
        <x:f>Y8*G8</x:f>
        <x:v>2.4622888266898326</x:v>
      </x:c>
    </x:row>
    <x:row r="9">
      <x:c r="A9" t="str">
        <x:v>SKC</x:v>
      </x:c>
      <x:c r="B9" t="n">
        <x:v>6</x:v>
      </x:c>
      <x:c r="C9" s="28" t="str">
        <x:v>2026-04-04</x:v>
      </x:c>
      <x:c r="D9" t="str">
        <x:v>A</x:v>
      </x:c>
      <x:c r="E9" t="str">
        <x:v>Real Salt Lake</x:v>
      </x:c>
      <x:c r="F9" t="n">
        <x:v>1</x:v>
      </x:c>
      <x:c r="G9" t="n">
        <x:v>3</x:v>
      </x:c>
      <x:c r="H9" t="n">
        <x:v>4</x:v>
      </x:c>
      <x:c r="I9" t="str">
        <x:v>LOSS</x:v>
      </x:c>
      <x:c r="J9" t="n">
        <x:v>13</x:v>
      </x:c>
      <x:c r="K9" t="str">
        <x:v>YES</x:v>
      </x:c>
      <x:c r="L9" t="str">
        <x:v>https://footystats.org/clubs/sporting-kansas-city-8</x:v>
      </x:c>
      <x:c r="M9" s="96" t="n">
        <x:f>POWER(0.5,J9/3)</x:f>
        <x:v>0.049606282874006244</x:v>
      </x:c>
      <x:c r="N9" s="786" t="n">
        <x:f>M9*F9</x:f>
        <x:v>0.049606282874006244</x:v>
      </x:c>
      <x:c r="O9" s="96" t="n">
        <x:f>M9*G9</x:f>
        <x:v>0.14881884862201872</x:v>
      </x:c>
      <x:c r="P9" s="96" t="n">
        <x:f>POWER(0.5,J9/5)</x:f>
        <x:v>0.16493848884661177</x:v>
      </x:c>
      <x:c r="Q9" s="96" t="n">
        <x:f>P9*F9</x:f>
        <x:v>0.16493848884661177</x:v>
      </x:c>
      <x:c r="R9" s="96" t="n">
        <x:f>P9*G9</x:f>
        <x:v>0.4948154665398353</x:v>
      </x:c>
      <x:c r="S9" s="96" t="n">
        <x:f>POWER(0.5,J9/8)</x:f>
        <x:v>0.3242098886627524</x:v>
      </x:c>
      <x:c r="T9" s="96" t="n">
        <x:f>S9*F9</x:f>
        <x:v>0.3242098886627524</x:v>
      </x:c>
      <x:c r="U9" s="96" t="n">
        <x:f>S9*G9</x:f>
        <x:v>0.9726296659882572</x:v>
      </x:c>
      <x:c r="V9" s="96" t="n">
        <x:f>POWER(0.5,J9/12)</x:f>
        <x:v>0.47193715634084676</x:v>
      </x:c>
      <x:c r="W9" s="96" t="n">
        <x:f>V9*F9</x:f>
        <x:v>0.47193715634084676</x:v>
      </x:c>
      <x:c r="X9" s="96" t="n">
        <x:f>V9*G9</x:f>
        <x:v>1.4158114690225403</x:v>
      </x:c>
      <x:c r="Y9" s="96" t="n">
        <x:f>POWER(0.5,J9/20)</x:f>
        <x:v>0.6372803136596311</x:v>
      </x:c>
      <x:c r="Z9" s="96" t="n">
        <x:f>Y9*F9</x:f>
        <x:v>0.6372803136596311</x:v>
      </x:c>
      <x:c r="AA9" s="96" t="n">
        <x:f>Y9*G9</x:f>
        <x:v>1.9118409409788932</x:v>
      </x:c>
    </x:row>
    <x:row r="10">
      <x:c r="A10" t="str">
        <x:v>SKC</x:v>
      </x:c>
      <x:c r="B10" t="n">
        <x:v>7</x:v>
      </x:c>
      <x:c r="C10" s="28" t="str">
        <x:v>2026-04-12</x:v>
      </x:c>
      <x:c r="D10" t="str">
        <x:v>H</x:v>
      </x:c>
      <x:c r="E10" t="str">
        <x:v>SJ Earthquakes</x:v>
      </x:c>
      <x:c r="F10" t="n">
        <x:v>1</x:v>
      </x:c>
      <x:c r="G10" t="n">
        <x:v>3</x:v>
      </x:c>
      <x:c r="H10" t="n">
        <x:v>4</x:v>
      </x:c>
      <x:c r="I10" t="str">
        <x:v>LOSS</x:v>
      </x:c>
      <x:c r="J10" t="n">
        <x:v>12</x:v>
      </x:c>
      <x:c r="K10" t="str">
        <x:v>YES</x:v>
      </x:c>
      <x:c r="L10" t="str">
        <x:v>https://footystats.org/clubs/sporting-kansas-city-8</x:v>
      </x:c>
      <x:c r="M10" s="96" t="n">
        <x:f>POWER(0.5,J10/3)</x:f>
        <x:v>0.0625</x:v>
      </x:c>
      <x:c r="N10" s="786" t="n">
        <x:f>M10*F10</x:f>
        <x:v>0.0625</x:v>
      </x:c>
      <x:c r="O10" s="96" t="n">
        <x:f>M10*G10</x:f>
        <x:v>0.1875</x:v>
      </x:c>
      <x:c r="P10" s="96" t="n">
        <x:f>POWER(0.5,J10/5)</x:f>
        <x:v>0.18946457081379978</x:v>
      </x:c>
      <x:c r="Q10" s="96" t="n">
        <x:f>P10*F10</x:f>
        <x:v>0.18946457081379978</x:v>
      </x:c>
      <x:c r="R10" s="96" t="n">
        <x:f>P10*G10</x:f>
        <x:v>0.5683937124413994</x:v>
      </x:c>
      <x:c r="S10" s="96" t="n">
        <x:f>POWER(0.5,J10/8)</x:f>
        <x:v>0.3535533905932738</x:v>
      </x:c>
      <x:c r="T10" s="96" t="n">
        <x:f>S10*F10</x:f>
        <x:v>0.3535533905932738</x:v>
      </x:c>
      <x:c r="U10" s="96" t="n">
        <x:f>S10*G10</x:f>
        <x:v>1.0606601717798214</x:v>
      </x:c>
      <x:c r="V10" s="96" t="n">
        <x:f>POWER(0.5,J10/12)</x:f>
        <x:v>0.5</x:v>
      </x:c>
      <x:c r="W10" s="96" t="n">
        <x:f>V10*F10</x:f>
        <x:v>0.5</x:v>
      </x:c>
      <x:c r="X10" s="96" t="n">
        <x:f>V10*G10</x:f>
        <x:v>1.5</x:v>
      </x:c>
      <x:c r="Y10" s="96" t="n">
        <x:f>POWER(0.5,J10/20)</x:f>
        <x:v>0.6597539553864471</x:v>
      </x:c>
      <x:c r="Z10" s="96" t="n">
        <x:f>Y10*F10</x:f>
        <x:v>0.6597539553864471</x:v>
      </x:c>
      <x:c r="AA10" s="96" t="n">
        <x:f>Y10*G10</x:f>
        <x:v>1.9792618661593413</x:v>
      </x:c>
    </x:row>
    <x:row r="11">
      <x:c r="A11" t="str">
        <x:v>SKC</x:v>
      </x:c>
      <x:c r="B11" t="n">
        <x:v>8</x:v>
      </x:c>
      <x:c r="C11" s="28" t="str">
        <x:v>2026-04-18</x:v>
      </x:c>
      <x:c r="D11" t="str">
        <x:v>A</x:v>
      </x:c>
      <x:c r="E11" t="str">
        <x:v>Vancouver Whitecaps</x:v>
      </x:c>
      <x:c r="F11" t="n">
        <x:v>0</x:v>
      </x:c>
      <x:c r="G11" t="n">
        <x:v>3</x:v>
      </x:c>
      <x:c r="H11" t="n">
        <x:v>3</x:v>
      </x:c>
      <x:c r="I11" t="str">
        <x:v>WIN</x:v>
      </x:c>
      <x:c r="J11" t="n">
        <x:v>11</x:v>
      </x:c>
      <x:c r="K11" t="str">
        <x:v>YES</x:v>
      </x:c>
      <x:c r="L11" t="str">
        <x:v>https://footystats.org/clubs/sporting-kansas-city-8</x:v>
      </x:c>
      <x:c r="M11" s="96" t="n">
        <x:f>POWER(0.5,J11/3)</x:f>
        <x:v>0.07874506561842957</x:v>
      </x:c>
      <x:c r="N11" s="96" t="n">
        <x:f>M11*F11</x:f>
        <x:v>0</x:v>
      </x:c>
      <x:c r="O11" s="96" t="n">
        <x:f>M11*G11</x:f>
        <x:v>0.2362351968552887</x:v>
      </x:c>
      <x:c r="P11" s="96" t="n">
        <x:f>POWER(0.5,J11/5)</x:f>
        <x:v>0.217637640824031</x:v>
      </x:c>
      <x:c r="Q11" s="96" t="n">
        <x:f>P11*F11</x:f>
        <x:v>0</x:v>
      </x:c>
      <x:c r="R11" s="96" t="n">
        <x:f>P11*G11</x:f>
        <x:v>0.652912922472093</x:v>
      </x:c>
      <x:c r="S11" s="96" t="n">
        <x:f>POWER(0.5,J11/8)</x:f>
        <x:v>0.3855527063519852</x:v>
      </x:c>
      <x:c r="T11" s="96" t="n">
        <x:f>S11*F11</x:f>
        <x:v>0</x:v>
      </x:c>
      <x:c r="U11" s="96" t="n">
        <x:f>S11*G11</x:f>
        <x:v>1.1566581190559555</x:v>
      </x:c>
      <x:c r="V11" s="96" t="n">
        <x:f>POWER(0.5,J11/12)</x:f>
        <x:v>0.5297315471796477</x:v>
      </x:c>
      <x:c r="W11" s="96" t="n">
        <x:f>V11*F11</x:f>
        <x:v>0</x:v>
      </x:c>
      <x:c r="X11" s="96" t="n">
        <x:f>V11*G11</x:f>
        <x:v>1.5891946415389429</x:v>
      </x:c>
      <x:c r="Y11" s="96" t="n">
        <x:f>POWER(0.5,J11/20)</x:f>
        <x:v>0.6830201283771977</x:v>
      </x:c>
      <x:c r="Z11" s="96" t="n">
        <x:f>Y11*F11</x:f>
        <x:v>0</x:v>
      </x:c>
      <x:c r="AA11" s="96" t="n">
        <x:f>Y11*G11</x:f>
        <x:v>2.049060385131593</x:v>
      </x:c>
    </x:row>
    <x:row r="12">
      <x:c r="A12" t="str">
        <x:v>SKC</x:v>
      </x:c>
      <x:c r="B12" t="n">
        <x:v>9</x:v>
      </x:c>
      <x:c r="C12" s="28" t="str">
        <x:v>2026-04-26</x:v>
      </x:c>
      <x:c r="D12" t="str">
        <x:v>A</x:v>
      </x:c>
      <x:c r="E12" t="str">
        <x:v>Chicago Fire</x:v>
      </x:c>
      <x:c r="F12" t="n">
        <x:v>0</x:v>
      </x:c>
      <x:c r="G12" t="n">
        <x:v>5</x:v>
      </x:c>
      <x:c r="H12" t="n">
        <x:v>5</x:v>
      </x:c>
      <x:c r="I12" t="str">
        <x:v>LOSS</x:v>
      </x:c>
      <x:c r="J12" t="n">
        <x:v>10</x:v>
      </x:c>
      <x:c r="K12" t="str">
        <x:v>YES</x:v>
      </x:c>
      <x:c r="L12" t="str">
        <x:v>https://footystats.org/clubs/sporting-kansas-city-8</x:v>
      </x:c>
      <x:c r="M12" s="96" t="n">
        <x:f>POWER(0.5,J12/3)</x:f>
        <x:v>0.09921256574801246</x:v>
      </x:c>
      <x:c r="N12" s="96" t="n">
        <x:f>M12*F12</x:f>
        <x:v>0</x:v>
      </x:c>
      <x:c r="O12" s="96" t="n">
        <x:f>M12*G12</x:f>
        <x:v>0.4960628287400623</x:v>
      </x:c>
      <x:c r="P12" s="96" t="n">
        <x:f>POWER(0.5,J12/5)</x:f>
        <x:v>0.25</x:v>
      </x:c>
      <x:c r="Q12" s="96" t="n">
        <x:f>P12*F12</x:f>
        <x:v>0</x:v>
      </x:c>
      <x:c r="R12" s="96" t="n">
        <x:f>P12*G12</x:f>
        <x:v>1.25</x:v>
      </x:c>
      <x:c r="S12" s="96" t="n">
        <x:f>POWER(0.5,J12/8)</x:f>
        <x:v>0.42044820762685725</x:v>
      </x:c>
      <x:c r="T12" s="96" t="n">
        <x:f>S12*F12</x:f>
        <x:v>0</x:v>
      </x:c>
      <x:c r="U12" s="96" t="n">
        <x:f>S12*G12</x:f>
        <x:v>2.102241038134286</x:v>
      </x:c>
      <x:c r="V12" s="96" t="n">
        <x:f>POWER(0.5,J12/12)</x:f>
        <x:v>0.5612310241546865</x:v>
      </x:c>
      <x:c r="W12" s="96" t="n">
        <x:f>V12*F12</x:f>
        <x:v>0</x:v>
      </x:c>
      <x:c r="X12" s="96" t="n">
        <x:f>V12*G12</x:f>
        <x:v>2.8061551207734325</x:v>
      </x:c>
      <x:c r="Y12" s="96" t="n">
        <x:f>POWER(0.5,J12/20)</x:f>
        <x:v>0.7071067811865476</x:v>
      </x:c>
      <x:c r="Z12" s="96" t="n">
        <x:f>Y12*F12</x:f>
        <x:v>0</x:v>
      </x:c>
      <x:c r="AA12" s="96" t="n">
        <x:f>Y12*G12</x:f>
        <x:v>3.5355339059327378</x:v>
      </x:c>
    </x:row>
    <x:row r="13">
      <x:c r="A13" t="str">
        <x:v>SKC</x:v>
      </x:c>
      <x:c r="B13" t="n">
        <x:v>10</x:v>
      </x:c>
      <x:c r="C13" s="28" t="str">
        <x:v>2026-05-02</x:v>
      </x:c>
      <x:c r="D13" t="str">
        <x:v>H</x:v>
      </x:c>
      <x:c r="E13" t="str">
        <x:v>Seattle Sounders</x:v>
      </x:c>
      <x:c r="F13" t="n">
        <x:v>1</x:v>
      </x:c>
      <x:c r="G13" t="n">
        <x:v>1</x:v>
      </x:c>
      <x:c r="H13" t="n">
        <x:v>2</x:v>
      </x:c>
      <x:c r="I13" t="str">
        <x:v>WIN</x:v>
      </x:c>
      <x:c r="J13" t="n">
        <x:v>9</x:v>
      </x:c>
      <x:c r="K13" t="str">
        <x:v>YES</x:v>
      </x:c>
      <x:c r="L13" t="str">
        <x:v>https://footystats.org/clubs/sporting-kansas-city-8</x:v>
      </x:c>
      <x:c r="M13" s="96" t="n">
        <x:f>POWER(0.5,J13/3)</x:f>
        <x:v>0.125</x:v>
      </x:c>
      <x:c r="N13" s="96" t="n">
        <x:f>M13*F13</x:f>
        <x:v>0.125</x:v>
      </x:c>
      <x:c r="O13" s="96" t="n">
        <x:f>M13*G13</x:f>
        <x:v>0.125</x:v>
      </x:c>
      <x:c r="P13" s="96" t="n">
        <x:f>POWER(0.5,J13/5)</x:f>
        <x:v>0.2871745887492587</x:v>
      </x:c>
      <x:c r="Q13" s="96" t="n">
        <x:f>P13*F13</x:f>
        <x:v>0.2871745887492587</x:v>
      </x:c>
      <x:c r="R13" s="96" t="n">
        <x:f>P13*G13</x:f>
        <x:v>0.2871745887492587</x:v>
      </x:c>
      <x:c r="S13" s="96" t="n">
        <x:f>POWER(0.5,J13/8)</x:f>
        <x:v>0.4585020216023356</x:v>
      </x:c>
      <x:c r="T13" s="96" t="n">
        <x:f>S13*F13</x:f>
        <x:v>0.4585020216023356</x:v>
      </x:c>
      <x:c r="U13" s="96" t="n">
        <x:f>S13*G13</x:f>
        <x:v>0.4585020216023356</x:v>
      </x:c>
      <x:c r="V13" s="96" t="n">
        <x:f>POWER(0.5,J13/12)</x:f>
        <x:v>0.5946035575013605</x:v>
      </x:c>
      <x:c r="W13" s="96" t="n">
        <x:f>V13*F13</x:f>
        <x:v>0.5946035575013605</x:v>
      </x:c>
      <x:c r="X13" s="96" t="n">
        <x:f>V13*G13</x:f>
        <x:v>0.5946035575013605</x:v>
      </x:c>
      <x:c r="Y13" s="96" t="n">
        <x:f>POWER(0.5,J13/20)</x:f>
        <x:v>0.7320428479728127</x:v>
      </x:c>
      <x:c r="Z13" s="96" t="n">
        <x:f>Y13*F13</x:f>
        <x:v>0.7320428479728127</x:v>
      </x:c>
      <x:c r="AA13" s="96" t="n">
        <x:f>Y13*G13</x:f>
        <x:v>0.7320428479728127</x:v>
      </x:c>
    </x:row>
    <x:row r="14">
      <x:c r="A14" t="str">
        <x:v>SKC</x:v>
      </x:c>
      <x:c r="B14" t="n">
        <x:v>11</x:v>
      </x:c>
      <x:c r="C14" s="28" t="str">
        <x:v>2026-05-10</x:v>
      </x:c>
      <x:c r="D14" t="str">
        <x:v>A</x:v>
      </x:c>
      <x:c r="E14" t="str">
        <x:v>Portland Timbers</x:v>
      </x:c>
      <x:c r="F14" t="n">
        <x:v>0</x:v>
      </x:c>
      <x:c r="G14" t="n">
        <x:v>6</x:v>
      </x:c>
      <x:c r="H14" t="n">
        <x:v>6</x:v>
      </x:c>
      <x:c r="I14" t="str">
        <x:v>LOSS</x:v>
      </x:c>
      <x:c r="J14" t="n">
        <x:v>8</x:v>
      </x:c>
      <x:c r="K14" t="str">
        <x:v>YES</x:v>
      </x:c>
      <x:c r="L14" t="str">
        <x:v>https://footystats.org/clubs/sporting-kansas-city-8</x:v>
      </x:c>
      <x:c r="M14" s="96" t="n">
        <x:f>POWER(0.5,J14/3)</x:f>
        <x:v>0.15749013123685915</x:v>
      </x:c>
      <x:c r="N14" s="96" t="n">
        <x:f>M14*F14</x:f>
        <x:v>0</x:v>
      </x:c>
      <x:c r="O14" s="96" t="n">
        <x:f>M14*G14</x:f>
        <x:v>0.9449407874211548</x:v>
      </x:c>
      <x:c r="P14" s="96" t="n">
        <x:f>POWER(0.5,J14/5)</x:f>
        <x:v>0.32987697769322355</x:v>
      </x:c>
      <x:c r="Q14" s="96" t="n">
        <x:f>P14*F14</x:f>
        <x:v>0</x:v>
      </x:c>
      <x:c r="R14" s="96" t="n">
        <x:f>P14*G14</x:f>
        <x:v>1.9792618661593413</x:v>
      </x:c>
      <x:c r="S14" s="96" t="n">
        <x:f>POWER(0.5,J14/8)</x:f>
        <x:v>0.5</x:v>
      </x:c>
      <x:c r="T14" s="96" t="n">
        <x:f>S14*F14</x:f>
        <x:v>0</x:v>
      </x:c>
      <x:c r="U14" s="96" t="n">
        <x:f>S14*G14</x:f>
        <x:v>3</x:v>
      </x:c>
      <x:c r="V14" s="96" t="n">
        <x:f>POWER(0.5,J14/12)</x:f>
        <x:v>0.6299605249474366</x:v>
      </x:c>
      <x:c r="W14" s="96" t="n">
        <x:f>V14*F14</x:f>
        <x:v>0</x:v>
      </x:c>
      <x:c r="X14" s="96" t="n">
        <x:f>V14*G14</x:f>
        <x:v>3.7797631496846193</x:v>
      </x:c>
      <x:c r="Y14" s="96" t="n">
        <x:f>POWER(0.5,J14/20)</x:f>
        <x:v>0.757858283255199</x:v>
      </x:c>
      <x:c r="Z14" s="96" t="n">
        <x:f>Y14*F14</x:f>
        <x:v>0</x:v>
      </x:c>
      <x:c r="AA14" s="96" t="n">
        <x:f>Y14*G14</x:f>
        <x:v>4.547149699531194</x:v>
      </x:c>
    </x:row>
    <x:row r="15">
      <x:c r="A15" t="str">
        <x:v>SKC</x:v>
      </x:c>
      <x:c r="B15" t="n">
        <x:v>12</x:v>
      </x:c>
      <x:c r="C15" s="28" t="str">
        <x:v>2026-05-14</x:v>
      </x:c>
      <x:c r="D15" t="str">
        <x:v>H</x:v>
      </x:c>
      <x:c r="E15" t="str">
        <x:v>LA Galaxy</x:v>
      </x:c>
      <x:c r="F15" t="n">
        <x:v>3</x:v>
      </x:c>
      <x:c r="G15" t="n">
        <x:v>1</x:v>
      </x:c>
      <x:c r="H15" t="n">
        <x:v>4</x:v>
      </x:c>
      <x:c r="I15" t="str">
        <x:v>LOSS</x:v>
      </x:c>
      <x:c r="J15" t="n">
        <x:v>7</x:v>
      </x:c>
      <x:c r="K15" t="str">
        <x:v>YES</x:v>
      </x:c>
      <x:c r="L15" t="str">
        <x:v>https://footystats.org/clubs/sporting-kansas-city-8</x:v>
      </x:c>
      <x:c r="M15" s="96" t="n">
        <x:f>POWER(0.5,J15/3)</x:f>
        <x:v>0.19842513149602492</x:v>
      </x:c>
      <x:c r="N15" s="96" t="n">
        <x:f>M15*F15</x:f>
        <x:v>0.5952753944880748</x:v>
      </x:c>
      <x:c r="O15" s="96" t="n">
        <x:f>M15*G15</x:f>
        <x:v>0.19842513149602492</x:v>
      </x:c>
      <x:c r="P15" s="96" t="n">
        <x:f>POWER(0.5,J15/5)</x:f>
        <x:v>0.37892914162759955</x:v>
      </x:c>
      <x:c r="Q15" s="96" t="n">
        <x:f>P15*F15</x:f>
        <x:v>1.1367874248827987</x:v>
      </x:c>
      <x:c r="R15" s="96" t="n">
        <x:f>P15*G15</x:f>
        <x:v>0.37892914162759955</x:v>
      </x:c>
      <x:c r="S15" s="96" t="n">
        <x:f>POWER(0.5,J15/8)</x:f>
        <x:v>0.5452538663326288</x:v>
      </x:c>
      <x:c r="T15" s="96" t="n">
        <x:f>S15*F15</x:f>
        <x:v>1.6357615989978864</x:v>
      </x:c>
      <x:c r="U15" s="96" t="n">
        <x:f>S15*G15</x:f>
        <x:v>0.5452538663326288</x:v>
      </x:c>
      <x:c r="V15" s="96" t="n">
        <x:f>POWER(0.5,J15/12)</x:f>
        <x:v>0.6674199270850172</x:v>
      </x:c>
      <x:c r="W15" s="96" t="n">
        <x:f>V15*F15</x:f>
        <x:v>2.0022597812550513</x:v>
      </x:c>
      <x:c r="X15" s="96" t="n">
        <x:f>V15*G15</x:f>
        <x:v>0.6674199270850172</x:v>
      </x:c>
      <x:c r="Y15" s="96" t="n">
        <x:f>POWER(0.5,J15/20)</x:f>
        <x:v>0.7845840978967508</x:v>
      </x:c>
      <x:c r="Z15" s="96" t="n">
        <x:f>Y15*F15</x:f>
        <x:v>2.353752293690252</x:v>
      </x:c>
      <x:c r="AA15" s="96" t="n">
        <x:f>Y15*G15</x:f>
        <x:v>0.7845840978967508</x:v>
      </x:c>
    </x:row>
    <x:row r="16">
      <x:c r="A16" t="str">
        <x:v>SKC</x:v>
      </x:c>
      <x:c r="B16" t="n">
        <x:v>13</x:v>
      </x:c>
      <x:c r="C16" s="28" t="str">
        <x:v>2026-05-17</x:v>
      </x:c>
      <x:c r="D16" t="str">
        <x:v>A</x:v>
      </x:c>
      <x:c r="E16" t="str">
        <x:v>Austin FC</x:v>
      </x:c>
      <x:c r="F16" t="n">
        <x:v>2</x:v>
      </x:c>
      <x:c r="G16" t="n">
        <x:v>1</x:v>
      </x:c>
      <x:c r="H16" t="n">
        <x:v>3</x:v>
      </x:c>
      <x:c r="I16" t="str">
        <x:v>WIN</x:v>
      </x:c>
      <x:c r="J16" t="n">
        <x:v>6</x:v>
      </x:c>
      <x:c r="K16" t="str">
        <x:v>YES</x:v>
      </x:c>
      <x:c r="L16" t="str">
        <x:v>https://footystats.org/clubs/sporting-kansas-city-8</x:v>
      </x:c>
      <x:c r="M16" s="96" t="n">
        <x:f>POWER(0.5,J16/3)</x:f>
        <x:v>0.25</x:v>
      </x:c>
      <x:c r="N16" s="96" t="n">
        <x:f>M16*F16</x:f>
        <x:v>0.5</x:v>
      </x:c>
      <x:c r="O16" s="96" t="n">
        <x:f>M16*G16</x:f>
        <x:v>0.25</x:v>
      </x:c>
      <x:c r="P16" s="96" t="n">
        <x:f>POWER(0.5,J16/5)</x:f>
        <x:v>0.43527528164806206</x:v>
      </x:c>
      <x:c r="Q16" s="96" t="n">
        <x:f>P16*F16</x:f>
        <x:v>0.8705505632961241</x:v>
      </x:c>
      <x:c r="R16" s="96" t="n">
        <x:f>P16*G16</x:f>
        <x:v>0.43527528164806206</x:v>
      </x:c>
      <x:c r="S16" s="96" t="n">
        <x:f>POWER(0.5,J16/8)</x:f>
        <x:v>0.5946035575013605</x:v>
      </x:c>
      <x:c r="T16" s="96" t="n">
        <x:f>S16*F16</x:f>
        <x:v>1.189207115002721</x:v>
      </x:c>
      <x:c r="U16" s="96" t="n">
        <x:f>S16*G16</x:f>
        <x:v>0.5946035575013605</x:v>
      </x:c>
      <x:c r="V16" s="96" t="n">
        <x:f>POWER(0.5,J16/12)</x:f>
        <x:v>0.7071067811865476</x:v>
      </x:c>
      <x:c r="W16" s="96" t="n">
        <x:f>V16*F16</x:f>
        <x:v>1.4142135623730951</x:v>
      </x:c>
      <x:c r="X16" s="96" t="n">
        <x:f>V16*G16</x:f>
        <x:v>0.7071067811865476</x:v>
      </x:c>
      <x:c r="Y16" s="96" t="n">
        <x:f>POWER(0.5,J16/20)</x:f>
        <x:v>0.8122523963562356</x:v>
      </x:c>
      <x:c r="Z16" s="96" t="n">
        <x:f>Y16*F16</x:f>
        <x:v>1.6245047927124712</x:v>
      </x:c>
      <x:c r="AA16" s="96" t="n">
        <x:f>Y16*G16</x:f>
        <x:v>0.8122523963562356</x:v>
      </x:c>
    </x:row>
    <x:row r="17">
      <x:c r="A17" t="str">
        <x:v>SKC</x:v>
      </x:c>
      <x:c r="B17" t="n">
        <x:v>14</x:v>
      </x:c>
      <x:c r="C17" s="28" t="str">
        <x:v>2026-05-24</x:v>
      </x:c>
      <x:c r="D17" t="str">
        <x:v>H</x:v>
      </x:c>
      <x:c r="E17" t="str">
        <x:v>NY Red Bulls</x:v>
      </x:c>
      <x:c r="F17" t="n">
        <x:v>1</x:v>
      </x:c>
      <x:c r="G17" t="n">
        <x:v>2</x:v>
      </x:c>
      <x:c r="H17" t="n">
        <x:v>3</x:v>
      </x:c>
      <x:c r="I17" t="str">
        <x:v>WIN</x:v>
      </x:c>
      <x:c r="J17" t="n">
        <x:v>5</x:v>
      </x:c>
      <x:c r="K17" t="str">
        <x:v>YES</x:v>
      </x:c>
      <x:c r="L17" t="str">
        <x:v>https://footystats.org/clubs/sporting-kansas-city-8</x:v>
      </x:c>
      <x:c r="M17" s="96" t="n">
        <x:f>POWER(0.5,J17/3)</x:f>
        <x:v>0.3149802624737183</x:v>
      </x:c>
      <x:c r="N17" s="96" t="n">
        <x:f>M17*F17</x:f>
        <x:v>0.3149802624737183</x:v>
      </x:c>
      <x:c r="O17" s="96" t="n">
        <x:f>M17*G17</x:f>
        <x:v>0.6299605249474366</x:v>
      </x:c>
      <x:c r="P17" s="96" t="n">
        <x:f>POWER(0.5,J17/5)</x:f>
        <x:v>0.5</x:v>
      </x:c>
      <x:c r="Q17" s="96" t="n">
        <x:f>P17*F17</x:f>
        <x:v>0.5</x:v>
      </x:c>
      <x:c r="R17" s="96" t="n">
        <x:f>P17*G17</x:f>
        <x:v>1</x:v>
      </x:c>
      <x:c r="S17" s="96" t="n">
        <x:f>POWER(0.5,J17/8)</x:f>
        <x:v>0.6484197773255048</x:v>
      </x:c>
      <x:c r="T17" s="96" t="n">
        <x:f>S17*F17</x:f>
        <x:v>0.6484197773255048</x:v>
      </x:c>
      <x:c r="U17" s="96" t="n">
        <x:f>S17*G17</x:f>
        <x:v>1.2968395546510096</x:v>
      </x:c>
      <x:c r="V17" s="96" t="n">
        <x:f>POWER(0.5,J17/12)</x:f>
        <x:v>0.7491535384383408</x:v>
      </x:c>
      <x:c r="W17" s="96" t="n">
        <x:f>V17*F17</x:f>
        <x:v>0.7491535384383408</x:v>
      </x:c>
      <x:c r="X17" s="96" t="n">
        <x:f>V17*G17</x:f>
        <x:v>1.4983070768766815</x:v>
      </x:c>
      <x:c r="Y17" s="96" t="n">
        <x:f>POWER(0.5,J17/20)</x:f>
        <x:v>0.8408964152537145</x:v>
      </x:c>
      <x:c r="Z17" s="96" t="n">
        <x:f>Y17*F17</x:f>
        <x:v>0.8408964152537145</x:v>
      </x:c>
      <x:c r="AA17" s="96" t="n">
        <x:f>Y17*G17</x:f>
        <x:v>1.681792830507429</x:v>
      </x:c>
    </x:row>
    <x:row r="18">
      <x:c r="A18" t="str">
        <x:v>SKC</x:v>
      </x:c>
      <x:c r="B18" t="n">
        <x:v>15</x:v>
      </x:c>
      <x:c r="C18" s="28" t="str">
        <x:v>2026-07-17</x:v>
      </x:c>
      <x:c r="D18" t="str">
        <x:v>A</x:v>
      </x:c>
      <x:c r="E18" t="str">
        <x:v>St. Louis City</x:v>
      </x:c>
      <x:c r="F18" t="n">
        <x:v>2</x:v>
      </x:c>
      <x:c r="G18" t="n">
        <x:v>3</x:v>
      </x:c>
      <x:c r="H18" t="n">
        <x:v>5</x:v>
      </x:c>
      <x:c r="I18" t="str">
        <x:v>LOSS</x:v>
      </x:c>
      <x:c r="J18" t="n">
        <x:v>4</x:v>
      </x:c>
      <x:c r="K18" t="str">
        <x:v>YES</x:v>
      </x:c>
      <x:c r="L18" t="str">
        <x:v>https://footystats.org/clubs/sporting-kansas-city-8</x:v>
      </x:c>
      <x:c r="M18" s="96" t="n">
        <x:f>POWER(0.5,J18/3)</x:f>
        <x:v>0.3968502629920499</x:v>
      </x:c>
      <x:c r="N18" s="96" t="n">
        <x:f>M18*F18</x:f>
        <x:v>0.7937005259840998</x:v>
      </x:c>
      <x:c r="O18" s="96" t="n">
        <x:f>M18*G18</x:f>
        <x:v>1.1905507889761497</x:v>
      </x:c>
      <x:c r="P18" s="96" t="n">
        <x:f>POWER(0.5,J18/5)</x:f>
        <x:v>0.5743491774985174</x:v>
      </x:c>
      <x:c r="Q18" s="96" t="n">
        <x:f>P18*F18</x:f>
        <x:v>1.1486983549970349</x:v>
      </x:c>
      <x:c r="R18" s="96" t="n">
        <x:f>P18*G18</x:f>
        <x:v>1.7230475324955523</x:v>
      </x:c>
      <x:c r="S18" s="96" t="n">
        <x:f>POWER(0.5,J18/8)</x:f>
        <x:v>0.7071067811865476</x:v>
      </x:c>
      <x:c r="T18" s="96" t="n">
        <x:f>S18*F18</x:f>
        <x:v>1.4142135623730951</x:v>
      </x:c>
      <x:c r="U18" s="96" t="n">
        <x:f>S18*G18</x:f>
        <x:v>2.121320343559643</x:v>
      </x:c>
      <x:c r="V18" s="96" t="n">
        <x:f>POWER(0.5,J18/12)</x:f>
        <x:v>0.7937005259840998</x:v>
      </x:c>
      <x:c r="W18" s="96" t="n">
        <x:f>V18*F18</x:f>
        <x:v>1.5874010519681996</x:v>
      </x:c>
      <x:c r="X18" s="96" t="n">
        <x:f>V18*G18</x:f>
        <x:v>2.3811015779522995</x:v>
      </x:c>
      <x:c r="Y18" s="96" t="n">
        <x:f>POWER(0.5,J18/20)</x:f>
        <x:v>0.8705505632961241</x:v>
      </x:c>
      <x:c r="Z18" s="96" t="n">
        <x:f>Y18*F18</x:f>
        <x:v>1.7411011265922482</x:v>
      </x:c>
      <x:c r="AA18" s="96" t="n">
        <x:f>Y18*G18</x:f>
        <x:v>2.6116516898883724</x:v>
      </x:c>
    </x:row>
    <x:row r="19">
      <x:c r="A19" t="str">
        <x:v>SKC</x:v>
      </x:c>
      <x:c r="B19" t="n">
        <x:v>16</x:v>
      </x:c>
      <x:c r="C19" s="28" t="str">
        <x:v>2026-07-23</x:v>
      </x:c>
      <x:c r="D19" t="str">
        <x:v>H</x:v>
      </x:c>
      <x:c r="E19" t="str">
        <x:v>Minnesota United</x:v>
      </x:c>
      <x:c r="F19" t="n">
        <x:v>2</x:v>
      </x:c>
      <x:c r="G19" t="n">
        <x:v>1</x:v>
      </x:c>
      <x:c r="H19" t="n">
        <x:v>3</x:v>
      </x:c>
      <x:c r="I19" t="str">
        <x:v>WIN</x:v>
      </x:c>
      <x:c r="J19" t="n">
        <x:v>3</x:v>
      </x:c>
      <x:c r="K19" t="str">
        <x:v>YES</x:v>
      </x:c>
      <x:c r="L19" t="str">
        <x:v>https://footystats.org/clubs/sporting-kansas-city-8</x:v>
      </x:c>
      <x:c r="M19" s="96" t="n">
        <x:f>POWER(0.5,J19/3)</x:f>
        <x:v>0.5</x:v>
      </x:c>
      <x:c r="N19" s="96" t="n">
        <x:f>M19*F19</x:f>
        <x:v>1</x:v>
      </x:c>
      <x:c r="O19" s="96" t="n">
        <x:f>M19*G19</x:f>
        <x:v>0.5</x:v>
      </x:c>
      <x:c r="P19" s="96" t="n">
        <x:f>POWER(0.5,J19/5)</x:f>
        <x:v>0.6597539553864471</x:v>
      </x:c>
      <x:c r="Q19" s="96" t="n">
        <x:f>P19*F19</x:f>
        <x:v>1.3195079107728942</x:v>
      </x:c>
      <x:c r="R19" s="96" t="n">
        <x:f>P19*G19</x:f>
        <x:v>0.6597539553864471</x:v>
      </x:c>
      <x:c r="S19" s="96" t="n">
        <x:f>POWER(0.5,J19/8)</x:f>
        <x:v>0.7711054127039704</x:v>
      </x:c>
      <x:c r="T19" s="96" t="n">
        <x:f>S19*F19</x:f>
        <x:v>1.5422108254079407</x:v>
      </x:c>
      <x:c r="U19" s="96" t="n">
        <x:f>S19*G19</x:f>
        <x:v>0.7711054127039704</x:v>
      </x:c>
      <x:c r="V19" s="96" t="n">
        <x:f>POWER(0.5,J19/12)</x:f>
        <x:v>0.8408964152537145</x:v>
      </x:c>
      <x:c r="W19" s="96" t="n">
        <x:f>V19*F19</x:f>
        <x:v>1.681792830507429</x:v>
      </x:c>
      <x:c r="X19" s="96" t="n">
        <x:f>V19*G19</x:f>
        <x:v>0.8408964152537145</x:v>
      </x:c>
      <x:c r="Y19" s="96" t="n">
        <x:f>POWER(0.5,J19/20)</x:f>
        <x:v>0.9012504626108302</x:v>
      </x:c>
      <x:c r="Z19" s="96" t="n">
        <x:f>Y19*F19</x:f>
        <x:v>1.8025009252216604</x:v>
      </x:c>
      <x:c r="AA19" s="96" t="n">
        <x:f>Y19*G19</x:f>
        <x:v>0.9012504626108302</x:v>
      </x:c>
    </x:row>
    <x:row r="20">
      <x:c r="A20" t="str">
        <x:v>SKC</x:v>
      </x:c>
      <x:c r="B20" t="n">
        <x:v>17</x:v>
      </x:c>
      <x:c r="C20" s="28" t="str">
        <x:v>2026-07-26</x:v>
      </x:c>
      <x:c r="D20" t="str">
        <x:v>A</x:v>
      </x:c>
      <x:c r="E20" t="str">
        <x:v>LAFC</x:v>
      </x:c>
      <x:c r="F20" t="n">
        <x:v>0</x:v>
      </x:c>
      <x:c r="G20" t="n">
        <x:v>4</x:v>
      </x:c>
      <x:c r="H20" t="n">
        <x:v>4</x:v>
      </x:c>
      <x:c r="I20" t="str">
        <x:v>LOSS</x:v>
      </x:c>
      <x:c r="J20" t="n">
        <x:v>2</x:v>
      </x:c>
      <x:c r="K20" t="str">
        <x:v>YES</x:v>
      </x:c>
      <x:c r="L20" t="str">
        <x:v>https://footystats.org/clubs/sporting-kansas-city-8</x:v>
      </x:c>
      <x:c r="M20" s="96" t="n">
        <x:f>POWER(0.5,J20/3)</x:f>
        <x:v>0.6299605249474366</x:v>
      </x:c>
      <x:c r="N20" s="96" t="n">
        <x:f>M20*F20</x:f>
        <x:v>0</x:v>
      </x:c>
      <x:c r="O20" s="96" t="n">
        <x:f>M20*G20</x:f>
        <x:v>2.5198420997897464</x:v>
      </x:c>
      <x:c r="P20" s="96" t="n">
        <x:f>POWER(0.5,J20/5)</x:f>
        <x:v>0.757858283255199</x:v>
      </x:c>
      <x:c r="Q20" s="96" t="n">
        <x:f>P20*F20</x:f>
        <x:v>0</x:v>
      </x:c>
      <x:c r="R20" s="96" t="n">
        <x:f>P20*G20</x:f>
        <x:v>3.031433133020796</x:v>
      </x:c>
      <x:c r="S20" s="96" t="n">
        <x:f>POWER(0.5,J20/8)</x:f>
        <x:v>0.8408964152537145</x:v>
      </x:c>
      <x:c r="T20" s="96" t="n">
        <x:f>S20*F20</x:f>
        <x:v>0</x:v>
      </x:c>
      <x:c r="U20" s="96" t="n">
        <x:f>S20*G20</x:f>
        <x:v>3.363585661014858</x:v>
      </x:c>
      <x:c r="V20" s="96" t="n">
        <x:f>POWER(0.5,J20/12)</x:f>
        <x:v>0.8908987181403393</x:v>
      </x:c>
      <x:c r="W20" s="96" t="n">
        <x:f>V20*F20</x:f>
        <x:v>0</x:v>
      </x:c>
      <x:c r="X20" s="96" t="n">
        <x:f>V20*G20</x:f>
        <x:v>3.563594872561357</x:v>
      </x:c>
      <x:c r="Y20" s="96" t="n">
        <x:f>POWER(0.5,J20/20)</x:f>
        <x:v>0.9330329915368074</x:v>
      </x:c>
      <x:c r="Z20" s="96" t="n">
        <x:f>Y20*F20</x:f>
        <x:v>0</x:v>
      </x:c>
      <x:c r="AA20" s="96" t="n">
        <x:f>Y20*G20</x:f>
        <x:v>3.7321319661472296</x:v>
      </x:c>
    </x:row>
    <x:row r="21">
      <x:c r="A21" t="str">
        <x:v>SKC</x:v>
      </x:c>
      <x:c r="B21" t="n">
        <x:v>18</x:v>
      </x:c>
      <x:c r="C21" s="28" t="str">
        <x:v>2026-08-02</x:v>
      </x:c>
      <x:c r="D21" t="str">
        <x:v>H</x:v>
      </x:c>
      <x:c r="E21" t="str">
        <x:v>Houston Dynamo</x:v>
      </x:c>
      <x:c r="F21" t="n">
        <x:v>0</x:v>
      </x:c>
      <x:c r="G21" t="n">
        <x:v>2</x:v>
      </x:c>
      <x:c r="H21" t="n">
        <x:v>2</x:v>
      </x:c>
      <x:c r="I21" t="str">
        <x:v>WIN</x:v>
      </x:c>
      <x:c r="J21" t="n">
        <x:v>1</x:v>
      </x:c>
      <x:c r="K21" t="str">
        <x:v>YES</x:v>
      </x:c>
      <x:c r="L21" t="str">
        <x:v>https://footystats.org/clubs/sporting-kansas-city-8</x:v>
      </x:c>
      <x:c r="M21" s="96" t="n">
        <x:f>POWER(0.5,J21/3)</x:f>
        <x:v>0.7937005259840998</x:v>
      </x:c>
      <x:c r="N21" s="96" t="n">
        <x:f>M21*F21</x:f>
        <x:v>0</x:v>
      </x:c>
      <x:c r="O21" s="96" t="n">
        <x:f>M21*G21</x:f>
        <x:v>1.5874010519681996</x:v>
      </x:c>
      <x:c r="P21" s="96" t="n">
        <x:f>POWER(0.5,J21/5)</x:f>
        <x:v>0.8705505632961241</x:v>
      </x:c>
      <x:c r="Q21" s="96" t="n">
        <x:f>P21*F21</x:f>
        <x:v>0</x:v>
      </x:c>
      <x:c r="R21" s="96" t="n">
        <x:f>P21*G21</x:f>
        <x:v>1.7411011265922482</x:v>
      </x:c>
      <x:c r="S21" s="96" t="n">
        <x:f>POWER(0.5,J21/8)</x:f>
        <x:v>0.9170040432046712</x:v>
      </x:c>
      <x:c r="T21" s="96" t="n">
        <x:f>S21*F21</x:f>
        <x:v>0</x:v>
      </x:c>
      <x:c r="U21" s="96" t="n">
        <x:f>S21*G21</x:f>
        <x:v>1.8340080864093424</x:v>
      </x:c>
      <x:c r="V21" s="96" t="n">
        <x:f>POWER(0.5,J21/12)</x:f>
        <x:v>0.9438743126816935</x:v>
      </x:c>
      <x:c r="W21" s="96" t="n">
        <x:f>V21*F21</x:f>
        <x:v>0</x:v>
      </x:c>
      <x:c r="X21" s="96" t="n">
        <x:f>V21*G21</x:f>
        <x:v>1.887748625363387</x:v>
      </x:c>
      <x:c r="Y21" s="96" t="n">
        <x:f>POWER(0.5,J21/20)</x:f>
        <x:v>0.9659363289248456</x:v>
      </x:c>
      <x:c r="Z21" s="96" t="n">
        <x:f>Y21*F21</x:f>
        <x:v>0</x:v>
      </x:c>
      <x:c r="AA21" s="96" t="n">
        <x:f>Y21*G21</x:f>
        <x:v>1.9318726578496912</x:v>
      </x:c>
    </x:row>
    <x:row r="22">
      <x:c r="A22" t="str">
        <x:v>SKC</x:v>
      </x:c>
      <x:c r="B22" t="n">
        <x:v>19</x:v>
      </x:c>
      <x:c r="C22" s="28" t="str">
        <x:v>2026-08-16</x:v>
      </x:c>
      <x:c r="D22" t="str">
        <x:v>A</x:v>
      </x:c>
      <x:c r="E22" t="str">
        <x:v>Colorado Rapids</x:v>
      </x:c>
      <x:c r="F22" t="n">
        <x:v>0</x:v>
      </x:c>
      <x:c r="G22" t="n">
        <x:v>2</x:v>
      </x:c>
      <x:c r="H22" t="n">
        <x:v>2</x:v>
      </x:c>
      <x:c r="I22" t="str">
        <x:v>WIN</x:v>
      </x:c>
      <x:c r="J22" t="n">
        <x:v>0</x:v>
      </x:c>
      <x:c r="K22" t="str">
        <x:v>YES</x:v>
      </x:c>
      <x:c r="L22" t="str">
        <x:v>https://footystats.org/clubs/sporting-kansas-city-8</x:v>
      </x:c>
      <x:c r="M22" s="96" t="n">
        <x:f>POWER(0.5,J22/3)</x:f>
        <x:v>1</x:v>
      </x:c>
      <x:c r="N22" s="96" t="n">
        <x:f>M22*F22</x:f>
        <x:v>0</x:v>
      </x:c>
      <x:c r="O22" s="96" t="n">
        <x:f>M22*G22</x:f>
        <x:v>2</x:v>
      </x:c>
      <x:c r="P22" s="96" t="n">
        <x:f>POWER(0.5,J22/5)</x:f>
        <x:v>1</x:v>
      </x:c>
      <x:c r="Q22" s="96" t="n">
        <x:f>P22*F22</x:f>
        <x:v>0</x:v>
      </x:c>
      <x:c r="R22" s="96" t="n">
        <x:f>P22*G22</x:f>
        <x:v>2</x:v>
      </x:c>
      <x:c r="S22" s="96" t="n">
        <x:f>POWER(0.5,J22/8)</x:f>
        <x:v>1</x:v>
      </x:c>
      <x:c r="T22" s="96" t="n">
        <x:f>S22*F22</x:f>
        <x:v>0</x:v>
      </x:c>
      <x:c r="U22" s="96" t="n">
        <x:f>S22*G22</x:f>
        <x:v>2</x:v>
      </x:c>
      <x:c r="V22" s="96" t="n">
        <x:f>POWER(0.5,J22/12)</x:f>
        <x:v>1</x:v>
      </x:c>
      <x:c r="W22" s="96" t="n">
        <x:f>V22*F22</x:f>
        <x:v>0</x:v>
      </x:c>
      <x:c r="X22" s="96" t="n">
        <x:f>V22*G22</x:f>
        <x:v>2</x:v>
      </x:c>
      <x:c r="Y22" s="96" t="n">
        <x:f>POWER(0.5,J22/20)</x:f>
        <x:v>1</x:v>
      </x:c>
      <x:c r="Z22" s="96" t="n">
        <x:f>Y22*F22</x:f>
        <x:v>0</x:v>
      </x:c>
      <x:c r="AA22" s="96" t="n">
        <x:f>Y22*G22</x:f>
        <x:v>2</x:v>
      </x:c>
    </x:row>
    <x:row r="23">
      <x:c r="A23" t="str">
        <x:v>STL</x:v>
      </x:c>
      <x:c r="B23" t="n">
        <x:v>1</x:v>
      </x:c>
      <x:c r="C23" s="28" t="str">
        <x:v>2026-02-21</x:v>
      </x:c>
      <x:c r="D23" t="str">
        <x:v>H</x:v>
      </x:c>
      <x:c r="E23" t="str">
        <x:v>Charlotte</x:v>
      </x:c>
      <x:c r="F23" t="n">
        <x:v>1</x:v>
      </x:c>
      <x:c r="G23" t="n">
        <x:v>1</x:v>
      </x:c>
      <x:c r="H23" t="n">
        <x:v>2</x:v>
      </x:c>
      <x:c r="I23" t="str">
        <x:v>WIN</x:v>
      </x:c>
      <x:c r="J23" t="n">
        <x:v>18</x:v>
      </x:c>
      <x:c r="K23" t="str">
        <x:v>YES</x:v>
      </x:c>
      <x:c r="L23" t="str">
        <x:v>https://footystats.org/clubs/st-louis-city-sc-945555</x:v>
      </x:c>
      <x:c r="M23" s="96" t="n">
        <x:f>POWER(0.5,J23/3)</x:f>
        <x:v>0.015625</x:v>
      </x:c>
      <x:c r="N23" s="96" t="n">
        <x:f>M23*F23</x:f>
        <x:v>0.015625</x:v>
      </x:c>
      <x:c r="O23" s="96" t="n">
        <x:f>M23*G23</x:f>
        <x:v>0.015625</x:v>
      </x:c>
      <x:c r="P23" s="96" t="n">
        <x:f>POWER(0.5,J23/5)</x:f>
        <x:v>0.08246924442330589</x:v>
      </x:c>
      <x:c r="Q23" s="96" t="n">
        <x:f>P23*F23</x:f>
        <x:v>0.08246924442330589</x:v>
      </x:c>
      <x:c r="R23" s="96" t="n">
        <x:f>P23*G23</x:f>
        <x:v>0.08246924442330589</x:v>
      </x:c>
      <x:c r="S23" s="96" t="n">
        <x:f>POWER(0.5,J23/8)</x:f>
        <x:v>0.21022410381342863</x:v>
      </x:c>
      <x:c r="T23" s="96" t="n">
        <x:f>S23*F23</x:f>
        <x:v>0.21022410381342863</x:v>
      </x:c>
      <x:c r="U23" s="96" t="n">
        <x:f>S23*G23</x:f>
        <x:v>0.21022410381342863</x:v>
      </x:c>
      <x:c r="V23" s="96" t="n">
        <x:f>POWER(0.5,J23/12)</x:f>
        <x:v>0.3535533905932738</x:v>
      </x:c>
      <x:c r="W23" s="96" t="n">
        <x:f>V23*F23</x:f>
        <x:v>0.3535533905932738</x:v>
      </x:c>
      <x:c r="X23" s="96" t="n">
        <x:f>V23*G23</x:f>
        <x:v>0.3535533905932738</x:v>
      </x:c>
      <x:c r="Y23" s="96" t="n">
        <x:f>POWER(0.5,J23/20)</x:f>
        <x:v>0.5358867312681466</x:v>
      </x:c>
      <x:c r="Z23" s="96" t="n">
        <x:f>Y23*F23</x:f>
        <x:v>0.5358867312681466</x:v>
      </x:c>
      <x:c r="AA23" s="96" t="n">
        <x:f>Y23*G23</x:f>
        <x:v>0.5358867312681466</x:v>
      </x:c>
    </x:row>
    <x:row r="24">
      <x:c r="A24" t="str">
        <x:v>STL</x:v>
      </x:c>
      <x:c r="B24" t="n">
        <x:v>2</x:v>
      </x:c>
      <x:c r="C24" s="28" t="str">
        <x:v>2026-03-02</x:v>
      </x:c>
      <x:c r="D24" t="str">
        <x:v>A</x:v>
      </x:c>
      <x:c r="E24" t="str">
        <x:v>San Diego</x:v>
      </x:c>
      <x:c r="F24" t="n">
        <x:v>0</x:v>
      </x:c>
      <x:c r="G24" t="n">
        <x:v>2</x:v>
      </x:c>
      <x:c r="H24" t="n">
        <x:v>2</x:v>
      </x:c>
      <x:c r="I24" t="str">
        <x:v>WIN</x:v>
      </x:c>
      <x:c r="J24" t="n">
        <x:v>17</x:v>
      </x:c>
      <x:c r="K24" t="str">
        <x:v>YES</x:v>
      </x:c>
      <x:c r="L24" t="str">
        <x:v>https://footystats.org/clubs/st-louis-city-sc-945555</x:v>
      </x:c>
      <x:c r="M24" s="96" t="n">
        <x:f>POWER(0.5,J24/3)</x:f>
        <x:v>0.01968626640460739</x:v>
      </x:c>
      <x:c r="N24" s="96" t="n">
        <x:f>M24*F24</x:f>
        <x:v>0</x:v>
      </x:c>
      <x:c r="O24" s="96" t="n">
        <x:f>M24*G24</x:f>
        <x:v>0.03937253280921478</x:v>
      </x:c>
      <x:c r="P24" s="96" t="n">
        <x:f>POWER(0.5,J24/5)</x:f>
        <x:v>0.09473228540689989</x:v>
      </x:c>
      <x:c r="Q24" s="96" t="n">
        <x:f>P24*F24</x:f>
        <x:v>0</x:v>
      </x:c>
      <x:c r="R24" s="96" t="n">
        <x:f>P24*G24</x:f>
        <x:v>0.18946457081379978</x:v>
      </x:c>
      <x:c r="S24" s="96" t="n">
        <x:f>POWER(0.5,J24/8)</x:f>
        <x:v>0.2292510108011678</x:v>
      </x:c>
      <x:c r="T24" s="96" t="n">
        <x:f>S24*F24</x:f>
        <x:v>0</x:v>
      </x:c>
      <x:c r="U24" s="96" t="n">
        <x:f>S24*G24</x:f>
        <x:v>0.4585020216023356</x:v>
      </x:c>
      <x:c r="V24" s="96" t="n">
        <x:f>POWER(0.5,J24/12)</x:f>
        <x:v>0.3745767692191704</x:v>
      </x:c>
      <x:c r="W24" s="96" t="n">
        <x:f>V24*F24</x:f>
        <x:v>0</x:v>
      </x:c>
      <x:c r="X24" s="96" t="n">
        <x:f>V24*G24</x:f>
        <x:v>0.7491535384383408</x:v>
      </x:c>
      <x:c r="Y24" s="96" t="n">
        <x:f>POWER(0.5,J24/20)</x:f>
        <x:v>0.5547847360339225</x:v>
      </x:c>
      <x:c r="Z24" s="96" t="n">
        <x:f>Y24*F24</x:f>
        <x:v>0</x:v>
      </x:c>
      <x:c r="AA24" s="96" t="n">
        <x:f>Y24*G24</x:f>
        <x:v>1.109569472067845</x:v>
      </x:c>
    </x:row>
    <x:row r="25">
      <x:c r="A25" t="str">
        <x:v>STL</x:v>
      </x:c>
      <x:c r="B25" t="n">
        <x:v>3</x:v>
      </x:c>
      <x:c r="C25" s="28" t="str">
        <x:v>2026-03-08</x:v>
      </x:c>
      <x:c r="D25" t="str">
        <x:v>H</x:v>
      </x:c>
      <x:c r="E25" t="str">
        <x:v>Seattle Sounders</x:v>
      </x:c>
      <x:c r="F25" t="n">
        <x:v>0</x:v>
      </x:c>
      <x:c r="G25" t="n">
        <x:v>1</x:v>
      </x:c>
      <x:c r="H25" t="n">
        <x:v>1</x:v>
      </x:c>
      <x:c r="I25" t="str">
        <x:v>WIN</x:v>
      </x:c>
      <x:c r="J25" t="n">
        <x:v>16</x:v>
      </x:c>
      <x:c r="K25" t="str">
        <x:v>YES</x:v>
      </x:c>
      <x:c r="L25" t="str">
        <x:v>https://footystats.org/clubs/st-louis-city-sc-945555</x:v>
      </x:c>
      <x:c r="M25" s="96" t="n">
        <x:f>POWER(0.5,J25/3)</x:f>
        <x:v>0.024803141437003122</x:v>
      </x:c>
      <x:c r="N25" s="96" t="n">
        <x:f>M25*F25</x:f>
        <x:v>0</x:v>
      </x:c>
      <x:c r="O25" s="96" t="n">
        <x:f>M25*G25</x:f>
        <x:v>0.024803141437003122</x:v>
      </x:c>
      <x:c r="P25" s="96" t="n">
        <x:f>POWER(0.5,J25/5)</x:f>
        <x:v>0.1088188204120155</x:v>
      </x:c>
      <x:c r="Q25" s="96" t="n">
        <x:f>P25*F25</x:f>
        <x:v>0</x:v>
      </x:c>
      <x:c r="R25" s="96" t="n">
        <x:f>P25*G25</x:f>
        <x:v>0.1088188204120155</x:v>
      </x:c>
      <x:c r="S25" s="96" t="n">
        <x:f>POWER(0.5,J25/8)</x:f>
        <x:v>0.25</x:v>
      </x:c>
      <x:c r="T25" s="96" t="n">
        <x:f>S25*F25</x:f>
        <x:v>0</x:v>
      </x:c>
      <x:c r="U25" s="96" t="n">
        <x:f>S25*G25</x:f>
        <x:v>0.25</x:v>
      </x:c>
      <x:c r="V25" s="96" t="n">
        <x:f>POWER(0.5,J25/12)</x:f>
        <x:v>0.3968502629920499</x:v>
      </x:c>
      <x:c r="W25" s="96" t="n">
        <x:f>V25*F25</x:f>
        <x:v>0</x:v>
      </x:c>
      <x:c r="X25" s="96" t="n">
        <x:f>V25*G25</x:f>
        <x:v>0.3968502629920499</x:v>
      </x:c>
      <x:c r="Y25" s="96" t="n">
        <x:f>POWER(0.5,J25/20)</x:f>
        <x:v>0.5743491774985174</x:v>
      </x:c>
      <x:c r="Z25" s="96" t="n">
        <x:f>Y25*F25</x:f>
        <x:v>0</x:v>
      </x:c>
      <x:c r="AA25" s="96" t="n">
        <x:f>Y25*G25</x:f>
        <x:v>0.5743491774985174</x:v>
      </x:c>
    </x:row>
    <x:row r="26">
      <x:c r="A26" t="str">
        <x:v>STL</x:v>
      </x:c>
      <x:c r="B26" t="n">
        <x:v>4</x:v>
      </x:c>
      <x:c r="C26" s="28" t="str">
        <x:v>2026-03-15</x:v>
      </x:c>
      <x:c r="D26" t="str">
        <x:v>A</x:v>
      </x:c>
      <x:c r="E26" t="str">
        <x:v>LAFC</x:v>
      </x:c>
      <x:c r="F26" t="n">
        <x:v>0</x:v>
      </x:c>
      <x:c r="G26" t="n">
        <x:v>2</x:v>
      </x:c>
      <x:c r="H26" t="n">
        <x:v>2</x:v>
      </x:c>
      <x:c r="I26" t="str">
        <x:v>WIN</x:v>
      </x:c>
      <x:c r="J26" t="n">
        <x:v>15</x:v>
      </x:c>
      <x:c r="K26" t="str">
        <x:v>YES</x:v>
      </x:c>
      <x:c r="L26" t="str">
        <x:v>https://footystats.org/clubs/st-louis-city-sc-945555</x:v>
      </x:c>
      <x:c r="M26" s="96" t="n">
        <x:f>POWER(0.5,J26/3)</x:f>
        <x:v>0.03125</x:v>
      </x:c>
      <x:c r="N26" s="96" t="n">
        <x:f>M26*F26</x:f>
        <x:v>0</x:v>
      </x:c>
      <x:c r="O26" s="96" t="n">
        <x:f>M26*G26</x:f>
        <x:v>0.0625</x:v>
      </x:c>
      <x:c r="P26" s="96" t="n">
        <x:f>POWER(0.5,J26/5)</x:f>
        <x:v>0.125</x:v>
      </x:c>
      <x:c r="Q26" s="96" t="n">
        <x:f>P26*F26</x:f>
        <x:v>0</x:v>
      </x:c>
      <x:c r="R26" s="96" t="n">
        <x:f>P26*G26</x:f>
        <x:v>0.25</x:v>
      </x:c>
      <x:c r="S26" s="96" t="n">
        <x:f>POWER(0.5,J26/8)</x:f>
        <x:v>0.2726269331663144</x:v>
      </x:c>
      <x:c r="T26" s="96" t="n">
        <x:f>S26*F26</x:f>
        <x:v>0</x:v>
      </x:c>
      <x:c r="U26" s="96" t="n">
        <x:f>S26*G26</x:f>
        <x:v>0.5452538663326288</x:v>
      </x:c>
      <x:c r="V26" s="96" t="n">
        <x:f>POWER(0.5,J26/12)</x:f>
        <x:v>0.42044820762685725</x:v>
      </x:c>
      <x:c r="W26" s="96" t="n">
        <x:f>V26*F26</x:f>
        <x:v>0</x:v>
      </x:c>
      <x:c r="X26" s="96" t="n">
        <x:f>V26*G26</x:f>
        <x:v>0.8408964152537145</x:v>
      </x:c>
      <x:c r="Y26" s="96" t="n">
        <x:f>POWER(0.5,J26/20)</x:f>
        <x:v>0.5946035575013605</x:v>
      </x:c>
      <x:c r="Z26" s="96" t="n">
        <x:f>Y26*F26</x:f>
        <x:v>0</x:v>
      </x:c>
      <x:c r="AA26" s="96" t="n">
        <x:f>Y26*G26</x:f>
        <x:v>1.189207115002721</x:v>
      </x:c>
    </x:row>
    <x:row r="27">
      <x:c r="A27" t="str">
        <x:v>STL</x:v>
      </x:c>
      <x:c r="B27" t="n">
        <x:v>5</x:v>
      </x:c>
      <x:c r="C27" s="28" t="str">
        <x:v>2026-03-22</x:v>
      </x:c>
      <x:c r="D27" t="str">
        <x:v>H</x:v>
      </x:c>
      <x:c r="E27" t="str">
        <x:v>New England</x:v>
      </x:c>
      <x:c r="F27" t="n">
        <x:v>3</x:v>
      </x:c>
      <x:c r="G27" t="n">
        <x:v>1</x:v>
      </x:c>
      <x:c r="H27" t="n">
        <x:v>4</x:v>
      </x:c>
      <x:c r="I27" t="str">
        <x:v>LOSS</x:v>
      </x:c>
      <x:c r="J27" t="n">
        <x:v>14</x:v>
      </x:c>
      <x:c r="K27" t="str">
        <x:v>YES</x:v>
      </x:c>
      <x:c r="L27" t="str">
        <x:v>https://footystats.org/clubs/st-louis-city-sc-945555</x:v>
      </x:c>
      <x:c r="M27" s="96" t="n">
        <x:f>POWER(0.5,J27/3)</x:f>
        <x:v>0.03937253280921478</x:v>
      </x:c>
      <x:c r="N27" s="96" t="n">
        <x:f>M27*F27</x:f>
        <x:v>0.11811759842764434</x:v>
      </x:c>
      <x:c r="O27" s="96" t="n">
        <x:f>M27*G27</x:f>
        <x:v>0.03937253280921478</x:v>
      </x:c>
      <x:c r="P27" s="96" t="n">
        <x:f>POWER(0.5,J27/5)</x:f>
        <x:v>0.1435872943746294</x:v>
      </x:c>
      <x:c r="Q27" s="96" t="n">
        <x:f>P27*F27</x:f>
        <x:v>0.4307618831238882</x:v>
      </x:c>
      <x:c r="R27" s="96" t="n">
        <x:f>P27*G27</x:f>
        <x:v>0.1435872943746294</x:v>
      </x:c>
      <x:c r="S27" s="96" t="n">
        <x:f>POWER(0.5,J27/8)</x:f>
        <x:v>0.29730177875068026</x:v>
      </x:c>
      <x:c r="T27" s="96" t="n">
        <x:f>S27*F27</x:f>
        <x:v>0.8919053362520408</x:v>
      </x:c>
      <x:c r="U27" s="96" t="n">
        <x:f>S27*G27</x:f>
        <x:v>0.29730177875068026</x:v>
      </x:c>
      <x:c r="V27" s="96" t="n">
        <x:f>POWER(0.5,J27/12)</x:f>
        <x:v>0.44544935907016964</x:v>
      </x:c>
      <x:c r="W27" s="96" t="n">
        <x:f>V27*F27</x:f>
        <x:v>1.336348077210509</x:v>
      </x:c>
      <x:c r="X27" s="96" t="n">
        <x:f>V27*G27</x:f>
        <x:v>0.44544935907016964</x:v>
      </x:c>
      <x:c r="Y27" s="96" t="n">
        <x:f>POWER(0.5,J27/20)</x:f>
        <x:v>0.6155722066724582</x:v>
      </x:c>
      <x:c r="Z27" s="96" t="n">
        <x:f>Y27*F27</x:f>
        <x:v>1.8467166200173746</x:v>
      </x:c>
      <x:c r="AA27" s="96" t="n">
        <x:f>Y27*G27</x:f>
        <x:v>0.6155722066724582</x:v>
      </x:c>
    </x:row>
    <x:row r="28">
      <x:c r="A28" t="str">
        <x:v>STL</x:v>
      </x:c>
      <x:c r="B28" t="n">
        <x:v>6</x:v>
      </x:c>
      <x:c r="C28" s="28" t="str">
        <x:v>2026-04-05</x:v>
      </x:c>
      <x:c r="D28" t="str">
        <x:v>A</x:v>
      </x:c>
      <x:c r="E28" t="str">
        <x:v>NYCFC</x:v>
      </x:c>
      <x:c r="F28" t="n">
        <x:v>1</x:v>
      </x:c>
      <x:c r="G28" t="n">
        <x:v>1</x:v>
      </x:c>
      <x:c r="H28" t="n">
        <x:v>2</x:v>
      </x:c>
      <x:c r="I28" t="str">
        <x:v>WIN</x:v>
      </x:c>
      <x:c r="J28" t="n">
        <x:v>13</x:v>
      </x:c>
      <x:c r="K28" t="str">
        <x:v>YES</x:v>
      </x:c>
      <x:c r="L28" t="str">
        <x:v>https://footystats.org/clubs/st-louis-city-sc-945555</x:v>
      </x:c>
      <x:c r="M28" s="96" t="n">
        <x:f>POWER(0.5,J28/3)</x:f>
        <x:v>0.049606282874006244</x:v>
      </x:c>
      <x:c r="N28" s="96" t="n">
        <x:f>M28*F28</x:f>
        <x:v>0.049606282874006244</x:v>
      </x:c>
      <x:c r="O28" s="96" t="n">
        <x:f>M28*G28</x:f>
        <x:v>0.049606282874006244</x:v>
      </x:c>
      <x:c r="P28" s="96" t="n">
        <x:f>POWER(0.5,J28/5)</x:f>
        <x:v>0.16493848884661177</x:v>
      </x:c>
      <x:c r="Q28" s="96" t="n">
        <x:f>P28*F28</x:f>
        <x:v>0.16493848884661177</x:v>
      </x:c>
      <x:c r="R28" s="96" t="n">
        <x:f>P28*G28</x:f>
        <x:v>0.16493848884661177</x:v>
      </x:c>
      <x:c r="S28" s="96" t="n">
        <x:f>POWER(0.5,J28/8)</x:f>
        <x:v>0.3242098886627524</x:v>
      </x:c>
      <x:c r="T28" s="96" t="n">
        <x:f>S28*F28</x:f>
        <x:v>0.3242098886627524</x:v>
      </x:c>
      <x:c r="U28" s="96" t="n">
        <x:f>S28*G28</x:f>
        <x:v>0.3242098886627524</x:v>
      </x:c>
      <x:c r="V28" s="96" t="n">
        <x:f>POWER(0.5,J28/12)</x:f>
        <x:v>0.47193715634084676</x:v>
      </x:c>
      <x:c r="W28" s="96" t="n">
        <x:f>V28*F28</x:f>
        <x:v>0.47193715634084676</x:v>
      </x:c>
      <x:c r="X28" s="96" t="n">
        <x:f>V28*G28</x:f>
        <x:v>0.47193715634084676</x:v>
      </x:c>
      <x:c r="Y28" s="96" t="n">
        <x:f>POWER(0.5,J28/20)</x:f>
        <x:v>0.6372803136596311</x:v>
      </x:c>
      <x:c r="Z28" s="96" t="n">
        <x:f>Y28*F28</x:f>
        <x:v>0.6372803136596311</x:v>
      </x:c>
      <x:c r="AA28" s="96" t="n">
        <x:f>Y28*G28</x:f>
        <x:v>0.6372803136596311</x:v>
      </x:c>
    </x:row>
    <x:row r="29">
      <x:c r="A29" t="str">
        <x:v>STL</x:v>
      </x:c>
      <x:c r="B29" t="n">
        <x:v>7</x:v>
      </x:c>
      <x:c r="C29" s="28" t="str">
        <x:v>2026-04-12</x:v>
      </x:c>
      <x:c r="D29" t="str">
        <x:v>A</x:v>
      </x:c>
      <x:c r="E29" t="str">
        <x:v>FC Dallas</x:v>
      </x:c>
      <x:c r="F29" t="n">
        <x:v>1</x:v>
      </x:c>
      <x:c r="G29" t="n">
        <x:v>1</x:v>
      </x:c>
      <x:c r="H29" t="n">
        <x:v>2</x:v>
      </x:c>
      <x:c r="I29" t="str">
        <x:v>WIN</x:v>
      </x:c>
      <x:c r="J29" t="n">
        <x:v>12</x:v>
      </x:c>
      <x:c r="K29" t="str">
        <x:v>YES</x:v>
      </x:c>
      <x:c r="L29" t="str">
        <x:v>https://footystats.org/clubs/st-louis-city-sc-945555</x:v>
      </x:c>
      <x:c r="M29" s="96" t="n">
        <x:f>POWER(0.5,J29/3)</x:f>
        <x:v>0.0625</x:v>
      </x:c>
      <x:c r="N29" s="96" t="n">
        <x:f>M29*F29</x:f>
        <x:v>0.0625</x:v>
      </x:c>
      <x:c r="O29" s="96" t="n">
        <x:f>M29*G29</x:f>
        <x:v>0.0625</x:v>
      </x:c>
      <x:c r="P29" s="96" t="n">
        <x:f>POWER(0.5,J29/5)</x:f>
        <x:v>0.18946457081379978</x:v>
      </x:c>
      <x:c r="Q29" s="96" t="n">
        <x:f>P29*F29</x:f>
        <x:v>0.18946457081379978</x:v>
      </x:c>
      <x:c r="R29" s="96" t="n">
        <x:f>P29*G29</x:f>
        <x:v>0.18946457081379978</x:v>
      </x:c>
      <x:c r="S29" s="96" t="n">
        <x:f>POWER(0.5,J29/8)</x:f>
        <x:v>0.3535533905932738</x:v>
      </x:c>
      <x:c r="T29" s="96" t="n">
        <x:f>S29*F29</x:f>
        <x:v>0.3535533905932738</x:v>
      </x:c>
      <x:c r="U29" s="96" t="n">
        <x:f>S29*G29</x:f>
        <x:v>0.3535533905932738</x:v>
      </x:c>
      <x:c r="V29" s="96" t="n">
        <x:f>POWER(0.5,J29/12)</x:f>
        <x:v>0.5</x:v>
      </x:c>
      <x:c r="W29" s="96" t="n">
        <x:f>V29*F29</x:f>
        <x:v>0.5</x:v>
      </x:c>
      <x:c r="X29" s="96" t="n">
        <x:f>V29*G29</x:f>
        <x:v>0.5</x:v>
      </x:c>
      <x:c r="Y29" s="96" t="n">
        <x:f>POWER(0.5,J29/20)</x:f>
        <x:v>0.6597539553864471</x:v>
      </x:c>
      <x:c r="Z29" s="96" t="n">
        <x:f>Y29*F29</x:f>
        <x:v>0.6597539553864471</x:v>
      </x:c>
      <x:c r="AA29" s="96" t="n">
        <x:f>Y29*G29</x:f>
        <x:v>0.6597539553864471</x:v>
      </x:c>
    </x:row>
    <x:row r="30">
      <x:c r="A30" t="str">
        <x:v>STL</x:v>
      </x:c>
      <x:c r="B30" t="n">
        <x:v>8</x:v>
      </x:c>
      <x:c r="C30" s="28" t="str">
        <x:v>2026-04-19</x:v>
      </x:c>
      <x:c r="D30" t="str">
        <x:v>A</x:v>
      </x:c>
      <x:c r="E30" t="str">
        <x:v>Seattle Sounders</x:v>
      </x:c>
      <x:c r="F30" t="n">
        <x:v>1</x:v>
      </x:c>
      <x:c r="G30" t="n">
        <x:v>4</x:v>
      </x:c>
      <x:c r="H30" t="n">
        <x:v>5</x:v>
      </x:c>
      <x:c r="I30" t="str">
        <x:v>LOSS</x:v>
      </x:c>
      <x:c r="J30" t="n">
        <x:v>11</x:v>
      </x:c>
      <x:c r="K30" t="str">
        <x:v>YES</x:v>
      </x:c>
      <x:c r="L30" t="str">
        <x:v>https://footystats.org/clubs/st-louis-city-sc-945555</x:v>
      </x:c>
      <x:c r="M30" s="96" t="n">
        <x:f>POWER(0.5,J30/3)</x:f>
        <x:v>0.07874506561842957</x:v>
      </x:c>
      <x:c r="N30" s="96" t="n">
        <x:f>M30*F30</x:f>
        <x:v>0.07874506561842957</x:v>
      </x:c>
      <x:c r="O30" s="96" t="n">
        <x:f>M30*G30</x:f>
        <x:v>0.3149802624737183</x:v>
      </x:c>
      <x:c r="P30" s="96" t="n">
        <x:f>POWER(0.5,J30/5)</x:f>
        <x:v>0.217637640824031</x:v>
      </x:c>
      <x:c r="Q30" s="96" t="n">
        <x:f>P30*F30</x:f>
        <x:v>0.217637640824031</x:v>
      </x:c>
      <x:c r="R30" s="96" t="n">
        <x:f>P30*G30</x:f>
        <x:v>0.870550563296124</x:v>
      </x:c>
      <x:c r="S30" s="96" t="n">
        <x:f>POWER(0.5,J30/8)</x:f>
        <x:v>0.3855527063519852</x:v>
      </x:c>
      <x:c r="T30" s="96" t="n">
        <x:f>S30*F30</x:f>
        <x:v>0.3855527063519852</x:v>
      </x:c>
      <x:c r="U30" s="96" t="n">
        <x:f>S30*G30</x:f>
        <x:v>1.5422108254079407</x:v>
      </x:c>
      <x:c r="V30" s="96" t="n">
        <x:f>POWER(0.5,J30/12)</x:f>
        <x:v>0.5297315471796477</x:v>
      </x:c>
      <x:c r="W30" s="96" t="n">
        <x:f>V30*F30</x:f>
        <x:v>0.5297315471796477</x:v>
      </x:c>
      <x:c r="X30" s="96" t="n">
        <x:f>V30*G30</x:f>
        <x:v>2.1189261887185906</x:v>
      </x:c>
      <x:c r="Y30" s="96" t="n">
        <x:f>POWER(0.5,J30/20)</x:f>
        <x:v>0.6830201283771977</x:v>
      </x:c>
      <x:c r="Z30" s="96" t="n">
        <x:f>Y30*F30</x:f>
        <x:v>0.6830201283771977</x:v>
      </x:c>
      <x:c r="AA30" s="96" t="n">
        <x:f>Y30*G30</x:f>
        <x:v>2.732080513508791</x:v>
      </x:c>
    </x:row>
    <x:row r="31">
      <x:c r="A31" t="str">
        <x:v>STL</x:v>
      </x:c>
      <x:c r="B31" t="n">
        <x:v>9</x:v>
      </x:c>
      <x:c r="C31" s="28" t="str">
        <x:v>2026-04-26</x:v>
      </x:c>
      <x:c r="D31" t="str">
        <x:v>H</x:v>
      </x:c>
      <x:c r="E31" t="str">
        <x:v>SJ Earthquakes</x:v>
      </x:c>
      <x:c r="F31" t="n">
        <x:v>2</x:v>
      </x:c>
      <x:c r="G31" t="n">
        <x:v>3</x:v>
      </x:c>
      <x:c r="H31" t="n">
        <x:v>5</x:v>
      </x:c>
      <x:c r="I31" t="str">
        <x:v>LOSS</x:v>
      </x:c>
      <x:c r="J31" t="n">
        <x:v>10</x:v>
      </x:c>
      <x:c r="K31" t="str">
        <x:v>YES</x:v>
      </x:c>
      <x:c r="L31" t="str">
        <x:v>https://footystats.org/clubs/st-louis-city-sc-945555</x:v>
      </x:c>
      <x:c r="M31" s="96" t="n">
        <x:f>POWER(0.5,J31/3)</x:f>
        <x:v>0.09921256574801246</x:v>
      </x:c>
      <x:c r="N31" s="96" t="n">
        <x:f>M31*F31</x:f>
        <x:v>0.19842513149602492</x:v>
      </x:c>
      <x:c r="O31" s="96" t="n">
        <x:f>M31*G31</x:f>
        <x:v>0.2976376972440374</x:v>
      </x:c>
      <x:c r="P31" s="96" t="n">
        <x:f>POWER(0.5,J31/5)</x:f>
        <x:v>0.25</x:v>
      </x:c>
      <x:c r="Q31" s="96" t="n">
        <x:f>P31*F31</x:f>
        <x:v>0.5</x:v>
      </x:c>
      <x:c r="R31" s="96" t="n">
        <x:f>P31*G31</x:f>
        <x:v>0.75</x:v>
      </x:c>
      <x:c r="S31" s="96" t="n">
        <x:f>POWER(0.5,J31/8)</x:f>
        <x:v>0.42044820762685725</x:v>
      </x:c>
      <x:c r="T31" s="96" t="n">
        <x:f>S31*F31</x:f>
        <x:v>0.8408964152537145</x:v>
      </x:c>
      <x:c r="U31" s="96" t="n">
        <x:f>S31*G31</x:f>
        <x:v>1.2613446228805718</x:v>
      </x:c>
      <x:c r="V31" s="96" t="n">
        <x:f>POWER(0.5,J31/12)</x:f>
        <x:v>0.5612310241546865</x:v>
      </x:c>
      <x:c r="W31" s="96" t="n">
        <x:f>V31*F31</x:f>
        <x:v>1.122462048309373</x:v>
      </x:c>
      <x:c r="X31" s="96" t="n">
        <x:f>V31*G31</x:f>
        <x:v>1.6836930724640595</x:v>
      </x:c>
      <x:c r="Y31" s="96" t="n">
        <x:f>POWER(0.5,J31/20)</x:f>
        <x:v>0.7071067811865476</x:v>
      </x:c>
      <x:c r="Z31" s="96" t="n">
        <x:f>Y31*F31</x:f>
        <x:v>1.4142135623730951</x:v>
      </x:c>
      <x:c r="AA31" s="96" t="n">
        <x:f>Y31*G31</x:f>
        <x:v>2.121320343559643</x:v>
      </x:c>
    </x:row>
    <x:row r="32">
      <x:c r="A32" t="str">
        <x:v>STL</x:v>
      </x:c>
      <x:c r="B32" t="n">
        <x:v>10</x:v>
      </x:c>
      <x:c r="C32" s="28" t="str">
        <x:v>2026-05-03</x:v>
      </x:c>
      <x:c r="D32" t="str">
        <x:v>A</x:v>
      </x:c>
      <x:c r="E32" t="str">
        <x:v>Austin FC</x:v>
      </x:c>
      <x:c r="F32" t="n">
        <x:v>0</x:v>
      </x:c>
      <x:c r="G32" t="n">
        <x:v>2</x:v>
      </x:c>
      <x:c r="H32" t="n">
        <x:v>2</x:v>
      </x:c>
      <x:c r="I32" t="str">
        <x:v>WIN</x:v>
      </x:c>
      <x:c r="J32" t="n">
        <x:v>9</x:v>
      </x:c>
      <x:c r="K32" t="str">
        <x:v>YES</x:v>
      </x:c>
      <x:c r="L32" t="str">
        <x:v>https://footystats.org/clubs/st-louis-city-sc-945555</x:v>
      </x:c>
      <x:c r="M32" s="96" t="n">
        <x:f>POWER(0.5,J32/3)</x:f>
        <x:v>0.125</x:v>
      </x:c>
      <x:c r="N32" s="96" t="n">
        <x:f>M32*F32</x:f>
        <x:v>0</x:v>
      </x:c>
      <x:c r="O32" s="96" t="n">
        <x:f>M32*G32</x:f>
        <x:v>0.25</x:v>
      </x:c>
      <x:c r="P32" s="96" t="n">
        <x:f>POWER(0.5,J32/5)</x:f>
        <x:v>0.2871745887492587</x:v>
      </x:c>
      <x:c r="Q32" s="96" t="n">
        <x:f>P32*F32</x:f>
        <x:v>0</x:v>
      </x:c>
      <x:c r="R32" s="96" t="n">
        <x:f>P32*G32</x:f>
        <x:v>0.5743491774985174</x:v>
      </x:c>
      <x:c r="S32" s="96" t="n">
        <x:f>POWER(0.5,J32/8)</x:f>
        <x:v>0.4585020216023356</x:v>
      </x:c>
      <x:c r="T32" s="96" t="n">
        <x:f>S32*F32</x:f>
        <x:v>0</x:v>
      </x:c>
      <x:c r="U32" s="96" t="n">
        <x:f>S32*G32</x:f>
        <x:v>0.9170040432046712</x:v>
      </x:c>
      <x:c r="V32" s="96" t="n">
        <x:f>POWER(0.5,J32/12)</x:f>
        <x:v>0.5946035575013605</x:v>
      </x:c>
      <x:c r="W32" s="96" t="n">
        <x:f>V32*F32</x:f>
        <x:v>0</x:v>
      </x:c>
      <x:c r="X32" s="96" t="n">
        <x:f>V32*G32</x:f>
        <x:v>1.189207115002721</x:v>
      </x:c>
      <x:c r="Y32" s="96" t="n">
        <x:f>POWER(0.5,J32/20)</x:f>
        <x:v>0.7320428479728127</x:v>
      </x:c>
      <x:c r="Z32" s="96" t="n">
        <x:f>Y32*F32</x:f>
        <x:v>0</x:v>
      </x:c>
      <x:c r="AA32" s="96" t="n">
        <x:f>Y32*G32</x:f>
        <x:v>1.4640856959456254</x:v>
      </x:c>
    </x:row>
    <x:row r="33">
      <x:c r="A33" t="str">
        <x:v>STL</x:v>
      </x:c>
      <x:c r="B33" t="n">
        <x:v>11</x:v>
      </x:c>
      <x:c r="C33" s="28" t="str">
        <x:v>2026-05-10</x:v>
      </x:c>
      <x:c r="D33" t="str">
        <x:v>A</x:v>
      </x:c>
      <x:c r="E33" t="str">
        <x:v>Colorado Rapids</x:v>
      </x:c>
      <x:c r="F33" t="n">
        <x:v>1</x:v>
      </x:c>
      <x:c r="G33" t="n">
        <x:v>0</x:v>
      </x:c>
      <x:c r="H33" t="n">
        <x:v>1</x:v>
      </x:c>
      <x:c r="I33" t="str">
        <x:v>WIN</x:v>
      </x:c>
      <x:c r="J33" t="n">
        <x:v>8</x:v>
      </x:c>
      <x:c r="K33" t="str">
        <x:v>YES</x:v>
      </x:c>
      <x:c r="L33" t="str">
        <x:v>https://footystats.org/clubs/st-louis-city-sc-945555</x:v>
      </x:c>
      <x:c r="M33" s="96" t="n">
        <x:f>POWER(0.5,J33/3)</x:f>
        <x:v>0.15749013123685915</x:v>
      </x:c>
      <x:c r="N33" s="96" t="n">
        <x:f>M33*F33</x:f>
        <x:v>0.15749013123685915</x:v>
      </x:c>
      <x:c r="O33" s="96" t="n">
        <x:f>M33*G33</x:f>
        <x:v>0</x:v>
      </x:c>
      <x:c r="P33" s="96" t="n">
        <x:f>POWER(0.5,J33/5)</x:f>
        <x:v>0.32987697769322355</x:v>
      </x:c>
      <x:c r="Q33" s="96" t="n">
        <x:f>P33*F33</x:f>
        <x:v>0.32987697769322355</x:v>
      </x:c>
      <x:c r="R33" s="96" t="n">
        <x:f>P33*G33</x:f>
        <x:v>0</x:v>
      </x:c>
      <x:c r="S33" s="96" t="n">
        <x:f>POWER(0.5,J33/8)</x:f>
        <x:v>0.5</x:v>
      </x:c>
      <x:c r="T33" s="96" t="n">
        <x:f>S33*F33</x:f>
        <x:v>0.5</x:v>
      </x:c>
      <x:c r="U33" s="96" t="n">
        <x:f>S33*G33</x:f>
        <x:v>0</x:v>
      </x:c>
      <x:c r="V33" s="96" t="n">
        <x:f>POWER(0.5,J33/12)</x:f>
        <x:v>0.6299605249474366</x:v>
      </x:c>
      <x:c r="W33" s="96" t="n">
        <x:f>V33*F33</x:f>
        <x:v>0.6299605249474366</x:v>
      </x:c>
      <x:c r="X33" s="96" t="n">
        <x:f>V33*G33</x:f>
        <x:v>0</x:v>
      </x:c>
      <x:c r="Y33" s="96" t="n">
        <x:f>POWER(0.5,J33/20)</x:f>
        <x:v>0.757858283255199</x:v>
      </x:c>
      <x:c r="Z33" s="96" t="n">
        <x:f>Y33*F33</x:f>
        <x:v>0.757858283255199</x:v>
      </x:c>
      <x:c r="AA33" s="96" t="n">
        <x:f>Y33*G33</x:f>
        <x:v>0</x:v>
      </x:c>
    </x:row>
    <x:row r="34">
      <x:c r="A34" t="str">
        <x:v>STL</x:v>
      </x:c>
      <x:c r="B34" t="n">
        <x:v>12</x:v>
      </x:c>
      <x:c r="C34" s="28" t="str">
        <x:v>2026-05-14</x:v>
      </x:c>
      <x:c r="D34" t="str">
        <x:v>H</x:v>
      </x:c>
      <x:c r="E34" t="str">
        <x:v>LAFC</x:v>
      </x:c>
      <x:c r="F34" t="n">
        <x:v>2</x:v>
      </x:c>
      <x:c r="G34" t="n">
        <x:v>1</x:v>
      </x:c>
      <x:c r="H34" t="n">
        <x:v>3</x:v>
      </x:c>
      <x:c r="I34" t="str">
        <x:v>WIN</x:v>
      </x:c>
      <x:c r="J34" t="n">
        <x:v>7</x:v>
      </x:c>
      <x:c r="K34" t="str">
        <x:v>YES</x:v>
      </x:c>
      <x:c r="L34" t="str">
        <x:v>https://footystats.org/clubs/st-louis-city-sc-945555</x:v>
      </x:c>
      <x:c r="M34" s="96" t="n">
        <x:f>POWER(0.5,J34/3)</x:f>
        <x:v>0.19842513149602492</x:v>
      </x:c>
      <x:c r="N34" s="96" t="n">
        <x:f>M34*F34</x:f>
        <x:v>0.39685026299204984</x:v>
      </x:c>
      <x:c r="O34" s="96" t="n">
        <x:f>M34*G34</x:f>
        <x:v>0.19842513149602492</x:v>
      </x:c>
      <x:c r="P34" s="96" t="n">
        <x:f>POWER(0.5,J34/5)</x:f>
        <x:v>0.37892914162759955</x:v>
      </x:c>
      <x:c r="Q34" s="96" t="n">
        <x:f>P34*F34</x:f>
        <x:v>0.7578582832551991</x:v>
      </x:c>
      <x:c r="R34" s="96" t="n">
        <x:f>P34*G34</x:f>
        <x:v>0.37892914162759955</x:v>
      </x:c>
      <x:c r="S34" s="96" t="n">
        <x:f>POWER(0.5,J34/8)</x:f>
        <x:v>0.5452538663326288</x:v>
      </x:c>
      <x:c r="T34" s="96" t="n">
        <x:f>S34*F34</x:f>
        <x:v>1.0905077326652577</x:v>
      </x:c>
      <x:c r="U34" s="96" t="n">
        <x:f>S34*G34</x:f>
        <x:v>0.5452538663326288</x:v>
      </x:c>
      <x:c r="V34" s="96" t="n">
        <x:f>POWER(0.5,J34/12)</x:f>
        <x:v>0.6674199270850172</x:v>
      </x:c>
      <x:c r="W34" s="96" t="n">
        <x:f>V34*F34</x:f>
        <x:v>1.3348398541700344</x:v>
      </x:c>
      <x:c r="X34" s="96" t="n">
        <x:f>V34*G34</x:f>
        <x:v>0.6674199270850172</x:v>
      </x:c>
      <x:c r="Y34" s="96" t="n">
        <x:f>POWER(0.5,J34/20)</x:f>
        <x:v>0.7845840978967508</x:v>
      </x:c>
      <x:c r="Z34" s="96" t="n">
        <x:f>Y34*F34</x:f>
        <x:v>1.5691681957935015</x:v>
      </x:c>
      <x:c r="AA34" s="96" t="n">
        <x:f>Y34*G34</x:f>
        <x:v>0.7845840978967508</x:v>
      </x:c>
    </x:row>
    <x:row r="35">
      <x:c r="A35" t="str">
        <x:v>STL</x:v>
      </x:c>
      <x:c r="B35" t="n">
        <x:v>13</x:v>
      </x:c>
      <x:c r="C35" s="28" t="str">
        <x:v>2026-05-17</x:v>
      </x:c>
      <x:c r="D35" t="str">
        <x:v>A</x:v>
      </x:c>
      <x:c r="E35" t="str">
        <x:v>DC United</x:v>
      </x:c>
      <x:c r="F35" t="n">
        <x:v>1</x:v>
      </x:c>
      <x:c r="G35" t="n">
        <x:v>1</x:v>
      </x:c>
      <x:c r="H35" t="n">
        <x:v>2</x:v>
      </x:c>
      <x:c r="I35" t="str">
        <x:v>WIN</x:v>
      </x:c>
      <x:c r="J35" t="n">
        <x:v>6</x:v>
      </x:c>
      <x:c r="K35" t="str">
        <x:v>YES</x:v>
      </x:c>
      <x:c r="L35" t="str">
        <x:v>https://footystats.org/clubs/st-louis-city-sc-945555</x:v>
      </x:c>
      <x:c r="M35" s="96" t="n">
        <x:f>POWER(0.5,J35/3)</x:f>
        <x:v>0.25</x:v>
      </x:c>
      <x:c r="N35" s="96" t="n">
        <x:f>M35*F35</x:f>
        <x:v>0.25</x:v>
      </x:c>
      <x:c r="O35" s="96" t="n">
        <x:f>M35*G35</x:f>
        <x:v>0.25</x:v>
      </x:c>
      <x:c r="P35" s="96" t="n">
        <x:f>POWER(0.5,J35/5)</x:f>
        <x:v>0.43527528164806206</x:v>
      </x:c>
      <x:c r="Q35" s="96" t="n">
        <x:f>P35*F35</x:f>
        <x:v>0.43527528164806206</x:v>
      </x:c>
      <x:c r="R35" s="96" t="n">
        <x:f>P35*G35</x:f>
        <x:v>0.43527528164806206</x:v>
      </x:c>
      <x:c r="S35" s="96" t="n">
        <x:f>POWER(0.5,J35/8)</x:f>
        <x:v>0.5946035575013605</x:v>
      </x:c>
      <x:c r="T35" s="96" t="n">
        <x:f>S35*F35</x:f>
        <x:v>0.5946035575013605</x:v>
      </x:c>
      <x:c r="U35" s="96" t="n">
        <x:f>S35*G35</x:f>
        <x:v>0.5946035575013605</x:v>
      </x:c>
      <x:c r="V35" s="96" t="n">
        <x:f>POWER(0.5,J35/12)</x:f>
        <x:v>0.7071067811865476</x:v>
      </x:c>
      <x:c r="W35" s="96" t="n">
        <x:f>V35*F35</x:f>
        <x:v>0.7071067811865476</x:v>
      </x:c>
      <x:c r="X35" s="96" t="n">
        <x:f>V35*G35</x:f>
        <x:v>0.7071067811865476</x:v>
      </x:c>
      <x:c r="Y35" s="96" t="n">
        <x:f>POWER(0.5,J35/20)</x:f>
        <x:v>0.8122523963562356</x:v>
      </x:c>
      <x:c r="Z35" s="96" t="n">
        <x:f>Y35*F35</x:f>
        <x:v>0.8122523963562356</x:v>
      </x:c>
      <x:c r="AA35" s="96" t="n">
        <x:f>Y35*G35</x:f>
        <x:v>0.8122523963562356</x:v>
      </x:c>
    </x:row>
    <x:row r="36">
      <x:c r="A36" t="str">
        <x:v>STL</x:v>
      </x:c>
      <x:c r="B36" t="n">
        <x:v>14</x:v>
      </x:c>
      <x:c r="C36" s="28" t="str">
        <x:v>2026-05-23</x:v>
      </x:c>
      <x:c r="D36" t="str">
        <x:v>H</x:v>
      </x:c>
      <x:c r="E36" t="str">
        <x:v>Austin FC</x:v>
      </x:c>
      <x:c r="F36" t="n">
        <x:v>3</x:v>
      </x:c>
      <x:c r="G36" t="n">
        <x:v>0</x:v>
      </x:c>
      <x:c r="H36" t="n">
        <x:v>3</x:v>
      </x:c>
      <x:c r="I36" t="str">
        <x:v>WIN</x:v>
      </x:c>
      <x:c r="J36" t="n">
        <x:v>5</x:v>
      </x:c>
      <x:c r="K36" t="str">
        <x:v>YES</x:v>
      </x:c>
      <x:c r="L36" t="str">
        <x:v>https://footystats.org/clubs/st-louis-city-sc-945555</x:v>
      </x:c>
      <x:c r="M36" s="96" t="n">
        <x:f>POWER(0.5,J36/3)</x:f>
        <x:v>0.3149802624737183</x:v>
      </x:c>
      <x:c r="N36" s="96" t="n">
        <x:f>M36*F36</x:f>
        <x:v>0.9449407874211548</x:v>
      </x:c>
      <x:c r="O36" s="96" t="n">
        <x:f>M36*G36</x:f>
        <x:v>0</x:v>
      </x:c>
      <x:c r="P36" s="96" t="n">
        <x:f>POWER(0.5,J36/5)</x:f>
        <x:v>0.5</x:v>
      </x:c>
      <x:c r="Q36" s="96" t="n">
        <x:f>P36*F36</x:f>
        <x:v>1.5</x:v>
      </x:c>
      <x:c r="R36" s="96" t="n">
        <x:f>P36*G36</x:f>
        <x:v>0</x:v>
      </x:c>
      <x:c r="S36" s="96" t="n">
        <x:f>POWER(0.5,J36/8)</x:f>
        <x:v>0.6484197773255048</x:v>
      </x:c>
      <x:c r="T36" s="96" t="n">
        <x:f>S36*F36</x:f>
        <x:v>1.9452593319765143</x:v>
      </x:c>
      <x:c r="U36" s="96" t="n">
        <x:f>S36*G36</x:f>
        <x:v>0</x:v>
      </x:c>
      <x:c r="V36" s="96" t="n">
        <x:f>POWER(0.5,J36/12)</x:f>
        <x:v>0.7491535384383408</x:v>
      </x:c>
      <x:c r="W36" s="96" t="n">
        <x:f>V36*F36</x:f>
        <x:v>2.2474606153150223</x:v>
      </x:c>
      <x:c r="X36" s="96" t="n">
        <x:f>V36*G36</x:f>
        <x:v>0</x:v>
      </x:c>
      <x:c r="Y36" s="96" t="n">
        <x:f>POWER(0.5,J36/20)</x:f>
        <x:v>0.8408964152537145</x:v>
      </x:c>
      <x:c r="Z36" s="96" t="n">
        <x:f>Y36*F36</x:f>
        <x:v>2.5226892457611436</x:v>
      </x:c>
      <x:c r="AA36" s="96" t="n">
        <x:f>Y36*G36</x:f>
        <x:v>0</x:v>
      </x:c>
    </x:row>
    <x:row r="37">
      <x:c r="A37" t="str">
        <x:v>STL</x:v>
      </x:c>
      <x:c r="B37" t="n">
        <x:v>15</x:v>
      </x:c>
      <x:c r="C37" s="28" t="str">
        <x:v>2026-07-17</x:v>
      </x:c>
      <x:c r="D37" t="str">
        <x:v>H</x:v>
      </x:c>
      <x:c r="E37" t="str">
        <x:v>Sporting KC</x:v>
      </x:c>
      <x:c r="F37" t="n">
        <x:v>3</x:v>
      </x:c>
      <x:c r="G37" t="n">
        <x:v>2</x:v>
      </x:c>
      <x:c r="H37" t="n">
        <x:v>5</x:v>
      </x:c>
      <x:c r="I37" t="str">
        <x:v>LOSS</x:v>
      </x:c>
      <x:c r="J37" t="n">
        <x:v>4</x:v>
      </x:c>
      <x:c r="K37" t="str">
        <x:v>YES</x:v>
      </x:c>
      <x:c r="L37" t="str">
        <x:v>https://footystats.org/clubs/st-louis-city-sc-945555</x:v>
      </x:c>
      <x:c r="M37" s="96" t="n">
        <x:f>POWER(0.5,J37/3)</x:f>
        <x:v>0.3968502629920499</x:v>
      </x:c>
      <x:c r="N37" s="96" t="n">
        <x:f>M37*F37</x:f>
        <x:v>1.1905507889761497</x:v>
      </x:c>
      <x:c r="O37" s="96" t="n">
        <x:f>M37*G37</x:f>
        <x:v>0.7937005259840998</x:v>
      </x:c>
      <x:c r="P37" s="96" t="n">
        <x:f>POWER(0.5,J37/5)</x:f>
        <x:v>0.5743491774985174</x:v>
      </x:c>
      <x:c r="Q37" s="96" t="n">
        <x:f>P37*F37</x:f>
        <x:v>1.7230475324955523</x:v>
      </x:c>
      <x:c r="R37" s="96" t="n">
        <x:f>P37*G37</x:f>
        <x:v>1.1486983549970349</x:v>
      </x:c>
      <x:c r="S37" s="96" t="n">
        <x:f>POWER(0.5,J37/8)</x:f>
        <x:v>0.7071067811865476</x:v>
      </x:c>
      <x:c r="T37" s="96" t="n">
        <x:f>S37*F37</x:f>
        <x:v>2.121320343559643</x:v>
      </x:c>
      <x:c r="U37" s="96" t="n">
        <x:f>S37*G37</x:f>
        <x:v>1.4142135623730951</x:v>
      </x:c>
      <x:c r="V37" s="96" t="n">
        <x:f>POWER(0.5,J37/12)</x:f>
        <x:v>0.7937005259840998</x:v>
      </x:c>
      <x:c r="W37" s="96" t="n">
        <x:f>V37*F37</x:f>
        <x:v>2.3811015779522995</x:v>
      </x:c>
      <x:c r="X37" s="96" t="n">
        <x:f>V37*G37</x:f>
        <x:v>1.5874010519681996</x:v>
      </x:c>
      <x:c r="Y37" s="96" t="n">
        <x:f>POWER(0.5,J37/20)</x:f>
        <x:v>0.8705505632961241</x:v>
      </x:c>
      <x:c r="Z37" s="96" t="n">
        <x:f>Y37*F37</x:f>
        <x:v>2.6116516898883724</x:v>
      </x:c>
      <x:c r="AA37" s="96" t="n">
        <x:f>Y37*G37</x:f>
        <x:v>1.7411011265922482</x:v>
      </x:c>
    </x:row>
    <x:row r="38">
      <x:c r="A38" t="str">
        <x:v>STL</x:v>
      </x:c>
      <x:c r="B38" t="n">
        <x:v>16</x:v>
      </x:c>
      <x:c r="C38" s="28" t="str">
        <x:v>2026-07-23</x:v>
      </x:c>
      <x:c r="D38" t="str">
        <x:v>A</x:v>
      </x:c>
      <x:c r="E38" t="str">
        <x:v>LA Galaxy</x:v>
      </x:c>
      <x:c r="F38" t="n">
        <x:v>3</x:v>
      </x:c>
      <x:c r="G38" t="n">
        <x:v>1</x:v>
      </x:c>
      <x:c r="H38" t="n">
        <x:v>4</x:v>
      </x:c>
      <x:c r="I38" t="str">
        <x:v>LOSS</x:v>
      </x:c>
      <x:c r="J38" t="n">
        <x:v>3</x:v>
      </x:c>
      <x:c r="K38" t="str">
        <x:v>YES</x:v>
      </x:c>
      <x:c r="L38" t="str">
        <x:v>https://footystats.org/clubs/st-louis-city-sc-945555</x:v>
      </x:c>
      <x:c r="M38" s="96" t="n">
        <x:f>POWER(0.5,J38/3)</x:f>
        <x:v>0.5</x:v>
      </x:c>
      <x:c r="N38" s="96" t="n">
        <x:f>M38*F38</x:f>
        <x:v>1.5</x:v>
      </x:c>
      <x:c r="O38" s="96" t="n">
        <x:f>M38*G38</x:f>
        <x:v>0.5</x:v>
      </x:c>
      <x:c r="P38" s="96" t="n">
        <x:f>POWER(0.5,J38/5)</x:f>
        <x:v>0.6597539553864471</x:v>
      </x:c>
      <x:c r="Q38" s="96" t="n">
        <x:f>P38*F38</x:f>
        <x:v>1.9792618661593413</x:v>
      </x:c>
      <x:c r="R38" s="96" t="n">
        <x:f>P38*G38</x:f>
        <x:v>0.6597539553864471</x:v>
      </x:c>
      <x:c r="S38" s="96" t="n">
        <x:f>POWER(0.5,J38/8)</x:f>
        <x:v>0.7711054127039704</x:v>
      </x:c>
      <x:c r="T38" s="96" t="n">
        <x:f>S38*F38</x:f>
        <x:v>2.313316238111911</x:v>
      </x:c>
      <x:c r="U38" s="96" t="n">
        <x:f>S38*G38</x:f>
        <x:v>0.7711054127039704</x:v>
      </x:c>
      <x:c r="V38" s="96" t="n">
        <x:f>POWER(0.5,J38/12)</x:f>
        <x:v>0.8408964152537145</x:v>
      </x:c>
      <x:c r="W38" s="96" t="n">
        <x:f>V38*F38</x:f>
        <x:v>2.5226892457611436</x:v>
      </x:c>
      <x:c r="X38" s="96" t="n">
        <x:f>V38*G38</x:f>
        <x:v>0.8408964152537145</x:v>
      </x:c>
      <x:c r="Y38" s="96" t="n">
        <x:f>POWER(0.5,J38/20)</x:f>
        <x:v>0.9012504626108302</x:v>
      </x:c>
      <x:c r="Z38" s="96" t="n">
        <x:f>Y38*F38</x:f>
        <x:v>2.7037513878324906</x:v>
      </x:c>
      <x:c r="AA38" s="96" t="n">
        <x:f>Y38*G38</x:f>
        <x:v>0.9012504626108302</x:v>
      </x:c>
    </x:row>
    <x:row r="39">
      <x:c r="A39" t="str">
        <x:v>STL</x:v>
      </x:c>
      <x:c r="B39" t="n">
        <x:v>17</x:v>
      </x:c>
      <x:c r="C39" s="28" t="str">
        <x:v>2026-07-26</x:v>
      </x:c>
      <x:c r="D39" t="str">
        <x:v>H</x:v>
      </x:c>
      <x:c r="E39" t="str">
        <x:v>Colorado Rapids</x:v>
      </x:c>
      <x:c r="F39" t="n">
        <x:v>1</x:v>
      </x:c>
      <x:c r="G39" t="n">
        <x:v>0</x:v>
      </x:c>
      <x:c r="H39" t="n">
        <x:v>1</x:v>
      </x:c>
      <x:c r="I39" t="str">
        <x:v>WIN</x:v>
      </x:c>
      <x:c r="J39" t="n">
        <x:v>2</x:v>
      </x:c>
      <x:c r="K39" t="str">
        <x:v>YES</x:v>
      </x:c>
      <x:c r="L39" t="str">
        <x:v>https://footystats.org/clubs/st-louis-city-sc-945555</x:v>
      </x:c>
      <x:c r="M39" s="96" t="n">
        <x:f>POWER(0.5,J39/3)</x:f>
        <x:v>0.6299605249474366</x:v>
      </x:c>
      <x:c r="N39" s="96" t="n">
        <x:f>M39*F39</x:f>
        <x:v>0.6299605249474366</x:v>
      </x:c>
      <x:c r="O39" s="96" t="n">
        <x:f>M39*G39</x:f>
        <x:v>0</x:v>
      </x:c>
      <x:c r="P39" s="96" t="n">
        <x:f>POWER(0.5,J39/5)</x:f>
        <x:v>0.757858283255199</x:v>
      </x:c>
      <x:c r="Q39" s="96" t="n">
        <x:f>P39*F39</x:f>
        <x:v>0.757858283255199</x:v>
      </x:c>
      <x:c r="R39" s="96" t="n">
        <x:f>P39*G39</x:f>
        <x:v>0</x:v>
      </x:c>
      <x:c r="S39" s="96" t="n">
        <x:f>POWER(0.5,J39/8)</x:f>
        <x:v>0.8408964152537145</x:v>
      </x:c>
      <x:c r="T39" s="96" t="n">
        <x:f>S39*F39</x:f>
        <x:v>0.8408964152537145</x:v>
      </x:c>
      <x:c r="U39" s="96" t="n">
        <x:f>S39*G39</x:f>
        <x:v>0</x:v>
      </x:c>
      <x:c r="V39" s="96" t="n">
        <x:f>POWER(0.5,J39/12)</x:f>
        <x:v>0.8908987181403393</x:v>
      </x:c>
      <x:c r="W39" s="96" t="n">
        <x:f>V39*F39</x:f>
        <x:v>0.8908987181403393</x:v>
      </x:c>
      <x:c r="X39" s="96" t="n">
        <x:f>V39*G39</x:f>
        <x:v>0</x:v>
      </x:c>
      <x:c r="Y39" s="96" t="n">
        <x:f>POWER(0.5,J39/20)</x:f>
        <x:v>0.9330329915368074</x:v>
      </x:c>
      <x:c r="Z39" s="96" t="n">
        <x:f>Y39*F39</x:f>
        <x:v>0.9330329915368074</x:v>
      </x:c>
      <x:c r="AA39" s="96" t="n">
        <x:f>Y39*G39</x:f>
        <x:v>0</x:v>
      </x:c>
    </x:row>
    <x:row r="40">
      <x:c r="A40" t="str">
        <x:v>STL</x:v>
      </x:c>
      <x:c r="B40" t="n">
        <x:v>18</x:v>
      </x:c>
      <x:c r="C40" s="28" t="str">
        <x:v>2026-08-02</x:v>
      </x:c>
      <x:c r="D40" t="str">
        <x:v>H</x:v>
      </x:c>
      <x:c r="E40" t="str">
        <x:v>Real Salt Lake</x:v>
      </x:c>
      <x:c r="F40" t="n">
        <x:v>1</x:v>
      </x:c>
      <x:c r="G40" t="n">
        <x:v>1</x:v>
      </x:c>
      <x:c r="H40" t="n">
        <x:v>2</x:v>
      </x:c>
      <x:c r="I40" t="str">
        <x:v>WIN</x:v>
      </x:c>
      <x:c r="J40" t="n">
        <x:v>1</x:v>
      </x:c>
      <x:c r="K40" t="str">
        <x:v>YES</x:v>
      </x:c>
      <x:c r="L40" t="str">
        <x:v>https://footystats.org/clubs/st-louis-city-sc-945555</x:v>
      </x:c>
      <x:c r="M40" s="96" t="n">
        <x:f>POWER(0.5,J40/3)</x:f>
        <x:v>0.7937005259840998</x:v>
      </x:c>
      <x:c r="N40" s="96" t="n">
        <x:f>M40*F40</x:f>
        <x:v>0.7937005259840998</x:v>
      </x:c>
      <x:c r="O40" s="96" t="n">
        <x:f>M40*G40</x:f>
        <x:v>0.7937005259840998</x:v>
      </x:c>
      <x:c r="P40" s="96" t="n">
        <x:f>POWER(0.5,J40/5)</x:f>
        <x:v>0.8705505632961241</x:v>
      </x:c>
      <x:c r="Q40" s="96" t="n">
        <x:f>P40*F40</x:f>
        <x:v>0.8705505632961241</x:v>
      </x:c>
      <x:c r="R40" s="96" t="n">
        <x:f>P40*G40</x:f>
        <x:v>0.8705505632961241</x:v>
      </x:c>
      <x:c r="S40" s="96" t="n">
        <x:f>POWER(0.5,J40/8)</x:f>
        <x:v>0.9170040432046712</x:v>
      </x:c>
      <x:c r="T40" s="96" t="n">
        <x:f>S40*F40</x:f>
        <x:v>0.9170040432046712</x:v>
      </x:c>
      <x:c r="U40" s="96" t="n">
        <x:f>S40*G40</x:f>
        <x:v>0.9170040432046712</x:v>
      </x:c>
      <x:c r="V40" s="96" t="n">
        <x:f>POWER(0.5,J40/12)</x:f>
        <x:v>0.9438743126816935</x:v>
      </x:c>
      <x:c r="W40" s="96" t="n">
        <x:f>V40*F40</x:f>
        <x:v>0.9438743126816935</x:v>
      </x:c>
      <x:c r="X40" s="96" t="n">
        <x:f>V40*G40</x:f>
        <x:v>0.9438743126816935</x:v>
      </x:c>
      <x:c r="Y40" s="96" t="n">
        <x:f>POWER(0.5,J40/20)</x:f>
        <x:v>0.9659363289248456</x:v>
      </x:c>
      <x:c r="Z40" s="96" t="n">
        <x:f>Y40*F40</x:f>
        <x:v>0.9659363289248456</x:v>
      </x:c>
      <x:c r="AA40" s="96" t="n">
        <x:f>Y40*G40</x:f>
        <x:v>0.9659363289248456</x:v>
      </x:c>
    </x:row>
    <x:row r="41">
      <x:c r="A41" t="str">
        <x:v>STL</x:v>
      </x:c>
      <x:c r="B41" t="n">
        <x:v>19</x:v>
      </x:c>
      <x:c r="C41" s="28" t="str">
        <x:v>2026-08-16</x:v>
      </x:c>
      <x:c r="D41" t="str">
        <x:v>A</x:v>
      </x:c>
      <x:c r="E41" t="str">
        <x:v>SJ Earthquakes</x:v>
      </x:c>
      <x:c r="F41" t="n">
        <x:v>3</x:v>
      </x:c>
      <x:c r="G41" t="n">
        <x:v>1</x:v>
      </x:c>
      <x:c r="H41" t="n">
        <x:v>4</x:v>
      </x:c>
      <x:c r="I41" t="str">
        <x:v>LOSS</x:v>
      </x:c>
      <x:c r="J41" t="n">
        <x:v>0</x:v>
      </x:c>
      <x:c r="K41" t="str">
        <x:v>YES</x:v>
      </x:c>
      <x:c r="L41" t="str">
        <x:v>https://footystats.org/clubs/st-louis-city-sc-945555</x:v>
      </x:c>
      <x:c r="M41" s="96" t="n">
        <x:f>POWER(0.5,J41/3)</x:f>
        <x:v>1</x:v>
      </x:c>
      <x:c r="N41" s="96" t="n">
        <x:f>M41*F41</x:f>
        <x:v>3</x:v>
      </x:c>
      <x:c r="O41" s="96" t="n">
        <x:f>M41*G41</x:f>
        <x:v>1</x:v>
      </x:c>
      <x:c r="P41" s="96" t="n">
        <x:f>POWER(0.5,J41/5)</x:f>
        <x:v>1</x:v>
      </x:c>
      <x:c r="Q41" s="96" t="n">
        <x:f>P41*F41</x:f>
        <x:v>3</x:v>
      </x:c>
      <x:c r="R41" s="96" t="n">
        <x:f>P41*G41</x:f>
        <x:v>1</x:v>
      </x:c>
      <x:c r="S41" s="96" t="n">
        <x:f>POWER(0.5,J41/8)</x:f>
        <x:v>1</x:v>
      </x:c>
      <x:c r="T41" s="96" t="n">
        <x:f>S41*F41</x:f>
        <x:v>3</x:v>
      </x:c>
      <x:c r="U41" s="96" t="n">
        <x:f>S41*G41</x:f>
        <x:v>1</x:v>
      </x:c>
      <x:c r="V41" s="96" t="n">
        <x:f>POWER(0.5,J41/12)</x:f>
        <x:v>1</x:v>
      </x:c>
      <x:c r="W41" s="96" t="n">
        <x:f>V41*F41</x:f>
        <x:v>3</x:v>
      </x:c>
      <x:c r="X41" s="96" t="n">
        <x:f>V41*G41</x:f>
        <x:v>1</x:v>
      </x:c>
      <x:c r="Y41" s="96" t="n">
        <x:f>POWER(0.5,J41/20)</x:f>
        <x:v>1</x:v>
      </x:c>
      <x:c r="Z41" s="96" t="n">
        <x:f>Y41*F41</x:f>
        <x:v>3</x:v>
      </x:c>
      <x:c r="AA41" s="96" t="n">
        <x:f>Y41*G41</x:f>
        <x:v>1</x:v>
      </x:c>
    </x:row>
  </x:sheetData>
  <x:mergeCells>
    <x:mergeCell ref="A1:L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</x:cols>
  <x:sheetData>
    <x:row r="1">
      <x:c r="A1" s="757" t="str">
        <x:v>v0.4.3 — EXPONENTIAL RECENCY MEMORY (CURRENT-MATCH DIAGNOSTIC)</x:v>
      </x:c>
      <x:c r="B1" s="757"/>
      <x:c r="C1" s="757"/>
      <x:c r="D1" s="757"/>
      <x:c r="E1" s="757"/>
      <x:c r="F1" s="757"/>
      <x:c r="G1" s="757"/>
      <x:c r="H1" s="757"/>
      <x:c r="I1" s="757"/>
      <x:c r="J1" s="757"/>
      <x:c r="K1" s="757"/>
      <x:c r="L1" s="757"/>
      <x:c r="M1" s="757"/>
      <x:c r="N1" s="757"/>
      <x:c r="O1" s="757"/>
      <x:c r="P1" s="757"/>
      <x:c r="Q1" s="757"/>
    </x:row>
    <x:row r="3">
      <x:c r="A3" s="746" t="str">
        <x:v>Half-Life (matches)</x:v>
      </x:c>
      <x:c r="B3" s="746" t="str">
        <x:v>Prior Mean</x:v>
      </x:c>
      <x:c r="C3" s="746" t="str">
        <x:v>Prior Strength</x:v>
      </x:c>
      <x:c r="D3" s="746" t="str">
        <x:v>SKC Eff N</x:v>
      </x:c>
      <x:c r="E3" s="746" t="str">
        <x:v>SKC Attack</x:v>
      </x:c>
      <x:c r="F3" s="746" t="str">
        <x:v>SKC Defense</x:v>
      </x:c>
      <x:c r="G3" s="746" t="str">
        <x:v>STL Eff N</x:v>
      </x:c>
      <x:c r="H3" s="746" t="str">
        <x:v>STL Attack</x:v>
      </x:c>
      <x:c r="I3" s="746" t="str">
        <x:v>STL Defense</x:v>
      </x:c>
      <x:c r="J3" s="746" t="str">
        <x:v>λ Home</x:v>
      </x:c>
      <x:c r="K3" s="746" t="str">
        <x:v>λ Away</x:v>
      </x:c>
      <x:c r="L3" s="746" t="str">
        <x:v>λ Total</x:v>
      </x:c>
      <x:c r="M3" s="746" t="str">
        <x:v>P U3.5</x:v>
      </x:c>
      <x:c r="N3" s="746" t="str">
        <x:v>Market P U3.5</x:v>
      </x:c>
      <x:c r="O3" s="746" t="str">
        <x:v>Gap vs Market</x:v>
      </x:c>
      <x:c r="P3" s="746" t="str">
        <x:v>EV @1.625</x:v>
      </x:c>
      <x:c r="Q3" s="746" t="str">
        <x:v>Decision Weight</x:v>
      </x:c>
    </x:row>
    <x:row r="4">
      <x:c r="A4" t="n">
        <x:v>3</x:v>
      </x:c>
      <x:c r="B4" s="30" t="n">
        <x:v>1.5</x:v>
      </x:c>
      <x:c r="C4" s="30" t="n">
        <x:v>5</x:v>
      </x:c>
      <x:c r="D4" s="96" t="n">
        <x:f>SUMIFS(Team_Chronology_v0.4.3!$M$4:$M$41,Team_Chronology_v0.4.3!$A$4:$A$41,"SKC")</x:f>
        <x:v>4.787207694021462</x:v>
      </x:c>
      <x:c r="E4" s="96" t="n">
        <x:f>(B4*C4+SUMIFS(Team_Chronology_v0.4.3!$N$4:$N$41,Team_Chronology_v0.4.3!$A$4:$A$41,"SKC"))/(C4+D4)</x:f>
        <x:v>1.1323257744093835</x:v>
      </x:c>
      <x:c r="F4" s="96" t="n">
        <x:f>(B4*C4+SUMIFS(Team_Chronology_v0.4.3!$O$4:$O$41,Team_Chronology_v0.4.3!$A$4:$A$41,"SKC"))/(C4+D4)</x:f>
        <x:v>1.9223591296414462</x:v>
      </x:c>
      <x:c r="G4" s="96" t="n">
        <x:f>SUMIFS(Team_Chronology_v0.4.3!$M$4:$M$41,Team_Chronology_v0.4.3!$A$4:$A$41,"STL")</x:f>
        <x:v>4.787207694021462</x:v>
      </x:c>
      <x:c r="H4" s="96" t="n">
        <x:f>(B4*C4+SUMIFS(Team_Chronology_v0.4.3!$N$4:$N$41,Team_Chronology_v0.4.3!$A$4:$A$41,"STL"))/(C4+G4)</x:f>
        <x:v>1.7253656638235053</x:v>
      </x:c>
      <x:c r="I4" s="96" t="n">
        <x:f>(B4*C4+SUMIFS(Team_Chronology_v0.4.3!$O$4:$O$41,Team_Chronology_v0.4.3!$A$4:$A$41,"STL"))/(C4+G4)</x:f>
        <x:v>1.245730550967981</x:v>
      </x:c>
      <x:c r="J4" s="96" t="n">
        <x:f>E4*I4/B4</x:f>
        <x:v>0.9403818738868314</x:v>
      </x:c>
      <x:c r="K4" s="96" t="n">
        <x:f>H4*F4/B4</x:f>
        <x:v>2.21118162388066</x:v>
      </x:c>
      <x:c r="L4" s="96" t="n">
        <x:f>J4+K4</x:f>
        <x:v>3.151563497767491</x:v>
      </x:c>
      <x:c r="M4" s="32" t="n">
        <x:f>EXP(-L4)*(1+L4+L4^2/2+L4^3/6)</x:f>
        <x:v>0.6133175542982181</x:v>
      </x:c>
      <x:c r="N4" s="32" t="n">
        <x:f>'Probabilistic_Brain_v0.4.0'!C4</x:f>
        <x:v>0.5751633986928104</x:v>
      </x:c>
      <x:c r="O4" s="32" t="n">
        <x:f>M4-N4</x:f>
        <x:v>0.03815415560540769</x:v>
      </x:c>
      <x:c r="P4" s="32" t="n">
        <x:f>M4*1.625-1</x:f>
        <x:v>-0.0033589742653955534</x:v>
      </x:c>
      <x:c r="Q4" s="32" t="n">
        <x:v>0</x:v>
      </x:c>
    </x:row>
    <x:row r="5">
      <x:c r="A5" t="n">
        <x:v>5</x:v>
      </x:c>
      <x:c r="B5" s="30" t="n">
        <x:v>1.5</x:v>
      </x:c>
      <x:c r="C5" s="30" t="n">
        <x:v>5</x:v>
      </x:c>
      <x:c r="D5" s="96" t="n">
        <x:f>SUMIFS(Team_Chronology_v0.4.3!$P$4:$P$41,Team_Chronology_v0.4.3!$A$4:$A$41,"SKC")</x:f>
        <x:v>7.170416314255725</x:v>
      </x:c>
      <x:c r="E5" s="96" t="n">
        <x:f>(B5*C5+SUMIFS(Team_Chronology_v0.4.3!$Q$4:$Q$41,Team_Chronology_v0.4.3!$A$4:$A$41,"SKC"))/(C5+D5)</x:f>
        <x:v>1.1256947514194198</x:v>
      </x:c>
      <x:c r="F5" s="96" t="n">
        <x:f>(B5*C5+SUMIFS(Team_Chronology_v0.4.3!$R$4:$R$41,Team_Chronology_v0.4.3!$A$4:$A$41,"SKC"))/(C5+D5)</x:f>
        <x:v>2.0498180493550775</x:v>
      </x:c>
      <x:c r="G5" s="96" t="n">
        <x:f>SUMIFS(Team_Chronology_v0.4.3!$P$4:$P$41,Team_Chronology_v0.4.3!$A$4:$A$41,"STL")</x:f>
        <x:v>7.170416314255725</x:v>
      </x:c>
      <x:c r="H5" s="96" t="n">
        <x:f>(B5*C5+SUMIFS(Team_Chronology_v0.4.3!$Q$4:$Q$41,Team_Chronology_v0.4.3!$A$4:$A$41,"STL"))/(C5+G5)</x:f>
        <x:v>1.6794002841047655</x:v>
      </x:c>
      <x:c r="I5" s="96" t="n">
        <x:f>(B5*C5+SUMIFS(Team_Chronology_v0.4.3!$R$4:$R$41,Team_Chronology_v0.4.3!$A$4:$A$41,"STL"))/(C5+G5)</x:f>
        <x:v>1.2585313133037852</x:v>
      </x:c>
      <x:c r="J5" s="96" t="n">
        <x:f>E5*I5/B5</x:f>
        <x:v>0.9444813959220403</x:v>
      </x:c>
      <x:c r="K5" s="96" t="n">
        <x:f>H5*F5/B5</x:f>
        <x:v>2.2949766762999957</x:v>
      </x:c>
      <x:c r="L5" s="96" t="n">
        <x:f>J5+K5</x:f>
        <x:v>3.239458072222036</x:v>
      </x:c>
      <x:c r="M5" s="32" t="n">
        <x:f>EXP(-L5)*(1+L5+L5^2/2+L5^3/6)</x:f>
        <x:v>0.5937472116203715</x:v>
      </x:c>
      <x:c r="N5" s="32" t="n">
        <x:f>'Probabilistic_Brain_v0.4.0'!C4</x:f>
        <x:v>0.5751633986928104</x:v>
      </x:c>
      <x:c r="O5" s="32" t="n">
        <x:f>M5-N5</x:f>
        <x:v>0.01858381292756106</x:v>
      </x:c>
      <x:c r="P5" s="32" t="n">
        <x:f>M5*1.625-1</x:f>
        <x:v>-0.035160781116896356</x:v>
      </x:c>
      <x:c r="Q5" s="32" t="n">
        <x:v>0</x:v>
      </x:c>
    </x:row>
    <x:row r="6">
      <x:c r="A6" t="n">
        <x:v>8</x:v>
      </x:c>
      <x:c r="B6" s="30" t="n">
        <x:v>1.5</x:v>
      </x:c>
      <x:c r="C6" s="30" t="n">
        <x:v>5</x:v>
      </x:c>
      <x:c r="D6" s="96" t="n">
        <x:f>SUMIFS(Team_Chronology_v0.4.3!$S$4:$S$41,Team_Chronology_v0.4.3!$A$4:$A$41,"SKC")</x:f>
        <x:v>9.726059894877194</x:v>
      </x:c>
      <x:c r="E6" s="96" t="n">
        <x:f>(B6*C6+SUMIFS(Team_Chronology_v0.4.3!$T$4:$T$41,Team_Chronology_v0.4.3!$A$4:$A$41,"SKC"))/(C6+D6)</x:f>
        <x:v>1.111440260564528</x:v>
      </x:c>
      <x:c r="F6" s="96" t="n">
        <x:f>(B6*C6+SUMIFS(Team_Chronology_v0.4.3!$U$4:$U$41,Team_Chronology_v0.4.3!$A$4:$A$41,"SKC"))/(C6+D6)</x:f>
        <x:v>2.144390020505785</x:v>
      </x:c>
      <x:c r="G6" s="96" t="n">
        <x:f>SUMIFS(Team_Chronology_v0.4.3!$S$4:$S$41,Team_Chronology_v0.4.3!$A$4:$A$41,"STL")</x:f>
        <x:v>9.726059894877194</x:v>
      </x:c>
      <x:c r="H6" s="96" t="n">
        <x:f>(B6*C6+SUMIFS(Team_Chronology_v0.4.3!$T$4:$T$41,Team_Chronology_v0.4.3!$A$4:$A$41,"STL"))/(C6+G6)</x:f>
        <x:v>1.6181687208463569</x:v>
      </x:c>
      <x:c r="I6" s="96" t="n">
        <x:f>(B6*C6+SUMIFS(Team_Chronology_v0.4.3!$U$4:$U$41,Team_Chronology_v0.4.3!$A$4:$A$41,"STL"))/(C6+G6)</x:f>
        <x:v>1.2835602407090196</x:v>
      </x:c>
      <x:c r="J6" s="96" t="n">
        <x:f>E6*I6/B6</x:f>
        <x:v>0.9510670189226006</x:v>
      </x:c>
      <x:c r="K6" s="96" t="n">
        <x:f>H6*F6/B6</x:f>
        <x:v>2.313323237651693</x:v>
      </x:c>
      <x:c r="L6" s="96" t="n">
        <x:f>J6+K6</x:f>
        <x:v>3.2643902565742935</x:v>
      </x:c>
      <x:c r="M6" s="32" t="n">
        <x:f>EXP(-L6)*(1+L6+L6^2/2+L6^3/6)</x:f>
        <x:v>0.5882170927965058</x:v>
      </x:c>
      <x:c r="N6" s="32" t="n">
        <x:f>'Probabilistic_Brain_v0.4.0'!C4</x:f>
        <x:v>0.5751633986928104</x:v>
      </x:c>
      <x:c r="O6" s="32" t="n">
        <x:f>M6-N6</x:f>
        <x:v>0.01305369410369539</x:v>
      </x:c>
      <x:c r="P6" s="32" t="n">
        <x:f>M6*1.625-1</x:f>
        <x:v>-0.04414722420567807</x:v>
      </x:c>
      <x:c r="Q6" s="32" t="n">
        <x:v>0</x:v>
      </x:c>
    </x:row>
    <x:row r="7">
      <x:c r="A7" t="n">
        <x:v>12</x:v>
      </x:c>
      <x:c r="B7" s="30" t="n">
        <x:v>1.5</x:v>
      </x:c>
      <x:c r="C7" s="30" t="n">
        <x:v>5</x:v>
      </x:c>
      <x:c r="D7" s="96" t="n">
        <x:f>SUMIFS(Team_Chronology_v0.4.3!$V$4:$V$41,Team_Chronology_v0.4.3!$A$4:$A$41,"SKC")</x:f>
        <x:v>11.871392018395253</x:v>
      </x:c>
      <x:c r="E7" s="96" t="n">
        <x:f>(B7*C7+SUMIFS(Team_Chronology_v0.4.3!$W$4:$W$41,Team_Chronology_v0.4.3!$A$4:$A$41,"SKC"))/(C7+D7)</x:f>
        <x:v>1.098715551801262</x:v>
      </x:c>
      <x:c r="F7" s="96" t="n">
        <x:f>(B7*C7+SUMIFS(Team_Chronology_v0.4.3!$X$4:$X$41,Team_Chronology_v0.4.3!$A$4:$A$41,"SKC"))/(C7+D7)</x:f>
        <x:v>2.2013958771998423</x:v>
      </x:c>
      <x:c r="G7" s="96" t="n">
        <x:f>SUMIFS(Team_Chronology_v0.4.3!$V$4:$V$41,Team_Chronology_v0.4.3!$A$4:$A$41,"STL")</x:f>
        <x:v>11.871392018395253</x:v>
      </x:c>
      <x:c r="H7" s="96" t="n">
        <x:f>(B7*C7+SUMIFS(Team_Chronology_v0.4.3!$W$4:$W$41,Team_Chronology_v0.4.3!$A$4:$A$41,"STL"))/(C7+G7)</x:f>
        <x:v>1.5690444404898656</x:v>
      </x:c>
      <x:c r="I7" s="96" t="n">
        <x:f>(B7*C7+SUMIFS(Team_Chronology_v0.4.3!$X$4:$X$41,Team_Chronology_v0.4.3!$A$4:$A$41,"STL"))/(C7+G7)</x:f>
        <x:v>1.303767049160248</x:v>
      </x:c>
      <x:c r="J7" s="96" t="n">
        <x:f>E7*I7/B7</x:f>
        <x:v>0.9549794218922699</x:v>
      </x:c>
      <x:c r="K7" s="96" t="n">
        <x:f>H7*F7/B7</x:f>
        <x:v>2.3027253082918153</x:v>
      </x:c>
      <x:c r="L7" s="96" t="n">
        <x:f>J7+K7</x:f>
        <x:v>3.257704730184085</x:v>
      </x:c>
      <x:c r="M7" s="32" t="n">
        <x:f>EXP(-L7)*(1+L7+L7^2/2+L7^3/6)</x:f>
        <x:v>0.5896989302726847</x:v>
      </x:c>
      <x:c r="N7" s="32" t="n">
        <x:f>'Probabilistic_Brain_v0.4.0'!C4</x:f>
        <x:v>0.5751633986928104</x:v>
      </x:c>
      <x:c r="O7" s="32" t="n">
        <x:f>M7-N7</x:f>
        <x:v>0.014535531579874306</x:v>
      </x:c>
      <x:c r="P7" s="32" t="n">
        <x:f>M7*1.625-1</x:f>
        <x:v>-0.041739238306887305</x:v>
      </x:c>
      <x:c r="Q7" s="32" t="n">
        <x:v>0</x:v>
      </x:c>
    </x:row>
    <x:row r="8">
      <x:c r="A8" t="n">
        <x:v>20</x:v>
      </x:c>
      <x:c r="B8" s="30" t="n">
        <x:v>1.5</x:v>
      </x:c>
      <x:c r="C8" s="30" t="n">
        <x:v>5</x:v>
      </x:c>
      <x:c r="D8" s="96" t="n">
        <x:f>SUMIFS(Team_Chronology_v0.4.3!$Y$4:$Y$41,Team_Chronology_v0.4.3!$A$4:$A$41,"SKC")</x:f>
        <x:v>14.16076197468755</x:v>
      </x:c>
      <x:c r="E8" s="96" t="n">
        <x:f>(B8*C8+SUMIFS(Team_Chronology_v0.4.3!$Z$4:$Z$41,Team_Chronology_v0.4.3!$A$4:$A$41,"SKC"))/(C8+D8)</x:f>
        <x:v>1.0858744287788975</x:v>
      </x:c>
      <x:c r="F8" s="96" t="n">
        <x:f>(B8*C8+SUMIFS(Team_Chronology_v0.4.3!$AA$4:$AA$41,Team_Chronology_v0.4.3!$A$4:$A$41,"SKC"))/(C8+D8)</x:f>
        <x:v>2.247243456779451</x:v>
      </x:c>
      <x:c r="G8" s="96" t="n">
        <x:f>SUMIFS(Team_Chronology_v0.4.3!$Y$4:$Y$41,Team_Chronology_v0.4.3!$A$4:$A$41,"STL")</x:f>
        <x:v>14.16076197468755</x:v>
      </x:c>
      <x:c r="H8" s="96" t="n">
        <x:f>(B8*C8+SUMIFS(Team_Chronology_v0.4.3!$Z$4:$Z$41,Team_Chronology_v0.4.3!$A$4:$A$41,"STL"))/(C8+G8)</x:f>
        <x:v>1.5215058706404019</x:v>
      </x:c>
      <x:c r="I8" s="96" t="n">
        <x:f>(B8*C8+SUMIFS(Team_Chronology_v0.4.3!$AA$4:$AA$41,Team_Chronology_v0.4.3!$A$4:$A$41,"STL"))/(C8+G8)</x:f>
        <x:v>1.3227151389089795</x:v>
      </x:c>
      <x:c r="J8" s="96" t="n">
        <x:f>E8*I8/B8</x:f>
        <x:v>0.9575350305999922</x:v>
      </x:c>
      <x:c r="K8" s="96" t="n">
        <x:f>H8*F8/B8</x:f>
        <x:v>2.2794627414987763</x:v>
      </x:c>
      <x:c r="L8" s="96" t="n">
        <x:f>J8+K8</x:f>
        <x:v>3.2369977720987686</x:v>
      </x:c>
      <x:c r="M8" s="32" t="n">
        <x:f>EXP(-L8)*(1+L8+L8^2/2+L8^3/6)</x:f>
        <x:v>0.5942934906499316</x:v>
      </x:c>
      <x:c r="N8" s="32" t="n">
        <x:f>'Probabilistic_Brain_v0.4.0'!C4</x:f>
        <x:v>0.5751633986928104</x:v>
      </x:c>
      <x:c r="O8" s="32" t="n">
        <x:f>M8-N8</x:f>
        <x:v>0.01913009195712123</x:v>
      </x:c>
      <x:c r="P8" s="32" t="n">
        <x:f>M8*1.625-1</x:f>
        <x:v>-0.03427307769386112</x:v>
      </x:c>
      <x:c r="Q8" s="32" t="n">
        <x:v>0</x:v>
      </x:c>
    </x:row>
    <x:row r="11">
      <x:c r="A11" s="761" t="str">
        <x:v>RECENCY ROBUSTNESS</x:v>
      </x:c>
      <x:c r="B11" s="761" t="str">
        <x:v>Value</x:v>
      </x:c>
      <x:c r="C11" s="761" t="str">
        <x:v>Threshold</x:v>
      </x:c>
      <x:c r="D11" s="761" t="str">
        <x:v>Status</x:v>
      </x:c>
      <x:c r="E11" s="761" t="str">
        <x:v>Interpretation</x:v>
      </x:c>
      <x:c r="F11" s="761" t="str">
        <x:v>Decision Consequence</x:v>
      </x:c>
      <x:c r="G11" s="761" t="str">
        <x:v>Can Tune Now?</x:v>
      </x:c>
      <x:c r="H11" s="761" t="str">
        <x:v>Next Test</x:v>
      </x:c>
    </x:row>
    <x:row r="12">
      <x:c r="A12" s="763" t="str">
        <x:v>Minimum P U3.5</x:v>
      </x:c>
      <x:c r="B12" s="32" t="n">
        <x:f>MIN(M4:M8)</x:f>
        <x:v>0.5882170927965058</x:v>
      </x:c>
      <x:c r="C12" t="str"/>
      <x:c r="D12" t="str">
        <x:v>INFO</x:v>
      </x:c>
      <x:c r="E12" t="str">
        <x:v>Most Over-leaning decay model</x:v>
      </x:c>
      <x:c r="F12" t="str">
        <x:v>Sensitivity only</x:v>
      </x:c>
      <x:c r="G12" t="str">
        <x:v>NO</x:v>
      </x:c>
      <x:c r="H12" t="str">
        <x:v>Historical OOS</x:v>
      </x:c>
    </x:row>
    <x:row r="13">
      <x:c r="A13" s="763" t="str">
        <x:v>Maximum P U3.5</x:v>
      </x:c>
      <x:c r="B13" s="32" t="n">
        <x:f>MAX(M4:M8)</x:f>
        <x:v>0.6133175542982181</x:v>
      </x:c>
      <x:c r="C13" t="str"/>
      <x:c r="D13" t="str">
        <x:v>INFO</x:v>
      </x:c>
      <x:c r="E13" t="str">
        <x:v>Most Under-leaning decay model</x:v>
      </x:c>
      <x:c r="F13" t="str">
        <x:v>Sensitivity only</x:v>
      </x:c>
      <x:c r="G13" t="str">
        <x:v>NO</x:v>
      </x:c>
      <x:c r="H13" t="str">
        <x:v>Historical OOS</x:v>
      </x:c>
    </x:row>
    <x:row r="14">
      <x:c r="A14" s="763" t="str">
        <x:v>Probability spread</x:v>
      </x:c>
      <x:c r="B14" s="32" t="n">
        <x:f>B13-B12</x:f>
        <x:v>0.0251004615017123</x:v>
      </x:c>
      <x:c r="C14" t="str">
        <x:v>&lt;5pp preferred</x:v>
      </x:c>
      <x:c r="D14" t="str"/>
      <x:c r="E14" t="str">
        <x:v>Decay choice sensitivity</x:v>
      </x:c>
      <x:c r="F14" t="str">
        <x:v>Uncertainty penalty</x:v>
      </x:c>
      <x:c r="G14" t="str">
        <x:v>NO</x:v>
      </x:c>
      <x:c r="H14" t="str">
        <x:v>Walk-forward half-life selection</x:v>
      </x:c>
    </x:row>
    <x:row r="15">
      <x:c r="A15" s="763" t="str">
        <x:v>Best EV @1.625</x:v>
      </x:c>
      <x:c r="B15" s="32" t="n">
        <x:f>MAX(P4:P8)</x:f>
        <x:v>-0.0033589742653955534</x:v>
      </x:c>
      <x:c r="C15" t="str">
        <x:v>+3% required</x:v>
      </x:c>
      <x:c r="D15" t="str"/>
      <x:c r="E15" t="str">
        <x:v>Best-looking sensitivity row</x:v>
      </x:c>
      <x:c r="F15" t="str">
        <x:v>Cannot cherry-pick</x:v>
      </x:c>
      <x:c r="G15" t="str">
        <x:v>NO</x:v>
      </x:c>
      <x:c r="H15" t="str">
        <x:v>OOS select half-life</x:v>
      </x:c>
    </x:row>
    <x:row r="16">
      <x:c r="A16" s="763" t="str">
        <x:v>Any +3% EV?</x:v>
      </x:c>
      <x:c r="B16" t="str">
        <x:f>IF(B15&gt;=0.03,"YES","NO")</x:f>
        <x:v>NO</x:v>
      </x:c>
      <x:c r="C16" t="str">
        <x:v>YES required</x:v>
      </x:c>
      <x:c r="D16" t="str"/>
      <x:c r="E16" t="str">
        <x:v>Current reference price test</x:v>
      </x:c>
      <x:c r="F16" t="str">
        <x:v>No value if NO</x:v>
      </x:c>
      <x:c r="G16" t="str">
        <x:v>NO</x:v>
      </x:c>
      <x:c r="H16" t="str">
        <x:v>Execution later</x:v>
      </x:c>
    </x:row>
    <x:row r="17">
      <x:c r="A17" s="763" t="str">
        <x:v>Any model &gt; market by 5pp?</x:v>
      </x:c>
      <x:c r="B17" t="str">
        <x:f>IF(MAX(O4:O8)&gt;=0.05,"YES","NO")</x:f>
        <x:v>NO</x:v>
      </x:c>
      <x:c r="C17" t="str">
        <x:v>Research signal</x:v>
      </x:c>
      <x:c r="D17" t="str"/>
      <x:c r="E17" t="str">
        <x:v>Probability edge only</x:v>
      </x:c>
      <x:c r="F17" t="str">
        <x:v>Not sufficient</x:v>
      </x:c>
      <x:c r="G17" t="str">
        <x:v>NO</x:v>
      </x:c>
      <x:c r="H17" t="str">
        <x:v>Calibration</x:v>
      </x:c>
    </x:row>
    <x:row r="18">
      <x:c r="A18" s="763" t="str">
        <x:v>Current M012 weight</x:v>
      </x:c>
      <x:c r="B18" t="str">
        <x:v>0%</x:v>
      </x:c>
      <x:c r="C18" t="str">
        <x:v>Until OOS win</x:v>
      </x:c>
      <x:c r="D18" t="str">
        <x:v>PASS</x:v>
      </x:c>
      <x:c r="E18" t="str">
        <x:v>Architecture not evidence</x:v>
      </x:c>
      <x:c r="F18" t="str">
        <x:v>No decision influence</x:v>
      </x:c>
      <x:c r="G18" t="str">
        <x:v>NO</x:v>
      </x:c>
      <x:c r="H18" t="str">
        <x:v>Beat market OOS</x:v>
      </x:c>
    </x:row>
    <x:row r="19">
      <x:c r="A19" s="763" t="str">
        <x:v>Venue Bayesian 73.5%</x:v>
      </x:c>
      <x:c r="B19" t="str">
        <x:v>SUPERSEDED AS HIGH-UNCERTAINTY DIAGNOSTIC</x:v>
      </x:c>
      <x:c r="C19" t="str">
        <x:v>Recency should reduce overreaction</x:v>
      </x:c>
      <x:c r="D19" t="str">
        <x:v>WATCH</x:v>
      </x:c>
      <x:c r="E19" t="str">
        <x:v>Venue-only sample likely overreacted</x:v>
      </x:c>
      <x:c r="F19" t="str">
        <x:v>Keep weight 0</x:v>
      </x:c>
      <x:c r="G19" t="str">
        <x:v>NO</x:v>
      </x:c>
      <x:c r="H19" t="str">
        <x:v>Learn context jointly</x:v>
      </x:c>
    </x:row>
    <x:row r="20">
      <x:c r="A20" s="763" t="str">
        <x:v>Current verdict</x:v>
      </x:c>
      <x:c r="B20" t="str">
        <x:v>NO VALUE AT 1.625</x:v>
      </x:c>
      <x:c r="C20" t="str">
        <x:v>Price-aware</x:v>
      </x:c>
      <x:c r="D20" t="str"/>
      <x:c r="E20" t="str">
        <x:v>Even fastest decay does not reach +3% EV</x:v>
      </x:c>
      <x:c r="F20" t="str">
        <x:v>Paper learning only</x:v>
      </x:c>
      <x:c r="G20" t="str">
        <x:v>NO</x:v>
      </x:c>
      <x:c r="H20" t="str">
        <x:v>Expand full league</x:v>
      </x:c>
    </x:row>
    <x:row r="21">
      <x:c r="A21" s="763"/>
    </x:row>
  </x:sheetData>
  <x:mergeCells>
    <x:mergeCell ref="A1:Q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</x:cols>
  <x:sheetData>
    <x:row r="1">
      <x:c r="A1" s="764" t="str">
        <x:v>v0.4.3 — RECENT-FORM CHANGE-POINT DIAGNOSTIC</x:v>
      </x:c>
      <x:c r="B1" s="764"/>
      <x:c r="C1" s="764"/>
      <x:c r="D1" s="764"/>
      <x:c r="E1" s="764"/>
      <x:c r="F1" s="764"/>
      <x:c r="G1" s="764"/>
      <x:c r="H1" s="764"/>
      <x:c r="I1" s="764"/>
      <x:c r="J1" s="764"/>
    </x:row>
    <x:row r="3">
      <x:c r="A3" s="745" t="str">
        <x:v>Team</x:v>
      </x:c>
      <x:c r="B3" s="745" t="str">
        <x:v>State</x:v>
      </x:c>
      <x:c r="C3" s="745" t="str">
        <x:v>Earlier N</x:v>
      </x:c>
      <x:c r="D3" s="745" t="str">
        <x:v>Earlier Rate</x:v>
      </x:c>
      <x:c r="E3" s="745" t="str">
        <x:v>Recent N</x:v>
      </x:c>
      <x:c r="F3" s="745" t="str">
        <x:v>Recent Rate</x:v>
      </x:c>
      <x:c r="G3" s="745" t="str">
        <x:v>Absolute Shift</x:v>
      </x:c>
      <x:c r="H3" s="745" t="str">
        <x:v>Rate Ratio</x:v>
      </x:c>
      <x:c r="I3" s="745" t="str">
        <x:v>Signal</x:v>
      </x:c>
      <x:c r="J3" s="745" t="str">
        <x:v>Decision Weight</x:v>
      </x:c>
    </x:row>
    <x:row r="4">
      <x:c r="A4" t="str">
        <x:v>SKC</x:v>
      </x:c>
      <x:c r="B4" t="str">
        <x:v>Attack GF</x:v>
      </x:c>
      <x:c r="C4" t="n">
        <x:v>14</x:v>
      </x:c>
      <x:c r="D4" s="30" t="n">
        <x:f>SUMIFS(Team_Chronology_v0.4.3!$F$4:$F$41,Team_Chronology_v0.4.3!$A$4:$A$41,"SKC",Team_Chronology_v0.4.3!$B$4:$B$41,"&lt;=14")/C4</x:f>
        <x:v>1</x:v>
      </x:c>
      <x:c r="E4" s="30" t="n">
        <x:v>5</x:v>
      </x:c>
      <x:c r="F4" s="30" t="n">
        <x:f>SUMIFS(Team_Chronology_v0.4.3!$F$4:$F$41,Team_Chronology_v0.4.3!$A$4:$A$41,"SKC",Team_Chronology_v0.4.3!$B$4:$B$41,"&gt;=15")/E4</x:f>
        <x:v>0.8</x:v>
      </x:c>
      <x:c r="G4" s="30" t="n">
        <x:f>F4-D4</x:f>
        <x:v>-0.19999999999999996</x:v>
      </x:c>
      <x:c r="H4" s="30" t="n">
        <x:f>IF(D4=0,"",F4/D4)</x:f>
        <x:v>0.8</x:v>
      </x:c>
      <x:c r="I4" t="str">
        <x:f>IF(ABS(G4)&gt;=0.75,"WATCH",IF(ABS(G4)&gt;=0.40,"MILD","STABLE"))</x:f>
        <x:v>STABLE</x:v>
      </x:c>
      <x:c r="J4" s="171" t="n">
        <x:v>0</x:v>
      </x:c>
    </x:row>
    <x:row r="5">
      <x:c r="A5" t="str">
        <x:v>SKC</x:v>
      </x:c>
      <x:c r="B5" t="str">
        <x:v>Defense GA</x:v>
      </x:c>
      <x:c r="C5" t="n">
        <x:v>14</x:v>
      </x:c>
      <x:c r="D5" s="30" t="n">
        <x:f>SUMIFS(Team_Chronology_v0.4.3!$G$4:$G$41,Team_Chronology_v0.4.3!$A$4:$A$41,"SKC",Team_Chronology_v0.4.3!$B$4:$B$41,"&lt;=14")/C5</x:f>
        <x:v>2.5714285714285716</x:v>
      </x:c>
      <x:c r="E5" s="30" t="n">
        <x:v>5</x:v>
      </x:c>
      <x:c r="F5" s="30" t="n">
        <x:f>SUMIFS(Team_Chronology_v0.4.3!$G$4:$G$41,Team_Chronology_v0.4.3!$A$4:$A$41,"SKC",Team_Chronology_v0.4.3!$B$4:$B$41,"&gt;=15")/E5</x:f>
        <x:v>2.4</x:v>
      </x:c>
      <x:c r="G5" s="30" t="n">
        <x:f>F5-D5</x:f>
        <x:v>-0.1714285714285717</x:v>
      </x:c>
      <x:c r="H5" s="30" t="n">
        <x:f>IF(D5=0,"",F5/D5)</x:f>
        <x:v>0.9333333333333332</x:v>
      </x:c>
      <x:c r="I5" t="str">
        <x:f>IF(ABS(G5)&gt;=0.75,"WATCH",IF(ABS(G5)&gt;=0.40,"MILD","STABLE"))</x:f>
        <x:v>STABLE</x:v>
      </x:c>
      <x:c r="J5" s="171" t="n">
        <x:v>0</x:v>
      </x:c>
    </x:row>
    <x:row r="6">
      <x:c r="A6" t="str">
        <x:v>STL</x:v>
      </x:c>
      <x:c r="B6" t="str">
        <x:v>Attack GF</x:v>
      </x:c>
      <x:c r="C6" t="n">
        <x:v>14</x:v>
      </x:c>
      <x:c r="D6" s="30" t="n">
        <x:f>SUMIFS(Team_Chronology_v0.4.3!$F$4:$F$41,Team_Chronology_v0.4.3!$A$4:$A$41,"STL",Team_Chronology_v0.4.3!$B$4:$B$41,"&lt;=14")/C6</x:f>
        <x:v>1.1428571428571428</x:v>
      </x:c>
      <x:c r="E6" s="30" t="n">
        <x:v>5</x:v>
      </x:c>
      <x:c r="F6" s="30" t="n">
        <x:f>SUMIFS(Team_Chronology_v0.4.3!$F$4:$F$41,Team_Chronology_v0.4.3!$A$4:$A$41,"STL",Team_Chronology_v0.4.3!$B$4:$B$41,"&gt;=15")/E6</x:f>
        <x:v>2.2</x:v>
      </x:c>
      <x:c r="G6" s="30" t="n">
        <x:f>F6-D6</x:f>
        <x:v>1.0571428571428574</x:v>
      </x:c>
      <x:c r="H6" s="30" t="n">
        <x:f>IF(D6=0,"",F6/D6)</x:f>
        <x:v>1.9250000000000003</x:v>
      </x:c>
      <x:c r="I6" t="str">
        <x:f>IF(ABS(G6)&gt;=0.75,"WATCH",IF(ABS(G6)&gt;=0.40,"MILD","STABLE"))</x:f>
        <x:v>WATCH</x:v>
      </x:c>
      <x:c r="J6" s="171" t="n">
        <x:v>0</x:v>
      </x:c>
    </x:row>
    <x:row r="7">
      <x:c r="A7" t="str">
        <x:v>STL</x:v>
      </x:c>
      <x:c r="B7" t="str">
        <x:v>Defense GA</x:v>
      </x:c>
      <x:c r="C7" t="n">
        <x:v>14</x:v>
      </x:c>
      <x:c r="D7" s="30" t="n">
        <x:f>SUMIFS(Team_Chronology_v0.4.3!$G$4:$G$41,Team_Chronology_v0.4.3!$A$4:$A$41,"STL",Team_Chronology_v0.4.3!$B$4:$B$41,"&lt;=14")/C7</x:f>
        <x:v>1.4285714285714286</x:v>
      </x:c>
      <x:c r="E7" s="30" t="n">
        <x:v>5</x:v>
      </x:c>
      <x:c r="F7" s="30" t="n">
        <x:f>SUMIFS(Team_Chronology_v0.4.3!$G$4:$G$41,Team_Chronology_v0.4.3!$A$4:$A$41,"STL",Team_Chronology_v0.4.3!$B$4:$B$41,"&gt;=15")/E7</x:f>
        <x:v>1</x:v>
      </x:c>
      <x:c r="G7" s="30" t="n">
        <x:f>F7-D7</x:f>
        <x:v>-0.4285714285714286</x:v>
      </x:c>
      <x:c r="H7" s="30" t="n">
        <x:f>IF(D7=0,"",F7/D7)</x:f>
        <x:v>0.7</x:v>
      </x:c>
      <x:c r="I7" t="str">
        <x:f>IF(ABS(G7)&gt;=0.75,"WATCH",IF(ABS(G7)&gt;=0.40,"MILD","STABLE"))</x:f>
        <x:v>MILD</x:v>
      </x:c>
      <x:c r="J7" s="171" t="n">
        <x:v>0</x:v>
      </x:c>
    </x:row>
    <x:row r="10">
      <x:c r="A10" s="768" t="str">
        <x:v>CHANGE-POINT INTERPRETATION</x:v>
      </x:c>
      <x:c r="B10" s="768" t="str">
        <x:v>Current</x:v>
      </x:c>
      <x:c r="C10" s="768" t="str">
        <x:v>Evidence</x:v>
      </x:c>
      <x:c r="D10" s="768" t="str">
        <x:v>Status</x:v>
      </x:c>
      <x:c r="E10" s="768" t="str">
        <x:v>Model Action</x:v>
      </x:c>
      <x:c r="F10" s="768" t="str">
        <x:v>Risk</x:v>
      </x:c>
      <x:c r="G10" s="768" t="str">
        <x:v>Can Affect Current Decision?</x:v>
      </x:c>
      <x:c r="H10" s="768" t="str">
        <x:v>Next</x:v>
      </x:c>
    </x:row>
    <x:row r="11">
      <x:c r="A11" s="771" t="str">
        <x:v>STL recent attack</x:v>
      </x:c>
      <x:c r="B11" s="15" t="str">
        <x:v>~2.20 vs ~1.14 earlier</x:v>
      </x:c>
      <x:c r="C11" s="15" t="str">
        <x:v>Last 5 vs prior 14</x:v>
      </x:c>
      <x:c r="D11" s="15" t="str">
        <x:v>WATCH</x:v>
      </x:c>
      <x:c r="E11" s="15" t="str">
        <x:v>Fast-memory candidate</x:v>
      </x:c>
      <x:c r="F11" s="15" t="str">
        <x:v>Small N / opponent mix</x:v>
      </x:c>
      <x:c r="G11" s="15" t="str">
        <x:v>NO</x:v>
      </x:c>
      <x:c r="H11" s="15" t="str">
        <x:v>OOS half-life model</x:v>
      </x:c>
    </x:row>
    <x:row r="12">
      <x:c r="A12" s="771" t="str">
        <x:v>STL recent defense</x:v>
      </x:c>
      <x:c r="B12" s="15" t="str">
        <x:v>~1.00 vs ~1.43 earlier</x:v>
      </x:c>
      <x:c r="C12" s="15" t="str">
        <x:v>Last 5 vs prior 14</x:v>
      </x:c>
      <x:c r="D12" s="15" t="str">
        <x:v>MILD</x:v>
      </x:c>
      <x:c r="E12" s="15" t="str">
        <x:v>Potential improvement</x:v>
      </x:c>
      <x:c r="F12" s="15" t="str">
        <x:v>Small N</x:v>
      </x:c>
      <x:c r="G12" s="15" t="str">
        <x:v>NO</x:v>
      </x:c>
      <x:c r="H12" s="15" t="str">
        <x:v>Opponent-adjust</x:v>
      </x:c>
    </x:row>
    <x:row r="13">
      <x:c r="A13" s="771" t="str">
        <x:v>SKC recent attack</x:v>
      </x:c>
      <x:c r="B13" s="15" t="str">
        <x:v>~0.80 vs ~1.00 earlier</x:v>
      </x:c>
      <x:c r="C13" s="15" t="str">
        <x:v>Last 5 vs prior 14</x:v>
      </x:c>
      <x:c r="D13" s="15" t="str">
        <x:v>STABLE/MILD</x:v>
      </x:c>
      <x:c r="E13" s="15" t="str">
        <x:v>Weakening signal</x:v>
      </x:c>
      <x:c r="F13" s="15" t="str">
        <x:v>Small N</x:v>
      </x:c>
      <x:c r="G13" s="15" t="str">
        <x:v>NO</x:v>
      </x:c>
      <x:c r="H13" s="15" t="str">
        <x:v>OOS test</x:v>
      </x:c>
    </x:row>
    <x:row r="14">
      <x:c r="A14" s="771" t="str">
        <x:v>SKC recent defense</x:v>
      </x:c>
      <x:c r="B14" s="15" t="str">
        <x:v>~2.40 vs ~2.57 earlier</x:v>
      </x:c>
      <x:c r="C14" s="15" t="str">
        <x:v>Last 5 vs prior 14</x:v>
      </x:c>
      <x:c r="D14" s="15" t="str">
        <x:v>STABLE</x:v>
      </x:c>
      <x:c r="E14" s="15" t="str">
        <x:v>Still weak</x:v>
      </x:c>
      <x:c r="F14" s="15" t="str">
        <x:v>Noise</x:v>
      </x:c>
      <x:c r="G14" s="15" t="str">
        <x:v>NO</x:v>
      </x:c>
      <x:c r="H14" s="15" t="str">
        <x:v>OOS test</x:v>
      </x:c>
    </x:row>
    <x:row r="15">
      <x:c r="A15" s="771" t="str">
        <x:v>Conclusion</x:v>
      </x:c>
      <x:c r="B15" s="15" t="str">
        <x:v>Recency pulls λ upward vs venue-only model</x:v>
      </x:c>
      <x:c r="C15" s="15" t="str">
        <x:v>Decay sensitivity</x:v>
      </x:c>
      <x:c r="D15" s="15" t="str">
        <x:v>PASS</x:v>
      </x:c>
      <x:c r="E15" s="15" t="str">
        <x:v>Use as diagnostic challenger</x:v>
      </x:c>
      <x:c r="F15" s="15" t="str">
        <x:v>Hyperparameter selection risk</x:v>
      </x:c>
      <x:c r="G15" s="15" t="str">
        <x:v>NO</x:v>
      </x:c>
      <x:c r="H15" s="15" t="str">
        <x:v>Full-league walk-forward</x:v>
      </x:c>
    </x:row>
    <x:row r="16">
      <x:c r="A16" s="771" t="str">
        <x:v>Weight</x:v>
      </x:c>
      <x:c r="B16" s="15" t="str">
        <x:v>0%</x:v>
      </x:c>
      <x:c r="C16" s="15" t="str">
        <x:v>No OOS validation</x:v>
      </x:c>
      <x:c r="D16" s="15" t="str">
        <x:v>LOCKED</x:v>
      </x:c>
      <x:c r="E16" s="15" t="str">
        <x:v>No decision influence</x:v>
      </x:c>
      <x:c r="F16" s="15" t="str">
        <x:v>Overfit prevention</x:v>
      </x:c>
      <x:c r="G16" s="15" t="str">
        <x:v>NO</x:v>
      </x:c>
      <x:c r="H16" s="15" t="str">
        <x:v>Earn weight</x:v>
      </x:c>
    </x:row>
    <x:row r="17">
      <x:c r="A17" s="771"/>
      <x:c r="B17" s="15"/>
      <x:c r="C17" s="15"/>
      <x:c r="D17" s="15"/>
      <x:c r="E17" s="15"/>
      <x:c r="F17" s="15"/>
      <x:c r="G17" s="15"/>
      <x:c r="H17" s="15"/>
    </x:row>
  </x:sheetData>
  <x:mergeCells>
    <x:mergeCell ref="A1:J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19" hidden="0" customWidth="1"/>
    <x:col min="9" max="9" width="19" hidden="0" customWidth="1"/>
    <x:col min="10" max="10" width="38" hidden="0" customWidth="1"/>
  </x:cols>
  <x:sheetData>
    <x:row r="1">
      <x:c r="A1" s="764" t="str">
        <x:v>v0.4.3 — VERIFIED LIVE OBSERVATION LOG (NO LIVE MODEL INFERENCE)</x:v>
      </x:c>
      <x:c r="B1" s="764"/>
      <x:c r="C1" s="764"/>
      <x:c r="D1" s="764"/>
      <x:c r="E1" s="764"/>
      <x:c r="F1" s="764"/>
      <x:c r="G1" s="764"/>
      <x:c r="H1" s="764"/>
      <x:c r="I1" s="764"/>
      <x:c r="J1" s="764"/>
    </x:row>
    <x:row r="3">
      <x:c r="A3" s="745" t="str">
        <x:v>Snapshot</x:v>
      </x:c>
      <x:c r="B3" s="745" t="str">
        <x:v>Score</x:v>
      </x:c>
      <x:c r="C3" s="745" t="str">
        <x:v>Minute</x:v>
      </x:c>
      <x:c r="D3" s="745" t="str">
        <x:v>Source 1</x:v>
      </x:c>
      <x:c r="E3" s="745" t="str">
        <x:v>Source 2</x:v>
      </x:c>
      <x:c r="F3" s="745" t="str">
        <x:v>Quorum</x:v>
      </x:c>
      <x:c r="G3" s="745" t="str">
        <x:v>Use</x:v>
      </x:c>
      <x:c r="H3" s="745" t="str">
        <x:v>Live Model Weight</x:v>
      </x:c>
      <x:c r="I3" s="745" t="str">
        <x:v>Can Rewrite Pre-match?</x:v>
      </x:c>
      <x:c r="J3" s="745" t="str">
        <x:v>Notes</x:v>
      </x:c>
    </x:row>
    <x:row r="4">
      <x:c r="A4" t="str">
        <x:v>LIVE-024</x:v>
      </x:c>
      <x:c r="B4" t="str">
        <x:v>0-0</x:v>
      </x:c>
      <x:c r="C4" t="str">
        <x:v>24'</x:v>
      </x:c>
      <x:c r="D4" t="str">
        <x:v>ESPN: 0-0 at 24'</x:v>
      </x:c>
      <x:c r="E4" t="str">
        <x:v>FOX: 0-0 through 21' events</x:v>
      </x:c>
      <x:c r="F4" t="str">
        <x:v>PASS for historical snapshot</x:v>
      </x:c>
      <x:c r="G4" t="str">
        <x:v>OBSERVATION ONLY</x:v>
      </x:c>
      <x:c r="H4" s="171" t="n">
        <x:v>0</x:v>
      </x:c>
      <x:c r="I4" t="str">
        <x:v>NO</x:v>
      </x:c>
      <x:c r="J4" t="str">
        <x:v>Not asserted as current score at 04:07 EAT</x:v>
      </x:c>
    </x:row>
    <x:row r="5">
      <x:c r="A5" t="str">
        <x:v>EVENT-015</x:v>
      </x:c>
      <x:c r="B5" t="str">
        <x:v>0-0</x:v>
      </x:c>
      <x:c r="C5" t="str">
        <x:v>15'</x:v>
      </x:c>
      <x:c r="D5" t="str">
        <x:v>FOX: Bassong yellow; Calheira shot</x:v>
      </x:c>
      <x:c r="E5" t="str">
        <x:v>ESPN player/event feed</x:v>
      </x:c>
      <x:c r="F5" t="str">
        <x:v>CORROBORATED CONTEXT</x:v>
      </x:c>
      <x:c r="G5" t="str">
        <x:v>EVENT LOG</x:v>
      </x:c>
      <x:c r="H5" s="171" t="n">
        <x:v>0</x:v>
      </x:c>
      <x:c r="I5" t="str">
        <x:v>NO</x:v>
      </x:c>
      <x:c r="J5" t="str">
        <x:v>No causal live inference</x:v>
      </x:c>
    </x:row>
    <x:row r="6">
      <x:c r="A6" t="str">
        <x:v>EVENT-021</x:v>
      </x:c>
      <x:c r="B6" t="str">
        <x:v>0-0</x:v>
      </x:c>
      <x:c r="C6" t="str">
        <x:v>21'</x:v>
      </x:c>
      <x:c r="D6" t="str">
        <x:v>FOX: Durkin yellow</x:v>
      </x:c>
      <x:c r="E6" t="str">
        <x:v>ESPN last play ~21'</x:v>
      </x:c>
      <x:c r="F6" t="str">
        <x:v>CORROBORATED CONTEXT</x:v>
      </x:c>
      <x:c r="G6" t="str">
        <x:v>EVENT LOG</x:v>
      </x:c>
      <x:c r="H6" s="171" t="n">
        <x:v>0</x:v>
      </x:c>
      <x:c r="I6" t="str">
        <x:v>NO</x:v>
      </x:c>
      <x:c r="J6" t="str">
        <x:v>No red cards observed in cited snapshot</x:v>
      </x:c>
    </x:row>
    <x:row r="9">
      <x:c r="A9" s="751" t="str">
        <x:v>LIVE GOVERNANCE</x:v>
      </x:c>
      <x:c r="B9" s="751" t="str">
        <x:v>Requirement</x:v>
      </x:c>
      <x:c r="C9" s="751" t="str">
        <x:v>Current</x:v>
      </x:c>
      <x:c r="D9" s="751" t="str">
        <x:v>Status</x:v>
      </x:c>
      <x:c r="E9" s="751" t="str">
        <x:v>Why</x:v>
      </x:c>
      <x:c r="F9" s="751" t="str">
        <x:v>Action</x:v>
      </x:c>
      <x:c r="G9" s="751" t="str">
        <x:v>Training Partition</x:v>
      </x:c>
      <x:c r="H9" s="751" t="str">
        <x:v>Decision</x:v>
      </x:c>
    </x:row>
    <x:row r="10">
      <x:c r="A10" s="753" t="str">
        <x:v>Score quorum</x:v>
      </x:c>
      <x:c r="B10" t="str">
        <x:v>2 independent sources</x:v>
      </x:c>
      <x:c r="C10" t="str">
        <x:v>PASS for 24' snapshot</x:v>
      </x:c>
      <x:c r="D10" t="str">
        <x:v>PASS</x:v>
      </x:c>
      <x:c r="E10" t="str">
        <x:v>ESPN + FOX agree 0-0</x:v>
      </x:c>
      <x:c r="F10" t="str">
        <x:v>Store observation</x:v>
      </x:c>
      <x:c r="G10" t="str">
        <x:v>LIVE_ONLY</x:v>
      </x:c>
      <x:c r="H10" t="str">
        <x:v>NO BET MODEL</x:v>
      </x:c>
    </x:row>
    <x:row r="11">
      <x:c r="A11" s="753" t="str">
        <x:v>Current-time freshness</x:v>
      </x:c>
      <x:c r="B11" t="str">
        <x:v>&lt;5 min</x:v>
      </x:c>
      <x:c r="C11" t="str">
        <x:v>FAIL</x:v>
      </x:c>
      <x:c r="D11" t="str">
        <x:v>FAIL</x:v>
      </x:c>
      <x:c r="E11" t="str">
        <x:v>Snapshot is historical/stale by 04:07</x:v>
      </x:c>
      <x:c r="F11" t="str">
        <x:v>Do not call it current</x:v>
      </x:c>
      <x:c r="G11" t="str">
        <x:v>LIVE_ONLY</x:v>
      </x:c>
      <x:c r="H11" t="str">
        <x:v>NO BET MODEL</x:v>
      </x:c>
    </x:row>
    <x:row r="12">
      <x:c r="A12" s="753" t="str">
        <x:v>Event-level training</x:v>
      </x:c>
      <x:c r="B12" t="str">
        <x:v>Large history</x:v>
      </x:c>
      <x:c r="C12" t="str">
        <x:v>MISSING</x:v>
      </x:c>
      <x:c r="D12" t="str">
        <x:v>FAIL</x:v>
      </x:c>
      <x:c r="E12" t="str">
        <x:v>No calibrated transition model</x:v>
      </x:c>
      <x:c r="F12" t="str">
        <x:v>Weight 0</x:v>
      </x:c>
      <x:c r="G12" t="str">
        <x:v>LIVE_ONLY</x:v>
      </x:c>
      <x:c r="H12" t="str">
        <x:v>NO BET MODEL</x:v>
      </x:c>
    </x:row>
    <x:row r="13">
      <x:c r="A13" s="753" t="str">
        <x:v>Live odds pairing</x:v>
      </x:c>
      <x:c r="B13" t="str">
        <x:v>Same book/time O/U</x:v>
      </x:c>
      <x:c r="C13" t="str">
        <x:v>MISSING</x:v>
      </x:c>
      <x:c r="D13" t="str">
        <x:v>FAIL</x:v>
      </x:c>
      <x:c r="E13" t="str">
        <x:v>No reliable live EV</x:v>
      </x:c>
      <x:c r="F13" t="str">
        <x:v>Keep null</x:v>
      </x:c>
      <x:c r="G13" t="str">
        <x:v>LIVE_ONLY</x:v>
      </x:c>
      <x:c r="H13" t="str">
        <x:v>NO BET MODEL</x:v>
      </x:c>
    </x:row>
    <x:row r="14">
      <x:c r="A14" s="753" t="str">
        <x:v>Pre-match lock</x:v>
      </x:c>
      <x:c r="B14" t="str">
        <x:v>Immutable</x:v>
      </x:c>
      <x:c r="C14" t="str">
        <x:v>PASS</x:v>
      </x:c>
      <x:c r="D14" t="str">
        <x:v>PASS</x:v>
      </x:c>
      <x:c r="E14" t="str">
        <x:v>No contamination</x:v>
      </x:c>
      <x:c r="F14" t="str">
        <x:v>Preserve</x:v>
      </x:c>
      <x:c r="G14" t="str">
        <x:v>PRE_MATCH</x:v>
      </x:c>
      <x:c r="H14" t="str">
        <x:v>FROZEN</x:v>
      </x:c>
    </x:row>
    <x:row r="15">
      <x:c r="A15" s="753" t="str">
        <x:v>Current conclusion</x:v>
      </x:c>
      <x:c r="B15" t="str">
        <x:v>OBSERVE ONLY</x:v>
      </x:c>
      <x:c r="C15" t="str">
        <x:v>ACTIVE</x:v>
      </x:c>
      <x:c r="D15" t="str">
        <x:v>PASS</x:v>
      </x:c>
      <x:c r="E15" t="str">
        <x:v>Live architecture disciplined</x:v>
      </x:c>
      <x:c r="F15" t="str">
        <x:v>No execution</x:v>
      </x:c>
      <x:c r="G15" t="str">
        <x:v>LIVE_ONLY</x:v>
      </x:c>
      <x:c r="H15" t="str">
        <x:v>PAPER</x:v>
      </x:c>
    </x:row>
    <x:row r="16">
      <x:c r="A16" s="753"/>
    </x:row>
  </x:sheetData>
  <x:mergeCells>
    <x:mergeCell ref="A1:J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764" t="str">
        <x:v>v0.4.3 — RECENCY MODEL GOVERNANCE</x:v>
      </x:c>
      <x:c r="B1" s="764"/>
      <x:c r="C1" s="764"/>
      <x:c r="D1" s="764"/>
      <x:c r="E1" s="764"/>
      <x:c r="F1" s="764"/>
      <x:c r="G1" s="764"/>
      <x:c r="H1" s="764"/>
    </x:row>
    <x:row r="3">
      <x:c r="A3" s="745" t="str">
        <x:v>Test</x:v>
      </x:c>
      <x:c r="B3" s="745" t="str">
        <x:v>Requirement</x:v>
      </x:c>
      <x:c r="C3" s="745" t="str">
        <x:v>Current</x:v>
      </x:c>
      <x:c r="D3" s="745" t="str">
        <x:v>Status</x:v>
      </x:c>
      <x:c r="E3" s="745" t="str">
        <x:v>Decision</x:v>
      </x:c>
      <x:c r="F3" s="745" t="str">
        <x:v>Why</x:v>
      </x:c>
      <x:c r="G3" s="745" t="str">
        <x:v>Can Retune?</x:v>
      </x:c>
      <x:c r="H3" s="745" t="str">
        <x:v>Next Evidence</x:v>
      </x:c>
    </x:row>
    <x:row r="4">
      <x:c r="A4" t="str">
        <x:v>Exact current-team chronology</x:v>
      </x:c>
      <x:c r="B4" t="str">
        <x:v>19 matches each</x:v>
      </x:c>
      <x:c r="C4" t="str">
        <x:v>38 verified rows</x:v>
      </x:c>
      <x:c r="D4" t="str">
        <x:v>PASS</x:v>
      </x:c>
      <x:c r="E4" t="str">
        <x:v>Use diagnostically</x:v>
      </x:c>
      <x:c r="F4" t="str">
        <x:v>Full pre-current sequences available</x:v>
      </x:c>
      <x:c r="G4" t="str">
        <x:v>NO</x:v>
      </x:c>
      <x:c r="H4" t="str">
        <x:v>Expand league</x:v>
      </x:c>
    </x:row>
    <x:row r="5">
      <x:c r="A5" t="str">
        <x:v>Season totals reconcile</x:v>
      </x:c>
      <x:c r="B5" t="str">
        <x:v>SKC 18/48; STL 27/25</x:v>
      </x:c>
      <x:c r="C5" t="str">
        <x:v>PASS</x:v>
      </x:c>
      <x:c r="D5" t="str">
        <x:v>PASS</x:v>
      </x:c>
      <x:c r="E5" t="str">
        <x:v>Continue</x:v>
      </x:c>
      <x:c r="F5" t="str">
        <x:v>Chronology matches source totals</x:v>
      </x:c>
      <x:c r="G5" t="str">
        <x:v>NO</x:v>
      </x:c>
      <x:c r="H5" t="str"/>
    </x:row>
    <x:row r="6">
      <x:c r="A6" t="str">
        <x:v>Half-life robustness</x:v>
      </x:c>
      <x:c r="B6" t="str">
        <x:v>Small probability spread</x:v>
      </x:c>
      <x:c r="C6" t="str">
        <x:v>~2.5pp spread</x:v>
      </x:c>
      <x:c r="D6" t="str">
        <x:v>PASS</x:v>
      </x:c>
      <x:c r="E6" t="str">
        <x:v>Stable direction</x:v>
      </x:c>
      <x:c r="F6" t="str">
        <x:v>3–20 match decay does not radically change result</x:v>
      </x:c>
      <x:c r="G6" t="str">
        <x:v>NO</x:v>
      </x:c>
      <x:c r="H6" t="str">
        <x:v>Walk-forward selection</x:v>
      </x:c>
    </x:row>
    <x:row r="7">
      <x:c r="A7" t="str">
        <x:v>Reference EV</x:v>
      </x:c>
      <x:c r="B7" t="str">
        <x:v>Any model &gt;=+3%</x:v>
      </x:c>
      <x:c r="C7" t="str">
        <x:v>NO</x:v>
      </x:c>
      <x:c r="D7" t="str">
        <x:v>FAIL</x:v>
      </x:c>
      <x:c r="E7" t="str">
        <x:v>No value</x:v>
      </x:c>
      <x:c r="F7" t="str">
        <x:v>Even fastest memory not +3% at 1.625</x:v>
      </x:c>
      <x:c r="G7" t="str">
        <x:v>NO</x:v>
      </x:c>
      <x:c r="H7" t="str">
        <x:v>Actual execution price</x:v>
      </x:c>
    </x:row>
    <x:row r="8">
      <x:c r="A8" t="str">
        <x:v>Half-life selection</x:v>
      </x:c>
      <x:c r="B8" t="str">
        <x:v>OOS learned</x:v>
      </x:c>
      <x:c r="C8" t="str">
        <x:v>NOT LEARNED</x:v>
      </x:c>
      <x:c r="D8" t="str">
        <x:v>FAIL</x:v>
      </x:c>
      <x:c r="E8" t="str">
        <x:v>All weights 0</x:v>
      </x:c>
      <x:c r="F8" t="str">
        <x:v>Cannot pick HL=3 because it looks best today</x:v>
      </x:c>
      <x:c r="G8" t="str">
        <x:v>NO</x:v>
      </x:c>
      <x:c r="H8" t="str">
        <x:v>Full-league OOS</x:v>
      </x:c>
    </x:row>
    <x:row r="9">
      <x:c r="A9" t="str">
        <x:v>Venue-only Bayes</x:v>
      </x:c>
      <x:c r="B9" t="str">
        <x:v>Must survive recency check</x:v>
      </x:c>
      <x:c r="C9" t="str">
        <x:v>FAILS stability</x:v>
      </x:c>
      <x:c r="D9" t="str">
        <x:v>WATCH</x:v>
      </x:c>
      <x:c r="E9" t="str">
        <x:v>Keep 0%</x:v>
      </x:c>
      <x:c r="F9" t="str">
        <x:v>73.5% collapses toward ~59–61% under recency memory</x:v>
      </x:c>
      <x:c r="G9" t="str">
        <x:v>NO</x:v>
      </x:c>
      <x:c r="H9" t="str">
        <x:v>Joint context model</x:v>
      </x:c>
    </x:row>
    <x:row r="10">
      <x:c r="A10" t="str">
        <x:v>M012 recency weight</x:v>
      </x:c>
      <x:c r="B10" t="str">
        <x:v>&gt;0 only after OOS win</x:v>
      </x:c>
      <x:c r="C10" t="str">
        <x:v>0%</x:v>
      </x:c>
      <x:c r="D10" t="str">
        <x:v>PASS</x:v>
      </x:c>
      <x:c r="E10" t="str">
        <x:v>Keep 0</x:v>
      </x:c>
      <x:c r="F10" t="str">
        <x:v>No earned superiority</x:v>
      </x:c>
      <x:c r="G10" t="str">
        <x:v>NO</x:v>
      </x:c>
      <x:c r="H10" t="str">
        <x:v>Beat market</x:v>
      </x:c>
    </x:row>
    <x:row r="11">
      <x:c r="A11" t="str">
        <x:v>Market champion</x:v>
      </x:c>
      <x:c r="B11" t="str">
        <x:v>Challenger must beat OOS</x:v>
      </x:c>
      <x:c r="C11" t="str">
        <x:v>ACTIVE</x:v>
      </x:c>
      <x:c r="D11" t="str">
        <x:v>PASS</x:v>
      </x:c>
      <x:c r="E11" t="str">
        <x:v>Market remains champion</x:v>
      </x:c>
      <x:c r="F11" t="str">
        <x:v>No challenger has earned replacement</x:v>
      </x:c>
      <x:c r="G11" t="str">
        <x:v>NO</x:v>
      </x:c>
      <x:c r="H11" t="str">
        <x:v>Expand market-labelled dataset</x:v>
      </x:c>
    </x:row>
  </x:sheetData>
  <x:mergeCells>
    <x:mergeCell ref="A1:H1"/>
  </x:mergeCells>
  <x:conditionalFormatting sqref="D4:D11">
    <x:cfRule type="expression" dxfId="67" priority="1">
      <x:formula>D4="PASS"</x:formula>
    </x:cfRule>
    <x:cfRule type="expression" dxfId="68" priority="2">
      <x:formula>D4="FAIL"</x:formula>
    </x:cfRule>
    <x:cfRule type="expression" dxfId="69" priority="3">
      <x:formula>D4="WATCH"</x:formula>
    </x:cfRule>
  </x:conditionalFormatting>
  <x:pageMargins left="0.7" right="0.7" top="0.75" bottom="0.75" header="0.3" footer="0.3"/>
</x:worksheet>
</file>